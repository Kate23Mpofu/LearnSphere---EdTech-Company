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/>
  <xr:revisionPtr revIDLastSave="0" documentId="8_{C104014D-A025-4F2B-AEA4-A4E9F9A3A92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ents" sheetId="2" r:id="rId1"/>
    <sheet name="lookup_table" sheetId="7" r:id="rId2"/>
    <sheet name="Findings" sheetId="8" r:id="rId3"/>
    <sheet name="Courses" sheetId="3" r:id="rId4"/>
    <sheet name="Instructors" sheetId="4" r:id="rId5"/>
    <sheet name="Enrollments" sheetId="5" r:id="rId6"/>
    <sheet name="Reviews" sheetId="6" r:id="rId7"/>
  </sheets>
  <definedNames>
    <definedName name="_xlnm._FilterDatabase" localSheetId="3" hidden="1">Courses!$A$1:$H$31</definedName>
    <definedName name="_xlnm._FilterDatabase" localSheetId="4" hidden="1">Instructors!$A$1:$F$26</definedName>
    <definedName name="_xlnm._FilterDatabase" localSheetId="5" hidden="1">Enrollments!$A$1:$J$3541</definedName>
    <definedName name="_xlnm._FilterDatabase" localSheetId="6" hidden="1">Reviews!$A$1:$G$901</definedName>
    <definedName name="_xlnm._FilterDatabase" localSheetId="0" hidden="1">Students!$A$1:$L$601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8" l="1"/>
  <c r="N4" i="8"/>
  <c r="N2" i="8"/>
  <c r="N3" i="8"/>
  <c r="M5" i="8"/>
  <c r="M4" i="8"/>
  <c r="M3" i="8"/>
  <c r="M2" i="8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B2" i="8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H5" i="2"/>
  <c r="H2" i="2"/>
  <c r="H3" i="2"/>
  <c r="H4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I3" i="8" l="1"/>
  <c r="I2" i="8" s="1"/>
  <c r="F2" i="8"/>
  <c r="F3" i="8"/>
  <c r="F4" i="8" s="1"/>
  <c r="B4" i="8"/>
  <c r="B3" i="8"/>
  <c r="B5" i="8"/>
  <c r="B6" i="8"/>
</calcChain>
</file>

<file path=xl/sharedStrings.xml><?xml version="1.0" encoding="utf-8"?>
<sst xmlns="http://schemas.openxmlformats.org/spreadsheetml/2006/main" count="28420" uniqueCount="6830">
  <si>
    <t>student_id</t>
  </si>
  <si>
    <t>full_name</t>
  </si>
  <si>
    <t>email</t>
  </si>
  <si>
    <t>phone</t>
  </si>
  <si>
    <t>city</t>
  </si>
  <si>
    <t>province</t>
  </si>
  <si>
    <t>expected_province</t>
  </si>
  <si>
    <t>mismatch_province</t>
  </si>
  <si>
    <t>age</t>
  </si>
  <si>
    <t>device_type</t>
  </si>
  <si>
    <t>signup_source</t>
  </si>
  <si>
    <t>signup_date</t>
  </si>
  <si>
    <t>STU0001</t>
  </si>
  <si>
    <t>Danielle Miller</t>
  </si>
  <si>
    <t>danielle.miller@gmail.com</t>
  </si>
  <si>
    <t>+27 81 645 3521</t>
  </si>
  <si>
    <t>Johannesburg</t>
  </si>
  <si>
    <t>Eastern Cape</t>
  </si>
  <si>
    <t>Mobile</t>
  </si>
  <si>
    <t>WhatsApp</t>
  </si>
  <si>
    <t>STU0002</t>
  </si>
  <si>
    <t>Angel Cortez</t>
  </si>
  <si>
    <t>angelcortez92@yahoo.com</t>
  </si>
  <si>
    <t>Unknown</t>
  </si>
  <si>
    <t>Polokwane</t>
  </si>
  <si>
    <t>Free State</t>
  </si>
  <si>
    <t>Desktop</t>
  </si>
  <si>
    <t>Organic</t>
  </si>
  <si>
    <t>STU0003</t>
  </si>
  <si>
    <t>Joshua Freeman</t>
  </si>
  <si>
    <t>joshua.freeman@gmail.com</t>
  </si>
  <si>
    <t>+27 97 995 5271</t>
  </si>
  <si>
    <t>Durban</t>
  </si>
  <si>
    <t>Google Search</t>
  </si>
  <si>
    <t>STU0004</t>
  </si>
  <si>
    <t>Jeffrey Chang</t>
  </si>
  <si>
    <t>jeffreychang91@yahoo.com</t>
  </si>
  <si>
    <t>+27 81 477 0054</t>
  </si>
  <si>
    <t>Cape Town</t>
  </si>
  <si>
    <t/>
  </si>
  <si>
    <t>STU0005</t>
  </si>
  <si>
    <t>Jill Vaughn</t>
  </si>
  <si>
    <t>jill.vaughn@gmail.com</t>
  </si>
  <si>
    <t>Instagram</t>
  </si>
  <si>
    <t>STU0006</t>
  </si>
  <si>
    <t>Erica Brewer</t>
  </si>
  <si>
    <t>erica.brewer@gmail.com</t>
  </si>
  <si>
    <t>+27 18 203 7788</t>
  </si>
  <si>
    <t>STU0007</t>
  </si>
  <si>
    <t>Patricia Henry</t>
  </si>
  <si>
    <t>KwaZulu-Natal</t>
  </si>
  <si>
    <t>STU0008</t>
  </si>
  <si>
    <t>Christopher Mcguire</t>
  </si>
  <si>
    <t>Nelspruit</t>
  </si>
  <si>
    <t>North West</t>
  </si>
  <si>
    <t>TikTok</t>
  </si>
  <si>
    <t>STU0009</t>
  </si>
  <si>
    <t>Robert Davis</t>
  </si>
  <si>
    <t>robertdavis65@yahoo.com</t>
  </si>
  <si>
    <t>+27 85 054 2357</t>
  </si>
  <si>
    <t>Facebook Ad</t>
  </si>
  <si>
    <t>STU0010</t>
  </si>
  <si>
    <t>Anthony Walker</t>
  </si>
  <si>
    <t>awalker@outlook.com</t>
  </si>
  <si>
    <t>+27 88 805 9296</t>
  </si>
  <si>
    <t>Gauteng</t>
  </si>
  <si>
    <t>Tablet</t>
  </si>
  <si>
    <t>STU0011</t>
  </si>
  <si>
    <t>Jeffery Holt</t>
  </si>
  <si>
    <t>+27 65 379 4738</t>
  </si>
  <si>
    <t>East London</t>
  </si>
  <si>
    <t>STU0012</t>
  </si>
  <si>
    <t>William Torres</t>
  </si>
  <si>
    <t>williamtorres76@yahoo.com</t>
  </si>
  <si>
    <t>+27 74 688 6239</t>
  </si>
  <si>
    <t>STU0013</t>
  </si>
  <si>
    <t>Anthony Perkins</t>
  </si>
  <si>
    <t>anthonyperkins93@yahoo.com</t>
  </si>
  <si>
    <t>Kimberley</t>
  </si>
  <si>
    <t>Northern Cape</t>
  </si>
  <si>
    <t>STU0014</t>
  </si>
  <si>
    <t>James Kennedy</t>
  </si>
  <si>
    <t>james.kennedy@gmail.com</t>
  </si>
  <si>
    <t>+27 06 068 5361</t>
  </si>
  <si>
    <t>Walk-In</t>
  </si>
  <si>
    <t>STU0015</t>
  </si>
  <si>
    <t>Debra Schmidt</t>
  </si>
  <si>
    <t>debra.schmidt@gmail.com</t>
  </si>
  <si>
    <t>+27 20 472 7790</t>
  </si>
  <si>
    <t>Western Cape</t>
  </si>
  <si>
    <t>STU0016</t>
  </si>
  <si>
    <t>Amy Coleman</t>
  </si>
  <si>
    <t>amy.coleman@gmail.com</t>
  </si>
  <si>
    <t>+27 98 614 3410</t>
  </si>
  <si>
    <t>Port Elizabeth</t>
  </si>
  <si>
    <t>STU0017</t>
  </si>
  <si>
    <t>Jeffrey Reese</t>
  </si>
  <si>
    <t>jeffrey.reese@gmail.com</t>
  </si>
  <si>
    <t>+27 80 893 2460</t>
  </si>
  <si>
    <t>STU0018</t>
  </si>
  <si>
    <t>Bridget Rivera</t>
  </si>
  <si>
    <t>bridgetrivera52@yahoo.com</t>
  </si>
  <si>
    <t>+27 85 188 8880</t>
  </si>
  <si>
    <t>STU0019</t>
  </si>
  <si>
    <t>Lisa Warner</t>
  </si>
  <si>
    <t>+27 05 153 1952</t>
  </si>
  <si>
    <t>Referral</t>
  </si>
  <si>
    <t>STU0020</t>
  </si>
  <si>
    <t>Adam Nelson</t>
  </si>
  <si>
    <t>anelson@outlook.com</t>
  </si>
  <si>
    <t>+27 21 704 3030</t>
  </si>
  <si>
    <t>Pretoria</t>
  </si>
  <si>
    <t>STU0021</t>
  </si>
  <si>
    <t>Linda King</t>
  </si>
  <si>
    <t>lking@outlook.com</t>
  </si>
  <si>
    <t>+27 40 345 0541</t>
  </si>
  <si>
    <t>STU0022</t>
  </si>
  <si>
    <t>Helen Martinez</t>
  </si>
  <si>
    <t>helen.martinez@gmail.com</t>
  </si>
  <si>
    <t>+27 27 758 4161</t>
  </si>
  <si>
    <t>Mobile Phone</t>
  </si>
  <si>
    <t>STU0023</t>
  </si>
  <si>
    <t>Matthew Lee</t>
  </si>
  <si>
    <t>matthew.lee@gmail.com</t>
  </si>
  <si>
    <t>+27 15 447 9627</t>
  </si>
  <si>
    <t>STU0024</t>
  </si>
  <si>
    <t>Eric Wilson</t>
  </si>
  <si>
    <t>ericwilson88@yahoo.com</t>
  </si>
  <si>
    <t>+27 01 658 2029</t>
  </si>
  <si>
    <t>STU0025</t>
  </si>
  <si>
    <t>Susan Herrera</t>
  </si>
  <si>
    <t>susanherrera95@yahoo.com</t>
  </si>
  <si>
    <t>+27 55 690 9275</t>
  </si>
  <si>
    <t>STU0026</t>
  </si>
  <si>
    <t>Matthew Gill</t>
  </si>
  <si>
    <t>mgill@outlook.com</t>
  </si>
  <si>
    <t>+27 65 431 0278</t>
  </si>
  <si>
    <t>STU0027</t>
  </si>
  <si>
    <t>Christopher Lopez</t>
  </si>
  <si>
    <t>christopher.lopez@gmail.com</t>
  </si>
  <si>
    <t>+27 94 731 2172</t>
  </si>
  <si>
    <t>STU0028</t>
  </si>
  <si>
    <t>Colin Robinson</t>
  </si>
  <si>
    <t>colinrobinson33@yahoo.com</t>
  </si>
  <si>
    <t>+27 88 442 2583</t>
  </si>
  <si>
    <t>STU0029</t>
  </si>
  <si>
    <t>Melanie Washington</t>
  </si>
  <si>
    <t>mwashington@outlook.com</t>
  </si>
  <si>
    <t>+27 58 957 8291</t>
  </si>
  <si>
    <t>Bloemfontein</t>
  </si>
  <si>
    <t>STU0030</t>
  </si>
  <si>
    <t>Cassandra Hardy</t>
  </si>
  <si>
    <t>chardy@outlook.com</t>
  </si>
  <si>
    <t>+27 91 251 7785</t>
  </si>
  <si>
    <t>Limpopo</t>
  </si>
  <si>
    <t>STU0031</t>
  </si>
  <si>
    <t>Lindsay Bray</t>
  </si>
  <si>
    <t>lindsay.bray@gmail.com</t>
  </si>
  <si>
    <t>+27 18 242 2535</t>
  </si>
  <si>
    <t>STU0032</t>
  </si>
  <si>
    <t>Jessica Warren</t>
  </si>
  <si>
    <t>jessica.warren@gmail.com</t>
  </si>
  <si>
    <t>+27 42 498 1829</t>
  </si>
  <si>
    <t>STU0033</t>
  </si>
  <si>
    <t>Amanda Campbell</t>
  </si>
  <si>
    <t>amandacampbell16@yahoo.com</t>
  </si>
  <si>
    <t>+27 90 010 9439</t>
  </si>
  <si>
    <t>STU0034</t>
  </si>
  <si>
    <t>Teresa Garcia</t>
  </si>
  <si>
    <t>+27 73 647 1027</t>
  </si>
  <si>
    <t>STU0035</t>
  </si>
  <si>
    <t>Nicholas Lee</t>
  </si>
  <si>
    <t>nicholaslee30@yahoo.com</t>
  </si>
  <si>
    <t>+27 55 562 5881</t>
  </si>
  <si>
    <t>STU0036</t>
  </si>
  <si>
    <t>Andrea Perez</t>
  </si>
  <si>
    <t>andrea.perez@gmail.com</t>
  </si>
  <si>
    <t>STU0037</t>
  </si>
  <si>
    <t>Maria White</t>
  </si>
  <si>
    <t>+27 77 470 1687</t>
  </si>
  <si>
    <t>Mpumalanga</t>
  </si>
  <si>
    <t>STU0038</t>
  </si>
  <si>
    <t>Christine Smith</t>
  </si>
  <si>
    <t>+27 47 974 8016</t>
  </si>
  <si>
    <t>STU0039</t>
  </si>
  <si>
    <t>Michelle Ferguson</t>
  </si>
  <si>
    <t>michelle.ferguson@gmail.com</t>
  </si>
  <si>
    <t>+27 60 983 5841</t>
  </si>
  <si>
    <t>STU0040</t>
  </si>
  <si>
    <t>Barbara Hill</t>
  </si>
  <si>
    <t>barbarahill31@yahoo.com</t>
  </si>
  <si>
    <t>+27 12 165 5852</t>
  </si>
  <si>
    <t>STU0041</t>
  </si>
  <si>
    <t>Janet Mccann</t>
  </si>
  <si>
    <t>janet.mccann@gmail.com</t>
  </si>
  <si>
    <t>+27 25 787 2982</t>
  </si>
  <si>
    <t>STU0042</t>
  </si>
  <si>
    <t>Brandon Tran</t>
  </si>
  <si>
    <t>brandon.tran@gmail.com</t>
  </si>
  <si>
    <t>+27 95 888 7947</t>
  </si>
  <si>
    <t>STU0043</t>
  </si>
  <si>
    <t>Jeremy Terry</t>
  </si>
  <si>
    <t>+27 40 974 9930</t>
  </si>
  <si>
    <t>STU0044</t>
  </si>
  <si>
    <t>Keith Martinez</t>
  </si>
  <si>
    <t>+27 30 913 0756</t>
  </si>
  <si>
    <t>STU0045</t>
  </si>
  <si>
    <t>Christopher Oneill</t>
  </si>
  <si>
    <t>coneill@outlook.com</t>
  </si>
  <si>
    <t>STU0046</t>
  </si>
  <si>
    <t>Jesse Henry</t>
  </si>
  <si>
    <t>jhenry@outlook.com</t>
  </si>
  <si>
    <t>+27 54 973 3484</t>
  </si>
  <si>
    <t>STU0047</t>
  </si>
  <si>
    <t>Craig Salas</t>
  </si>
  <si>
    <t>craigsalas16@yahoo.com</t>
  </si>
  <si>
    <t>+27 75 844 1986</t>
  </si>
  <si>
    <t>STU0048</t>
  </si>
  <si>
    <t>Joshua Andrews</t>
  </si>
  <si>
    <t>jandrews@outlook.com</t>
  </si>
  <si>
    <t>+27 41 574 7338</t>
  </si>
  <si>
    <t>STU0049</t>
  </si>
  <si>
    <t>Cynthia Harrison</t>
  </si>
  <si>
    <t>cynthia.harrison@gmail.com</t>
  </si>
  <si>
    <t>STU0050</t>
  </si>
  <si>
    <t>Michael Alexander</t>
  </si>
  <si>
    <t>michael.alexander@gmail.com</t>
  </si>
  <si>
    <t>+27 26 773 4540</t>
  </si>
  <si>
    <t>STU0051</t>
  </si>
  <si>
    <t>Mitchell Lopez</t>
  </si>
  <si>
    <t>+27 26 206 7240</t>
  </si>
  <si>
    <t>STU0052</t>
  </si>
  <si>
    <t>Jason Williams</t>
  </si>
  <si>
    <t>STU0053</t>
  </si>
  <si>
    <t>Joseph Everett</t>
  </si>
  <si>
    <t>joseph.everett@gmail.com</t>
  </si>
  <si>
    <t>STU0054</t>
  </si>
  <si>
    <t>Sharon Woods</t>
  </si>
  <si>
    <t>swoods@outlook.com</t>
  </si>
  <si>
    <t>STU0055</t>
  </si>
  <si>
    <t>Deborah Short</t>
  </si>
  <si>
    <t>dshort@outlook.com</t>
  </si>
  <si>
    <t>STU0056</t>
  </si>
  <si>
    <t>Chelsea Morales</t>
  </si>
  <si>
    <t>cmorales@outlook.com</t>
  </si>
  <si>
    <t>+27 79 568 7833</t>
  </si>
  <si>
    <t>STU0057</t>
  </si>
  <si>
    <t>George Jones</t>
  </si>
  <si>
    <t>gjones@outlook.com</t>
  </si>
  <si>
    <t>+27 19 108 8398</t>
  </si>
  <si>
    <t>STU0058</t>
  </si>
  <si>
    <t>Jessica Soto</t>
  </si>
  <si>
    <t>jessicasoto35@yahoo.com</t>
  </si>
  <si>
    <t>STU0059</t>
  </si>
  <si>
    <t>Frank Brown</t>
  </si>
  <si>
    <t>+27 64 039 1065</t>
  </si>
  <si>
    <t>STU0060</t>
  </si>
  <si>
    <t>Noah Hernandez</t>
  </si>
  <si>
    <t>STU0061</t>
  </si>
  <si>
    <t>Veronica Hart</t>
  </si>
  <si>
    <t>vhart@outlook.com</t>
  </si>
  <si>
    <t>STU0062</t>
  </si>
  <si>
    <t>Danielle Torres</t>
  </si>
  <si>
    <t>+27 24 310 6903</t>
  </si>
  <si>
    <t>STU0063</t>
  </si>
  <si>
    <t>Angela Mcknight</t>
  </si>
  <si>
    <t>+27 03 067 3830</t>
  </si>
  <si>
    <t>STU0064</t>
  </si>
  <si>
    <t>Gabrielle Wilson</t>
  </si>
  <si>
    <t>+27 95 342 8364</t>
  </si>
  <si>
    <t>STU0065</t>
  </si>
  <si>
    <t>Megan Duran</t>
  </si>
  <si>
    <t>megan.duran@gmail.com</t>
  </si>
  <si>
    <t>+27 56 856 6246</t>
  </si>
  <si>
    <t>STU0066</t>
  </si>
  <si>
    <t>Kimberly Obrien</t>
  </si>
  <si>
    <t>kimberlyobrien11@yahoo.com</t>
  </si>
  <si>
    <t>STU0067</t>
  </si>
  <si>
    <t>Jeremy Gibbs</t>
  </si>
  <si>
    <t>jeremygibbs10@yahoo.com</t>
  </si>
  <si>
    <t>+27 18 304 6990</t>
  </si>
  <si>
    <t>STU0068</t>
  </si>
  <si>
    <t>Antonio Perez</t>
  </si>
  <si>
    <t>aperez@outlook.com</t>
  </si>
  <si>
    <t>STU0069</t>
  </si>
  <si>
    <t>Leslie Mills</t>
  </si>
  <si>
    <t>lmills@outlook.com</t>
  </si>
  <si>
    <t>+27 46 785 4458</t>
  </si>
  <si>
    <t>STU0070</t>
  </si>
  <si>
    <t>Joseph Hayes</t>
  </si>
  <si>
    <t>jhayes@outlook.com</t>
  </si>
  <si>
    <t>+27 55 609 3204</t>
  </si>
  <si>
    <t>STU0071</t>
  </si>
  <si>
    <t>Jason Ramos</t>
  </si>
  <si>
    <t>jason.ramos@gmail.com</t>
  </si>
  <si>
    <t>+27 36 937 8547</t>
  </si>
  <si>
    <t>STU0072</t>
  </si>
  <si>
    <t>Sherri Dalton</t>
  </si>
  <si>
    <t>sdalton@outlook.com</t>
  </si>
  <si>
    <t>STU0073</t>
  </si>
  <si>
    <t>Nancy Branch</t>
  </si>
  <si>
    <t>+27 12 038 7509</t>
  </si>
  <si>
    <t>STU0074</t>
  </si>
  <si>
    <t>Leonard Torres</t>
  </si>
  <si>
    <t>ltorres@outlook.com</t>
  </si>
  <si>
    <t>STU0075</t>
  </si>
  <si>
    <t>Diana Oliver</t>
  </si>
  <si>
    <t>doliver@outlook.com</t>
  </si>
  <si>
    <t>+27 23 398 4546</t>
  </si>
  <si>
    <t>STU0076</t>
  </si>
  <si>
    <t>Randall Lynch</t>
  </si>
  <si>
    <t>rlynch@outlook.com</t>
  </si>
  <si>
    <t>+27 41 016 6687</t>
  </si>
  <si>
    <t>STU0077</t>
  </si>
  <si>
    <t>Robin Singh</t>
  </si>
  <si>
    <t>robinsingh17@yahoo.com</t>
  </si>
  <si>
    <t>STU0078</t>
  </si>
  <si>
    <t>Stephen Meza</t>
  </si>
  <si>
    <t>stephen.meza@gmail.com</t>
  </si>
  <si>
    <t>+27 25 039 2614</t>
  </si>
  <si>
    <t>STU0079</t>
  </si>
  <si>
    <t>Joseph Clark</t>
  </si>
  <si>
    <t>joseph.clark@gmail.com</t>
  </si>
  <si>
    <t>+27 62 185 0163</t>
  </si>
  <si>
    <t>STU0080</t>
  </si>
  <si>
    <t>John Clark</t>
  </si>
  <si>
    <t>jclark@outlook.com</t>
  </si>
  <si>
    <t>+27 50 477 3586</t>
  </si>
  <si>
    <t>STU0081</t>
  </si>
  <si>
    <t>Anna Guerrero</t>
  </si>
  <si>
    <t>+27 11 426 2655</t>
  </si>
  <si>
    <t>STU0082</t>
  </si>
  <si>
    <t>Jose Moore</t>
  </si>
  <si>
    <t>jose.moore@gmail.com</t>
  </si>
  <si>
    <t>+27 12 126 7888</t>
  </si>
  <si>
    <t>STU0083</t>
  </si>
  <si>
    <t>Brenda Thompson</t>
  </si>
  <si>
    <t>brendathompson20@yahoo.com</t>
  </si>
  <si>
    <t>+27 99 560 4661</t>
  </si>
  <si>
    <t>STU0084</t>
  </si>
  <si>
    <t>Rachael Jones</t>
  </si>
  <si>
    <t>rachaeljones35@yahoo.com</t>
  </si>
  <si>
    <t>+27 22 444 7212</t>
  </si>
  <si>
    <t>STU0085</t>
  </si>
  <si>
    <t>Reginald Smith</t>
  </si>
  <si>
    <t>rsmith@outlook.com</t>
  </si>
  <si>
    <t>+27 43 799 3712</t>
  </si>
  <si>
    <t>STU0086</t>
  </si>
  <si>
    <t>Jeffrey Hayes</t>
  </si>
  <si>
    <t>+27 75 692 4593</t>
  </si>
  <si>
    <t>STU0087</t>
  </si>
  <si>
    <t>Whitney Wheeler</t>
  </si>
  <si>
    <t>whitney.wheeler@gmail.com</t>
  </si>
  <si>
    <t>+27 93 564 6519</t>
  </si>
  <si>
    <t>STU0088</t>
  </si>
  <si>
    <t>William Carter</t>
  </si>
  <si>
    <t>williamcarter65@yahoo.com</t>
  </si>
  <si>
    <t>STU0089</t>
  </si>
  <si>
    <t>Christopher Hall</t>
  </si>
  <si>
    <t>+27 79 688 6805</t>
  </si>
  <si>
    <t>STU0090</t>
  </si>
  <si>
    <t>Brandon Mann</t>
  </si>
  <si>
    <t>STU0091</t>
  </si>
  <si>
    <t>Daniel Warner</t>
  </si>
  <si>
    <t>danielwarner31@yahoo.com</t>
  </si>
  <si>
    <t>+27 98 250 7146</t>
  </si>
  <si>
    <t>STU0092</t>
  </si>
  <si>
    <t>Courtney Gibson</t>
  </si>
  <si>
    <t>cgibson@outlook.com</t>
  </si>
  <si>
    <t>+27 57 387 5717</t>
  </si>
  <si>
    <t>STU0093</t>
  </si>
  <si>
    <t>Laura Mcdaniel</t>
  </si>
  <si>
    <t>lmcdaniel@outlook.com</t>
  </si>
  <si>
    <t>+27 10 512 3828</t>
  </si>
  <si>
    <t>STU0094</t>
  </si>
  <si>
    <t>Robert Bradshaw</t>
  </si>
  <si>
    <t>STU0095</t>
  </si>
  <si>
    <t>Bryan French</t>
  </si>
  <si>
    <t>bryanfrench47@yahoo.com</t>
  </si>
  <si>
    <t>+27 18 255 3714</t>
  </si>
  <si>
    <t>STU0096</t>
  </si>
  <si>
    <t>Patrick Weber</t>
  </si>
  <si>
    <t>patrick.weber@gmail.com</t>
  </si>
  <si>
    <t>STU0097</t>
  </si>
  <si>
    <t>Wendy Guerrero</t>
  </si>
  <si>
    <t>wendy.guerrero@gmail.com</t>
  </si>
  <si>
    <t>+27 51 341 2528</t>
  </si>
  <si>
    <t>STU0098</t>
  </si>
  <si>
    <t>Allison Peck</t>
  </si>
  <si>
    <t>allison.peck@gmail.com</t>
  </si>
  <si>
    <t>STU0099</t>
  </si>
  <si>
    <t>Tasha Coleman</t>
  </si>
  <si>
    <t>tasha.coleman@gmail.com</t>
  </si>
  <si>
    <t>+27 72 368 8767</t>
  </si>
  <si>
    <t>STU0100</t>
  </si>
  <si>
    <t>Michelle Stephens</t>
  </si>
  <si>
    <t>mstephens@outlook.com</t>
  </si>
  <si>
    <t>STU0101</t>
  </si>
  <si>
    <t>Alexander Holland</t>
  </si>
  <si>
    <t>+27 14 858 0783</t>
  </si>
  <si>
    <t>STU0102</t>
  </si>
  <si>
    <t>Jennifer Kerr</t>
  </si>
  <si>
    <t>jenniferkerr58@yahoo.com</t>
  </si>
  <si>
    <t>+27 45 171 3395</t>
  </si>
  <si>
    <t>STU0103</t>
  </si>
  <si>
    <t>Erin Serrano</t>
  </si>
  <si>
    <t>erinserrano5@yahoo.com</t>
  </si>
  <si>
    <t>+27 30 958 4982</t>
  </si>
  <si>
    <t>STU0104</t>
  </si>
  <si>
    <t>Amanda Jones</t>
  </si>
  <si>
    <t>+27 12 604 2232</t>
  </si>
  <si>
    <t>STU0105</t>
  </si>
  <si>
    <t>Joseph Martin</t>
  </si>
  <si>
    <t>joseph.martin@gmail.com</t>
  </si>
  <si>
    <t>STU0106</t>
  </si>
  <si>
    <t>Danielle Parker</t>
  </si>
  <si>
    <t>danielle.parker@gmail.com</t>
  </si>
  <si>
    <t>+27 01 751 8636</t>
  </si>
  <si>
    <t>STU0107</t>
  </si>
  <si>
    <t>Daniel Curry</t>
  </si>
  <si>
    <t>dcurry@outlook.com</t>
  </si>
  <si>
    <t>+27 89 297 5001</t>
  </si>
  <si>
    <t>STU0108</t>
  </si>
  <si>
    <t>Ryan Carroll</t>
  </si>
  <si>
    <t>ryancarroll6@yahoo.com</t>
  </si>
  <si>
    <t>+27 70 632 4241</t>
  </si>
  <si>
    <t>STU0109</t>
  </si>
  <si>
    <t>Shawn Roberts</t>
  </si>
  <si>
    <t>shawn.roberts@gmail.com</t>
  </si>
  <si>
    <t>+27 64 361 1037</t>
  </si>
  <si>
    <t>STU0110</t>
  </si>
  <si>
    <t>Stephanie Martinez</t>
  </si>
  <si>
    <t>stephanie.martinez@gmail.com</t>
  </si>
  <si>
    <t>+27 51 627 1361</t>
  </si>
  <si>
    <t>STU0111</t>
  </si>
  <si>
    <t>Nancy Barker</t>
  </si>
  <si>
    <t>nbarker@outlook.com</t>
  </si>
  <si>
    <t>+27 26 221 8909</t>
  </si>
  <si>
    <t>STU0112</t>
  </si>
  <si>
    <t>Jose Lyons</t>
  </si>
  <si>
    <t>joselyons78@yahoo.com</t>
  </si>
  <si>
    <t>+27 97 311 2196</t>
  </si>
  <si>
    <t>STU0113</t>
  </si>
  <si>
    <t>Vincent Bender</t>
  </si>
  <si>
    <t>vincent.bender@gmail.com</t>
  </si>
  <si>
    <t>STU0114</t>
  </si>
  <si>
    <t>Guy Mason</t>
  </si>
  <si>
    <t>gmason@outlook.com</t>
  </si>
  <si>
    <t>+27 76 137 9180</t>
  </si>
  <si>
    <t>STU0115</t>
  </si>
  <si>
    <t>Rita Snyder</t>
  </si>
  <si>
    <t>rsnyder@outlook.com</t>
  </si>
  <si>
    <t>+27 58 271 0910</t>
  </si>
  <si>
    <t>STU0116</t>
  </si>
  <si>
    <t>Monica Miller</t>
  </si>
  <si>
    <t>monicamiller64@yahoo.com</t>
  </si>
  <si>
    <t>+27 86 661 8892</t>
  </si>
  <si>
    <t>STU0117</t>
  </si>
  <si>
    <t>Kenneth Williams</t>
  </si>
  <si>
    <t>+27 85 691 4630</t>
  </si>
  <si>
    <t>STU0118</t>
  </si>
  <si>
    <t>Danielle Reynolds</t>
  </si>
  <si>
    <t>STU0119</t>
  </si>
  <si>
    <t>Chelsea Morris</t>
  </si>
  <si>
    <t>cmorris@outlook.com</t>
  </si>
  <si>
    <t>+27 10 564 8149</t>
  </si>
  <si>
    <t>STU0120</t>
  </si>
  <si>
    <t>Eric Wright</t>
  </si>
  <si>
    <t>ewright@outlook.com</t>
  </si>
  <si>
    <t>STU0121</t>
  </si>
  <si>
    <t>Kathryn Davis</t>
  </si>
  <si>
    <t>kdavis@outlook.com</t>
  </si>
  <si>
    <t>+27 75 622 0863</t>
  </si>
  <si>
    <t>STU0122</t>
  </si>
  <si>
    <t>Amber Hayden</t>
  </si>
  <si>
    <t>amberhayden41@yahoo.com</t>
  </si>
  <si>
    <t>+27 51 802 3806</t>
  </si>
  <si>
    <t>STU0123</t>
  </si>
  <si>
    <t>Kimberly Huff</t>
  </si>
  <si>
    <t>kimberlyhuff13@yahoo.com</t>
  </si>
  <si>
    <t>+27 87 053 4949</t>
  </si>
  <si>
    <t>STU0124</t>
  </si>
  <si>
    <t>Alyssa Johnston</t>
  </si>
  <si>
    <t>ajohnston@outlook.com</t>
  </si>
  <si>
    <t>+27 32 060 3850</t>
  </si>
  <si>
    <t>STU0125</t>
  </si>
  <si>
    <t>Aaron Sampson</t>
  </si>
  <si>
    <t>aaron.sampson@gmail.com</t>
  </si>
  <si>
    <t>+27 83 670 2410</t>
  </si>
  <si>
    <t>STU0126</t>
  </si>
  <si>
    <t>Mario Key</t>
  </si>
  <si>
    <t>STU0127</t>
  </si>
  <si>
    <t>Andrew Chambers</t>
  </si>
  <si>
    <t>andrew.chambers@gmail.com</t>
  </si>
  <si>
    <t>+27 65 574 3132</t>
  </si>
  <si>
    <t>STU0128</t>
  </si>
  <si>
    <t>Sarah Adams</t>
  </si>
  <si>
    <t>sadams@outlook.com</t>
  </si>
  <si>
    <t>STU0129</t>
  </si>
  <si>
    <t>Natasha Williams</t>
  </si>
  <si>
    <t>nwilliams@outlook.com</t>
  </si>
  <si>
    <t>+27 03 521 3568</t>
  </si>
  <si>
    <t>STU0130</t>
  </si>
  <si>
    <t>Marie Avila</t>
  </si>
  <si>
    <t>marie.avila@gmail.com</t>
  </si>
  <si>
    <t>+27 78 831 7121</t>
  </si>
  <si>
    <t>STU0131</t>
  </si>
  <si>
    <t>Kyle Ruiz</t>
  </si>
  <si>
    <t>kyleruiz72@yahoo.com</t>
  </si>
  <si>
    <t>+27 19 941 0137</t>
  </si>
  <si>
    <t>STU0132</t>
  </si>
  <si>
    <t>Brian Pearson</t>
  </si>
  <si>
    <t>+27 02 966 7066</t>
  </si>
  <si>
    <t>STU0133</t>
  </si>
  <si>
    <t>Natalie Moon</t>
  </si>
  <si>
    <t>natalie.moon@gmail.com</t>
  </si>
  <si>
    <t>STU0134</t>
  </si>
  <si>
    <t>Stacey White</t>
  </si>
  <si>
    <t>staceywhite69@yahoo.com</t>
  </si>
  <si>
    <t>+27 26 383 8065</t>
  </si>
  <si>
    <t>STU0135</t>
  </si>
  <si>
    <t>Christopher Richards</t>
  </si>
  <si>
    <t>+27 64 205 9304</t>
  </si>
  <si>
    <t>STU0136</t>
  </si>
  <si>
    <t>Todd Walters</t>
  </si>
  <si>
    <t>toddwalters69@yahoo.com</t>
  </si>
  <si>
    <t>+27 21 334 8039</t>
  </si>
  <si>
    <t>STU0137</t>
  </si>
  <si>
    <t>Chad Vasquez</t>
  </si>
  <si>
    <t>cvasquez@outlook.com</t>
  </si>
  <si>
    <t>+27 95 590 5992</t>
  </si>
  <si>
    <t>STU0138</t>
  </si>
  <si>
    <t>Kathleen Davis</t>
  </si>
  <si>
    <t>kathleen.davis@gmail.com</t>
  </si>
  <si>
    <t>+27 70 103 9308</t>
  </si>
  <si>
    <t>STU0139</t>
  </si>
  <si>
    <t>Katie Bailey</t>
  </si>
  <si>
    <t>+27 25 002 9218</t>
  </si>
  <si>
    <t>STU0140</t>
  </si>
  <si>
    <t>David Cook</t>
  </si>
  <si>
    <t>dcook@outlook.com</t>
  </si>
  <si>
    <t>+27 54 522 6752</t>
  </si>
  <si>
    <t>STU0141</t>
  </si>
  <si>
    <t>Thomas Santiago</t>
  </si>
  <si>
    <t>thomassantiago29@yahoo.com</t>
  </si>
  <si>
    <t>+27 44 220 9690</t>
  </si>
  <si>
    <t>STU0142</t>
  </si>
  <si>
    <t>Andrea Hodge</t>
  </si>
  <si>
    <t>STU0143</t>
  </si>
  <si>
    <t>Joseph Rivera</t>
  </si>
  <si>
    <t>josephrivera92@yahoo.com</t>
  </si>
  <si>
    <t>STU0144</t>
  </si>
  <si>
    <t>Monique Steele</t>
  </si>
  <si>
    <t>+27 86 179 3271</t>
  </si>
  <si>
    <t>STU0145</t>
  </si>
  <si>
    <t>Rodney Roberts</t>
  </si>
  <si>
    <t>rodney.roberts@gmail.com</t>
  </si>
  <si>
    <t>+27 11 526 2181</t>
  </si>
  <si>
    <t>STU0146</t>
  </si>
  <si>
    <t>Jason Landry</t>
  </si>
  <si>
    <t>jlandry@outlook.com</t>
  </si>
  <si>
    <t>+27 62 015 3368</t>
  </si>
  <si>
    <t>STU0147</t>
  </si>
  <si>
    <t>Amber Cervantes</t>
  </si>
  <si>
    <t>ambercervantes59@yahoo.com</t>
  </si>
  <si>
    <t>+27 06 987 2050</t>
  </si>
  <si>
    <t>STU0148</t>
  </si>
  <si>
    <t>Jessica Pierce</t>
  </si>
  <si>
    <t>jessica.pierce@gmail.com</t>
  </si>
  <si>
    <t>+27 03 241 7146</t>
  </si>
  <si>
    <t>STU0149</t>
  </si>
  <si>
    <t>James Gibson</t>
  </si>
  <si>
    <t>jgibson@outlook.com</t>
  </si>
  <si>
    <t>+27 56 527 0477</t>
  </si>
  <si>
    <t>STU0150</t>
  </si>
  <si>
    <t>Larry Edwards</t>
  </si>
  <si>
    <t>ledwards@outlook.com</t>
  </si>
  <si>
    <t>+27 15 869 3806</t>
  </si>
  <si>
    <t>STU0151</t>
  </si>
  <si>
    <t>Wanda Morris</t>
  </si>
  <si>
    <t>wanda.morris@gmail.com</t>
  </si>
  <si>
    <t>STU0152</t>
  </si>
  <si>
    <t>Debra Cordova</t>
  </si>
  <si>
    <t>debracordova7@yahoo.com</t>
  </si>
  <si>
    <t>+27 33 206 1632</t>
  </si>
  <si>
    <t>STU0153</t>
  </si>
  <si>
    <t>Samuel Powell</t>
  </si>
  <si>
    <t>samuel.powell@gmail.com</t>
  </si>
  <si>
    <t>+27 86 854 8709</t>
  </si>
  <si>
    <t>STU0154</t>
  </si>
  <si>
    <t>Zachary Robertson</t>
  </si>
  <si>
    <t>zrobertson@outlook.com</t>
  </si>
  <si>
    <t>+27 99 911 9148</t>
  </si>
  <si>
    <t>STU0155</t>
  </si>
  <si>
    <t>David Travis</t>
  </si>
  <si>
    <t>david.travis@gmail.com</t>
  </si>
  <si>
    <t>+27 97 024 6299</t>
  </si>
  <si>
    <t>STU0156</t>
  </si>
  <si>
    <t>Jeffrey Sandoval</t>
  </si>
  <si>
    <t>+27 07 450 5444</t>
  </si>
  <si>
    <t>STU0157</t>
  </si>
  <si>
    <t>Matthew Daniels</t>
  </si>
  <si>
    <t>matthew.daniels@gmail.com</t>
  </si>
  <si>
    <t>+27 54 691 3736</t>
  </si>
  <si>
    <t>STU0158</t>
  </si>
  <si>
    <t>Brianna Gutierrez</t>
  </si>
  <si>
    <t>+27 48 628 9023</t>
  </si>
  <si>
    <t>STU0159</t>
  </si>
  <si>
    <t>Jerry Lopez</t>
  </si>
  <si>
    <t>jerry.lopez@gmail.com</t>
  </si>
  <si>
    <t>+27 05 345 7861</t>
  </si>
  <si>
    <t>STU0160</t>
  </si>
  <si>
    <t>Jeffrey Cox</t>
  </si>
  <si>
    <t>jcox@outlook.com</t>
  </si>
  <si>
    <t>+27 27 985 5241</t>
  </si>
  <si>
    <t>STU0161</t>
  </si>
  <si>
    <t>Chad Avila</t>
  </si>
  <si>
    <t>+27 33 346 8007</t>
  </si>
  <si>
    <t>STU0162</t>
  </si>
  <si>
    <t>Crystal Garrett</t>
  </si>
  <si>
    <t>crystal.garrett@gmail.com</t>
  </si>
  <si>
    <t>+27 94 466 5743</t>
  </si>
  <si>
    <t>STU0163</t>
  </si>
  <si>
    <t>Jeremy Wolf</t>
  </si>
  <si>
    <t>jeremywolf89@yahoo.com</t>
  </si>
  <si>
    <t>+27 58 994 4171</t>
  </si>
  <si>
    <t>STU0164</t>
  </si>
  <si>
    <t>Rebecca Harris</t>
  </si>
  <si>
    <t>rebecca.harris@gmail.com</t>
  </si>
  <si>
    <t>+27 32 830 9652</t>
  </si>
  <si>
    <t>STU0165</t>
  </si>
  <si>
    <t>Michele Dunn</t>
  </si>
  <si>
    <t>mdunn@outlook.com</t>
  </si>
  <si>
    <t>+27 60 993 5387</t>
  </si>
  <si>
    <t>STU0166</t>
  </si>
  <si>
    <t>Chad Pennington</t>
  </si>
  <si>
    <t>+27 24 172 4825</t>
  </si>
  <si>
    <t>STU0167</t>
  </si>
  <si>
    <t>John Kim</t>
  </si>
  <si>
    <t>jkim@outlook.com</t>
  </si>
  <si>
    <t>+27 55 494 7170</t>
  </si>
  <si>
    <t>STU0168</t>
  </si>
  <si>
    <t>Elizabeth Wolfe</t>
  </si>
  <si>
    <t>elizabethwolfe9@yahoo.com</t>
  </si>
  <si>
    <t>+27 68 460 2235</t>
  </si>
  <si>
    <t>STU0169</t>
  </si>
  <si>
    <t>Jason Martinez</t>
  </si>
  <si>
    <t>jmartinez@outlook.com</t>
  </si>
  <si>
    <t>+27 75 250 0743</t>
  </si>
  <si>
    <t>STU0170</t>
  </si>
  <si>
    <t>David Dudley</t>
  </si>
  <si>
    <t>ddudley@outlook.com</t>
  </si>
  <si>
    <t>+27 29 666 6760</t>
  </si>
  <si>
    <t>STU0171</t>
  </si>
  <si>
    <t>Selena Lynch</t>
  </si>
  <si>
    <t>selenalynch88@yahoo.com</t>
  </si>
  <si>
    <t>STU0172</t>
  </si>
  <si>
    <t>Ashley Allen</t>
  </si>
  <si>
    <t>aallen@outlook.com</t>
  </si>
  <si>
    <t>+27 47 898 5625</t>
  </si>
  <si>
    <t>STU0173</t>
  </si>
  <si>
    <t>Thomas Moore</t>
  </si>
  <si>
    <t>thomas.moore@gmail.com</t>
  </si>
  <si>
    <t>+27 03 323 0982</t>
  </si>
  <si>
    <t>STU0174</t>
  </si>
  <si>
    <t>Kristen Pierce</t>
  </si>
  <si>
    <t>kpierce@outlook.com</t>
  </si>
  <si>
    <t>+27 09 010 0167</t>
  </si>
  <si>
    <t>STU0175</t>
  </si>
  <si>
    <t>Lindsey Tran</t>
  </si>
  <si>
    <t>+27 46 184 9926</t>
  </si>
  <si>
    <t>STU0176</t>
  </si>
  <si>
    <t>James Davis</t>
  </si>
  <si>
    <t>james.davis@gmail.com</t>
  </si>
  <si>
    <t>+27 11 739 3483</t>
  </si>
  <si>
    <t>STU0177</t>
  </si>
  <si>
    <t>Collin Gay</t>
  </si>
  <si>
    <t>+27 73 753 0011</t>
  </si>
  <si>
    <t>STU0178</t>
  </si>
  <si>
    <t>Ryan Durham</t>
  </si>
  <si>
    <t>ryandurham36@yahoo.com</t>
  </si>
  <si>
    <t>+27 14 374 4701</t>
  </si>
  <si>
    <t>STU0179</t>
  </si>
  <si>
    <t>Rodney Murray</t>
  </si>
  <si>
    <t>STU0180</t>
  </si>
  <si>
    <t>Stuart Wilson</t>
  </si>
  <si>
    <t>stuart.wilson@gmail.com</t>
  </si>
  <si>
    <t>+27 16 674 6762</t>
  </si>
  <si>
    <t>STU0181</t>
  </si>
  <si>
    <t>Jessica Collier</t>
  </si>
  <si>
    <t>jessicacollier63@yahoo.com</t>
  </si>
  <si>
    <t>+27 79 729 6590</t>
  </si>
  <si>
    <t>STU0182</t>
  </si>
  <si>
    <t>Emily Jimenez</t>
  </si>
  <si>
    <t>+27 70 145 0899</t>
  </si>
  <si>
    <t>STU0183</t>
  </si>
  <si>
    <t>Tracey Moran</t>
  </si>
  <si>
    <t>STU0184</t>
  </si>
  <si>
    <t>Corey Hicks</t>
  </si>
  <si>
    <t>coreyhicks55@yahoo.com</t>
  </si>
  <si>
    <t>+27 17 535 4083</t>
  </si>
  <si>
    <t>STU0185</t>
  </si>
  <si>
    <t>Richard Hill</t>
  </si>
  <si>
    <t>rhill@outlook.com</t>
  </si>
  <si>
    <t>STU0186</t>
  </si>
  <si>
    <t>Matthew Davenport</t>
  </si>
  <si>
    <t>mdavenport@outlook.com</t>
  </si>
  <si>
    <t>STU0187</t>
  </si>
  <si>
    <t>Michelle Baird</t>
  </si>
  <si>
    <t>+27 75 899 7571</t>
  </si>
  <si>
    <t>STU0188</t>
  </si>
  <si>
    <t>John Sanchez</t>
  </si>
  <si>
    <t>+27 88 510 2726</t>
  </si>
  <si>
    <t>STU0189</t>
  </si>
  <si>
    <t>James Arnold</t>
  </si>
  <si>
    <t>jarnold@outlook.com</t>
  </si>
  <si>
    <t>+27 73 516 0917</t>
  </si>
  <si>
    <t>STU0190</t>
  </si>
  <si>
    <t>Shane Reyes</t>
  </si>
  <si>
    <t>shane.reyes@gmail.com</t>
  </si>
  <si>
    <t>+27 86 978 2922</t>
  </si>
  <si>
    <t>STU0191</t>
  </si>
  <si>
    <t>Robert Weeks</t>
  </si>
  <si>
    <t>robertweeks7@yahoo.com</t>
  </si>
  <si>
    <t>+27 34 654 7226</t>
  </si>
  <si>
    <t>STU0192</t>
  </si>
  <si>
    <t>Joshua Romero</t>
  </si>
  <si>
    <t>joshua.romero@gmail.com</t>
  </si>
  <si>
    <t>+27 33 945 2288</t>
  </si>
  <si>
    <t>STU0193</t>
  </si>
  <si>
    <t>John Suarez</t>
  </si>
  <si>
    <t>+27 99 684 6081</t>
  </si>
  <si>
    <t>STU0194</t>
  </si>
  <si>
    <t>Sandra Shields</t>
  </si>
  <si>
    <t>+27 24 420 4380</t>
  </si>
  <si>
    <t>STU0195</t>
  </si>
  <si>
    <t>Scott Hill</t>
  </si>
  <si>
    <t>shill@outlook.com</t>
  </si>
  <si>
    <t>+27 86 384 0666</t>
  </si>
  <si>
    <t>STU0196</t>
  </si>
  <si>
    <t>Michelle Tyler</t>
  </si>
  <si>
    <t>+27 39 735 9893</t>
  </si>
  <si>
    <t>STU0197</t>
  </si>
  <si>
    <t>Andrea Perry</t>
  </si>
  <si>
    <t>andrea.perry@gmail.com</t>
  </si>
  <si>
    <t>STU0198</t>
  </si>
  <si>
    <t>Brent Villa</t>
  </si>
  <si>
    <t>+27 72 025 9094</t>
  </si>
  <si>
    <t>STU0199</t>
  </si>
  <si>
    <t>Yvette Romero</t>
  </si>
  <si>
    <t>+27 28 182 6886</t>
  </si>
  <si>
    <t>STU0200</t>
  </si>
  <si>
    <t>Mary Hoover</t>
  </si>
  <si>
    <t>+27 43 987 8015</t>
  </si>
  <si>
    <t>STU0201</t>
  </si>
  <si>
    <t>Tanya Campbell</t>
  </si>
  <si>
    <t>tanya.campbell@gmail.com</t>
  </si>
  <si>
    <t>+27 64 840 8588</t>
  </si>
  <si>
    <t>STU0202</t>
  </si>
  <si>
    <t>Sara Evans</t>
  </si>
  <si>
    <t>sara.evans@gmail.com</t>
  </si>
  <si>
    <t>+27 11 288 0133</t>
  </si>
  <si>
    <t>STU0203</t>
  </si>
  <si>
    <t>Melinda Matthews</t>
  </si>
  <si>
    <t>+27 12 075 0110</t>
  </si>
  <si>
    <t>STU0204</t>
  </si>
  <si>
    <t>Gabriel Duarte</t>
  </si>
  <si>
    <t>gabriel.duarte@gmail.com</t>
  </si>
  <si>
    <t>+27 46 676 6506</t>
  </si>
  <si>
    <t>STU0205</t>
  </si>
  <si>
    <t>Todd Burns</t>
  </si>
  <si>
    <t>tburns@outlook.com</t>
  </si>
  <si>
    <t>STU0206</t>
  </si>
  <si>
    <t>Jason Hernandez</t>
  </si>
  <si>
    <t>jason.hernandez@gmail.com</t>
  </si>
  <si>
    <t>+27 28 326 8424</t>
  </si>
  <si>
    <t>STU0207</t>
  </si>
  <si>
    <t>Richard Ryan</t>
  </si>
  <si>
    <t>richard.ryan@gmail.com</t>
  </si>
  <si>
    <t>+27 10 099 6881</t>
  </si>
  <si>
    <t>STU0208</t>
  </si>
  <si>
    <t>Brian Reed</t>
  </si>
  <si>
    <t>brian.reed@gmail.com</t>
  </si>
  <si>
    <t>+27 22 394 3129</t>
  </si>
  <si>
    <t>STU0209</t>
  </si>
  <si>
    <t>Nicholas Arnold</t>
  </si>
  <si>
    <t>nicholasarnold99@yahoo.com</t>
  </si>
  <si>
    <t>STU0210</t>
  </si>
  <si>
    <t>Tricia Daniels</t>
  </si>
  <si>
    <t>tdaniels@outlook.com</t>
  </si>
  <si>
    <t>+27 59 492 9955</t>
  </si>
  <si>
    <t>STU0211</t>
  </si>
  <si>
    <t>Joseph Gibson</t>
  </si>
  <si>
    <t>josephgibson4@yahoo.com</t>
  </si>
  <si>
    <t>+27 64 525 7775</t>
  </si>
  <si>
    <t>STU0212</t>
  </si>
  <si>
    <t>Kristen Morris</t>
  </si>
  <si>
    <t>kristenmorris52@yahoo.com</t>
  </si>
  <si>
    <t>+27 14 283 4110</t>
  </si>
  <si>
    <t>STU0213</t>
  </si>
  <si>
    <t>Spencer Lopez</t>
  </si>
  <si>
    <t>spencer.lopez@gmail.com</t>
  </si>
  <si>
    <t>+27 30 848 8725</t>
  </si>
  <si>
    <t>STU0214</t>
  </si>
  <si>
    <t>Rodney Terry</t>
  </si>
  <si>
    <t>+27 16 580 3928</t>
  </si>
  <si>
    <t>STU0215</t>
  </si>
  <si>
    <t>Susan Armstrong</t>
  </si>
  <si>
    <t>susanarmstrong81@yahoo.com</t>
  </si>
  <si>
    <t>STU0216</t>
  </si>
  <si>
    <t>Wendy Hall</t>
  </si>
  <si>
    <t>wendyhall4@yahoo.com</t>
  </si>
  <si>
    <t>+27 70 051 8449</t>
  </si>
  <si>
    <t>STU0217</t>
  </si>
  <si>
    <t>Angela Rowe</t>
  </si>
  <si>
    <t>angela.rowe@gmail.com</t>
  </si>
  <si>
    <t>+27 18 463 8655</t>
  </si>
  <si>
    <t>STU0218</t>
  </si>
  <si>
    <t>Jennifer Williams</t>
  </si>
  <si>
    <t>jenniferwilliams73@yahoo.com</t>
  </si>
  <si>
    <t>+27 72 318 4322</t>
  </si>
  <si>
    <t>STU0219</t>
  </si>
  <si>
    <t>Eric Garner</t>
  </si>
  <si>
    <t>egarner@outlook.com</t>
  </si>
  <si>
    <t>STU0220</t>
  </si>
  <si>
    <t>Kenneth Thornton</t>
  </si>
  <si>
    <t>kthornton@outlook.com</t>
  </si>
  <si>
    <t>+27 20 242 8699</t>
  </si>
  <si>
    <t>STU0221</t>
  </si>
  <si>
    <t>Tanya Shepherd</t>
  </si>
  <si>
    <t>tanyashepherd49@yahoo.com</t>
  </si>
  <si>
    <t>+27 77 236 9292</t>
  </si>
  <si>
    <t>STU0222</t>
  </si>
  <si>
    <t>Beth Hughes</t>
  </si>
  <si>
    <t>beth.hughes@gmail.com</t>
  </si>
  <si>
    <t>+27 91 366 2103</t>
  </si>
  <si>
    <t>STU0223</t>
  </si>
  <si>
    <t>Amy Alvarado</t>
  </si>
  <si>
    <t>aalvarado@outlook.com</t>
  </si>
  <si>
    <t>+27 79 908 8117</t>
  </si>
  <si>
    <t>STU0224</t>
  </si>
  <si>
    <t>Julie Hoover</t>
  </si>
  <si>
    <t>STU0225</t>
  </si>
  <si>
    <t>Brian Pollard</t>
  </si>
  <si>
    <t>bpollard@outlook.com</t>
  </si>
  <si>
    <t>+27 49 864 3009</t>
  </si>
  <si>
    <t>STU0226</t>
  </si>
  <si>
    <t>Breanna Simpson</t>
  </si>
  <si>
    <t>breanna.simpson@gmail.com</t>
  </si>
  <si>
    <t>+27 51 269 4486</t>
  </si>
  <si>
    <t>STU0227</t>
  </si>
  <si>
    <t>Wesley Johnson</t>
  </si>
  <si>
    <t>wesley.johnson@gmail.com</t>
  </si>
  <si>
    <t>+27 87 258 8744</t>
  </si>
  <si>
    <t>STU0228</t>
  </si>
  <si>
    <t>Melissa Shaw</t>
  </si>
  <si>
    <t>+27 21 386 5890</t>
  </si>
  <si>
    <t>STU0229</t>
  </si>
  <si>
    <t>Eric Lawrence</t>
  </si>
  <si>
    <t>elawrence@outlook.com</t>
  </si>
  <si>
    <t>+27 61 143 5190</t>
  </si>
  <si>
    <t>STU0230</t>
  </si>
  <si>
    <t>Susan Kane</t>
  </si>
  <si>
    <t>STU0231</t>
  </si>
  <si>
    <t>Christopher Sawyer</t>
  </si>
  <si>
    <t>christophersawyer25@yahoo.com</t>
  </si>
  <si>
    <t>+27 30 214 6566</t>
  </si>
  <si>
    <t>STU0232</t>
  </si>
  <si>
    <t>Jacob Alexander</t>
  </si>
  <si>
    <t>+27 89 554 3937</t>
  </si>
  <si>
    <t>STU0233</t>
  </si>
  <si>
    <t>Brooke Fox</t>
  </si>
  <si>
    <t>bfox@outlook.com</t>
  </si>
  <si>
    <t>+27 18 184 5184</t>
  </si>
  <si>
    <t>STU0234</t>
  </si>
  <si>
    <t>Emma Bryant</t>
  </si>
  <si>
    <t>emma.bryant@gmail.com</t>
  </si>
  <si>
    <t>+27 35 779 0714</t>
  </si>
  <si>
    <t>STU0235</t>
  </si>
  <si>
    <t>Joe Bowen</t>
  </si>
  <si>
    <t>jbowen@outlook.com</t>
  </si>
  <si>
    <t>+27 88 043 4165</t>
  </si>
  <si>
    <t>STU0236</t>
  </si>
  <si>
    <t>David Ortiz</t>
  </si>
  <si>
    <t>davidortiz9@yahoo.com</t>
  </si>
  <si>
    <t>+27 94 237 3334</t>
  </si>
  <si>
    <t>STU0237</t>
  </si>
  <si>
    <t>Pamela Pena</t>
  </si>
  <si>
    <t>ppena@outlook.com</t>
  </si>
  <si>
    <t>+27 11 179 0807</t>
  </si>
  <si>
    <t>STU0238</t>
  </si>
  <si>
    <t>John Moore</t>
  </si>
  <si>
    <t>johnmoore34@yahoo.com</t>
  </si>
  <si>
    <t>+27 28 463 9208</t>
  </si>
  <si>
    <t>STU0239</t>
  </si>
  <si>
    <t>Brooke Harrison</t>
  </si>
  <si>
    <t>STU0240</t>
  </si>
  <si>
    <t>Christine Costa</t>
  </si>
  <si>
    <t>ccosta@outlook.com</t>
  </si>
  <si>
    <t>+27 94 284 3479</t>
  </si>
  <si>
    <t>STU0241</t>
  </si>
  <si>
    <t>Robert Morgan</t>
  </si>
  <si>
    <t>rmorgan@outlook.com</t>
  </si>
  <si>
    <t>+27 55 647 2929</t>
  </si>
  <si>
    <t>STU0242</t>
  </si>
  <si>
    <t>Brandy Schwartz</t>
  </si>
  <si>
    <t>+27 63 227 0267</t>
  </si>
  <si>
    <t>STU0243</t>
  </si>
  <si>
    <t>Alexandra Santos</t>
  </si>
  <si>
    <t>alexandrasantos88@yahoo.com</t>
  </si>
  <si>
    <t>STU0244</t>
  </si>
  <si>
    <t>Sarah Christian</t>
  </si>
  <si>
    <t>schristian@outlook.com</t>
  </si>
  <si>
    <t>+27 58 845 0615</t>
  </si>
  <si>
    <t>STU0245</t>
  </si>
  <si>
    <t>James Phelps</t>
  </si>
  <si>
    <t>jamesphelps65@yahoo.com</t>
  </si>
  <si>
    <t>+27 45 587 7169</t>
  </si>
  <si>
    <t>STU0246</t>
  </si>
  <si>
    <t>Jennifer Villarreal</t>
  </si>
  <si>
    <t>jvillarreal@outlook.com</t>
  </si>
  <si>
    <t>+27 96 112 5355</t>
  </si>
  <si>
    <t>STU0247</t>
  </si>
  <si>
    <t>John James</t>
  </si>
  <si>
    <t>johnjames63@yahoo.com</t>
  </si>
  <si>
    <t>+27 59 876 2202</t>
  </si>
  <si>
    <t>STU0248</t>
  </si>
  <si>
    <t>Randy Stewart</t>
  </si>
  <si>
    <t>randystewart3@yahoo.com</t>
  </si>
  <si>
    <t>+27 11 178 0068</t>
  </si>
  <si>
    <t>STU0249</t>
  </si>
  <si>
    <t>Emily Higgins</t>
  </si>
  <si>
    <t>STU0250</t>
  </si>
  <si>
    <t>Kevin Malone</t>
  </si>
  <si>
    <t>kevinmalone29@yahoo.com</t>
  </si>
  <si>
    <t>+27 77 848 7282</t>
  </si>
  <si>
    <t>STU0251</t>
  </si>
  <si>
    <t>Leslie Brennan</t>
  </si>
  <si>
    <t>leslie.brennan@gmail.com</t>
  </si>
  <si>
    <t>+27 45 783 1745</t>
  </si>
  <si>
    <t>STU0252</t>
  </si>
  <si>
    <t>Karen Johnson</t>
  </si>
  <si>
    <t>+27 25 478 0774</t>
  </si>
  <si>
    <t>STU0253</t>
  </si>
  <si>
    <t>Charles Jones</t>
  </si>
  <si>
    <t>charlesjones34@yahoo.com</t>
  </si>
  <si>
    <t>STU0254</t>
  </si>
  <si>
    <t>Stephen Welch</t>
  </si>
  <si>
    <t>+27 63 894 4846</t>
  </si>
  <si>
    <t>STU0255</t>
  </si>
  <si>
    <t>Yolanda Mccall</t>
  </si>
  <si>
    <t>ymccall@outlook.com</t>
  </si>
  <si>
    <t>+27 79 749 7350</t>
  </si>
  <si>
    <t>STU0256</t>
  </si>
  <si>
    <t>Wendy Bright</t>
  </si>
  <si>
    <t>wbright@outlook.com</t>
  </si>
  <si>
    <t>+27 27 031 2073</t>
  </si>
  <si>
    <t>STU0257</t>
  </si>
  <si>
    <t>Charles Francis</t>
  </si>
  <si>
    <t>charlesfrancis15@yahoo.com</t>
  </si>
  <si>
    <t>+27 51 204 6187</t>
  </si>
  <si>
    <t>STU0258</t>
  </si>
  <si>
    <t>Jason Hamilton</t>
  </si>
  <si>
    <t>jason.hamilton@gmail.com</t>
  </si>
  <si>
    <t>+27 67 303 7183</t>
  </si>
  <si>
    <t>STU0259</t>
  </si>
  <si>
    <t>Joseph Garcia</t>
  </si>
  <si>
    <t>jgarcia@outlook.com</t>
  </si>
  <si>
    <t>STU0260</t>
  </si>
  <si>
    <t>Sarah Schultz</t>
  </si>
  <si>
    <t>sarahschultz65@yahoo.com</t>
  </si>
  <si>
    <t>+27 49 163 0097</t>
  </si>
  <si>
    <t>STU0261</t>
  </si>
  <si>
    <t>Nicole Brennan</t>
  </si>
  <si>
    <t>nicolebrennan11@yahoo.com</t>
  </si>
  <si>
    <t>+27 71 950 0528</t>
  </si>
  <si>
    <t>STU0262</t>
  </si>
  <si>
    <t>Natasha Wallace</t>
  </si>
  <si>
    <t>nwallace@outlook.com</t>
  </si>
  <si>
    <t>STU0263</t>
  </si>
  <si>
    <t>Mike Benson</t>
  </si>
  <si>
    <t>mbenson@outlook.com</t>
  </si>
  <si>
    <t>+27 39 285 5749</t>
  </si>
  <si>
    <t>STU0264</t>
  </si>
  <si>
    <t>Eric Berger</t>
  </si>
  <si>
    <t>ericberger92@yahoo.com</t>
  </si>
  <si>
    <t>+27 44 857 0862</t>
  </si>
  <si>
    <t>STU0265</t>
  </si>
  <si>
    <t>Martha Williams</t>
  </si>
  <si>
    <t>STU0266</t>
  </si>
  <si>
    <t>Jade Flynn</t>
  </si>
  <si>
    <t>jadeflynn94@yahoo.com</t>
  </si>
  <si>
    <t>+27 02 203 1731</t>
  </si>
  <si>
    <t>STU0267</t>
  </si>
  <si>
    <t>Cheryl Carter</t>
  </si>
  <si>
    <t>cherylcarter18@yahoo.com</t>
  </si>
  <si>
    <t>+27 40 539 1037</t>
  </si>
  <si>
    <t>STU0268</t>
  </si>
  <si>
    <t>Vanessa Brooks</t>
  </si>
  <si>
    <t>vbrooks@outlook.com</t>
  </si>
  <si>
    <t>+27 65 094 8014</t>
  </si>
  <si>
    <t>STU0269</t>
  </si>
  <si>
    <t>Destiny Thomas</t>
  </si>
  <si>
    <t>destiny.thomas@gmail.com</t>
  </si>
  <si>
    <t>STU0270</t>
  </si>
  <si>
    <t>Alan Schmidt</t>
  </si>
  <si>
    <t>alanschmidt97@yahoo.com</t>
  </si>
  <si>
    <t>STU0271</t>
  </si>
  <si>
    <t>Lisa Knight</t>
  </si>
  <si>
    <t>lisa.knight@gmail.com</t>
  </si>
  <si>
    <t>+27 56 659 3983</t>
  </si>
  <si>
    <t>STU0272</t>
  </si>
  <si>
    <t>Kevin Sparks</t>
  </si>
  <si>
    <t>kevinsparks93@yahoo.com</t>
  </si>
  <si>
    <t>+27 00 490 8240</t>
  </si>
  <si>
    <t>STU0273</t>
  </si>
  <si>
    <t>Elizabeth Jackson</t>
  </si>
  <si>
    <t>ejackson@outlook.com</t>
  </si>
  <si>
    <t>+27 88 899 2107</t>
  </si>
  <si>
    <t>STU0274</t>
  </si>
  <si>
    <t>Sheila Miller</t>
  </si>
  <si>
    <t>smiller@outlook.com</t>
  </si>
  <si>
    <t>STU0275</t>
  </si>
  <si>
    <t>Dennis Pitts</t>
  </si>
  <si>
    <t>dpitts@outlook.com</t>
  </si>
  <si>
    <t>+27 94 096 1055</t>
  </si>
  <si>
    <t>STU0276</t>
  </si>
  <si>
    <t>Darrell Harvey</t>
  </si>
  <si>
    <t>dharvey@outlook.com</t>
  </si>
  <si>
    <t>+27 06 048 0589</t>
  </si>
  <si>
    <t>STU0277</t>
  </si>
  <si>
    <t>Daniel Allen</t>
  </si>
  <si>
    <t>dallen@outlook.com</t>
  </si>
  <si>
    <t>+27 99 813 6462</t>
  </si>
  <si>
    <t>STU0278</t>
  </si>
  <si>
    <t>Angela Durham</t>
  </si>
  <si>
    <t>+27 64 168 6227</t>
  </si>
  <si>
    <t>STU0279</t>
  </si>
  <si>
    <t>Joseph Thomas</t>
  </si>
  <si>
    <t>joseph.thomas@gmail.com</t>
  </si>
  <si>
    <t>STU0280</t>
  </si>
  <si>
    <t>Cassandra Murray</t>
  </si>
  <si>
    <t>cassandra.murray@gmail.com</t>
  </si>
  <si>
    <t>STU0281</t>
  </si>
  <si>
    <t>Jennifer King</t>
  </si>
  <si>
    <t>jennifer.king@gmail.com</t>
  </si>
  <si>
    <t>+27 21 103 9240</t>
  </si>
  <si>
    <t>STU0282</t>
  </si>
  <si>
    <t>James Scott</t>
  </si>
  <si>
    <t>jamesscott16@yahoo.com</t>
  </si>
  <si>
    <t>+27 53 833 8848</t>
  </si>
  <si>
    <t>STU0283</t>
  </si>
  <si>
    <t>Cynthia Smith</t>
  </si>
  <si>
    <t>cynthiasmith29@yahoo.com</t>
  </si>
  <si>
    <t>STU0284</t>
  </si>
  <si>
    <t>Joseph Ballard</t>
  </si>
  <si>
    <t>joseph.ballard@gmail.com</t>
  </si>
  <si>
    <t>+27 10 463 6815</t>
  </si>
  <si>
    <t>STU0285</t>
  </si>
  <si>
    <t>Tracy Santana</t>
  </si>
  <si>
    <t>tsantana@outlook.com</t>
  </si>
  <si>
    <t>STU0286</t>
  </si>
  <si>
    <t>Rebecca Byrd</t>
  </si>
  <si>
    <t>rbyrd@outlook.com</t>
  </si>
  <si>
    <t>+27 38 404 6084</t>
  </si>
  <si>
    <t>STU0287</t>
  </si>
  <si>
    <t>Meghan Moore</t>
  </si>
  <si>
    <t>meghanmoore34@yahoo.com</t>
  </si>
  <si>
    <t>+27 89 363 9264</t>
  </si>
  <si>
    <t>STU0288</t>
  </si>
  <si>
    <t>Christopher Alexander</t>
  </si>
  <si>
    <t>calexander@outlook.com</t>
  </si>
  <si>
    <t>STU0289</t>
  </si>
  <si>
    <t>Rodney Reed</t>
  </si>
  <si>
    <t>rreed@outlook.com</t>
  </si>
  <si>
    <t>STU0290</t>
  </si>
  <si>
    <t>Joshua Matthews</t>
  </si>
  <si>
    <t>joshuamatthews98@yahoo.com</t>
  </si>
  <si>
    <t>+27 12 209 9499</t>
  </si>
  <si>
    <t>STU0291</t>
  </si>
  <si>
    <t>Adam Fowler</t>
  </si>
  <si>
    <t>afowler@outlook.com</t>
  </si>
  <si>
    <t>+27 72 897 5267</t>
  </si>
  <si>
    <t>STU0292</t>
  </si>
  <si>
    <t>Kellie Coleman</t>
  </si>
  <si>
    <t>kcoleman@outlook.com</t>
  </si>
  <si>
    <t>+27 04 633 3127</t>
  </si>
  <si>
    <t>STU0293</t>
  </si>
  <si>
    <t>Dana Wright</t>
  </si>
  <si>
    <t>danawright24@yahoo.com</t>
  </si>
  <si>
    <t>+27 60 965 6999</t>
  </si>
  <si>
    <t>STU0294</t>
  </si>
  <si>
    <t>Jose Bruce</t>
  </si>
  <si>
    <t>josebruce6@yahoo.com</t>
  </si>
  <si>
    <t>+27 03 886 0868</t>
  </si>
  <si>
    <t>STU0295</t>
  </si>
  <si>
    <t>Joyce Gonzalez</t>
  </si>
  <si>
    <t>jgonzalez@outlook.com</t>
  </si>
  <si>
    <t>+27 44 726 4908</t>
  </si>
  <si>
    <t>STU0296</t>
  </si>
  <si>
    <t>Andrea Cruz</t>
  </si>
  <si>
    <t>acruz@outlook.com</t>
  </si>
  <si>
    <t>+27 29 826 6570</t>
  </si>
  <si>
    <t>STU0297</t>
  </si>
  <si>
    <t>Ronald Webb</t>
  </si>
  <si>
    <t>ronald.webb@gmail.com</t>
  </si>
  <si>
    <t>+27 21 117 5186</t>
  </si>
  <si>
    <t>STU0298</t>
  </si>
  <si>
    <t>Alec Young</t>
  </si>
  <si>
    <t>+27 25 922 2206</t>
  </si>
  <si>
    <t>STU0299</t>
  </si>
  <si>
    <t>Charles Armstrong</t>
  </si>
  <si>
    <t>charlesarmstrong33@yahoo.com</t>
  </si>
  <si>
    <t>+27 30 940 7778</t>
  </si>
  <si>
    <t>STU0300</t>
  </si>
  <si>
    <t>Nicole Andrews</t>
  </si>
  <si>
    <t>nicole.andrews@gmail.com</t>
  </si>
  <si>
    <t>+27 76 719 9038</t>
  </si>
  <si>
    <t>STU0301</t>
  </si>
  <si>
    <t>Rebecca Haney</t>
  </si>
  <si>
    <t>rhaney@outlook.com</t>
  </si>
  <si>
    <t>+27 50 209 9451</t>
  </si>
  <si>
    <t>STU0302</t>
  </si>
  <si>
    <t>Amy Phillips</t>
  </si>
  <si>
    <t>amy.phillips@gmail.com</t>
  </si>
  <si>
    <t>+27 99 827 9501</t>
  </si>
  <si>
    <t>STU0303</t>
  </si>
  <si>
    <t>Mary Spence</t>
  </si>
  <si>
    <t>maryspence61@yahoo.com</t>
  </si>
  <si>
    <t>STU0304</t>
  </si>
  <si>
    <t>Brandi Barrett</t>
  </si>
  <si>
    <t>brandi.barrett@gmail.com</t>
  </si>
  <si>
    <t>+27 98 179 4695</t>
  </si>
  <si>
    <t>STU0305</t>
  </si>
  <si>
    <t>Earl Hill</t>
  </si>
  <si>
    <t>earl.hill@gmail.com</t>
  </si>
  <si>
    <t>+27 87 729 3430</t>
  </si>
  <si>
    <t>STU0306</t>
  </si>
  <si>
    <t>David Knight</t>
  </si>
  <si>
    <t>dknight@outlook.com</t>
  </si>
  <si>
    <t>STU0307</t>
  </si>
  <si>
    <t>Kyle Jennings</t>
  </si>
  <si>
    <t>kyle.jennings@gmail.com</t>
  </si>
  <si>
    <t>STU0308</t>
  </si>
  <si>
    <t>Rachel Garner</t>
  </si>
  <si>
    <t>STU0309</t>
  </si>
  <si>
    <t>Laura Williams</t>
  </si>
  <si>
    <t>laura.williams@gmail.com</t>
  </si>
  <si>
    <t>+27 88 039 5512</t>
  </si>
  <si>
    <t>STU0310</t>
  </si>
  <si>
    <t>Michelle Obrien</t>
  </si>
  <si>
    <t>michelleobrien64@yahoo.com</t>
  </si>
  <si>
    <t>+27 99 629 1450</t>
  </si>
  <si>
    <t>STU0311</t>
  </si>
  <si>
    <t>Rachel Crawford</t>
  </si>
  <si>
    <t>STU0312</t>
  </si>
  <si>
    <t>Jason Strong</t>
  </si>
  <si>
    <t>jasonstrong97@yahoo.com</t>
  </si>
  <si>
    <t>STU0313</t>
  </si>
  <si>
    <t>John Mitchell</t>
  </si>
  <si>
    <t>+27 81 040 9157</t>
  </si>
  <si>
    <t>STU0314</t>
  </si>
  <si>
    <t>Curtis Lindsey</t>
  </si>
  <si>
    <t>clindsey@outlook.com</t>
  </si>
  <si>
    <t>+27 43 533 4485</t>
  </si>
  <si>
    <t>STU0315</t>
  </si>
  <si>
    <t>Kimberly Lawson</t>
  </si>
  <si>
    <t>klawson@outlook.com</t>
  </si>
  <si>
    <t>+27 10 988 1385</t>
  </si>
  <si>
    <t>STU0316</t>
  </si>
  <si>
    <t>Nicole Gomez</t>
  </si>
  <si>
    <t>ngomez@outlook.com</t>
  </si>
  <si>
    <t>+27 21 495 8702</t>
  </si>
  <si>
    <t>STU0317</t>
  </si>
  <si>
    <t>Richard Fields</t>
  </si>
  <si>
    <t>rfields@outlook.com</t>
  </si>
  <si>
    <t>+27 66 299 7954</t>
  </si>
  <si>
    <t>STU0318</t>
  </si>
  <si>
    <t>Christine Oliver</t>
  </si>
  <si>
    <t>coliver@outlook.com</t>
  </si>
  <si>
    <t>+27 21 717 4773</t>
  </si>
  <si>
    <t>STU0319</t>
  </si>
  <si>
    <t>Eric Byrd</t>
  </si>
  <si>
    <t>+27 25 577 0171</t>
  </si>
  <si>
    <t>STU0320</t>
  </si>
  <si>
    <t>Sarah Le</t>
  </si>
  <si>
    <t>+27 92 816 1581</t>
  </si>
  <si>
    <t>STU0321</t>
  </si>
  <si>
    <t>Michelle Hopkins</t>
  </si>
  <si>
    <t>michelle.hopkins@gmail.com</t>
  </si>
  <si>
    <t>+27 93 827 6153</t>
  </si>
  <si>
    <t>STU0322</t>
  </si>
  <si>
    <t>Theresa Massey</t>
  </si>
  <si>
    <t>theresamassey17@yahoo.com</t>
  </si>
  <si>
    <t>STU0323</t>
  </si>
  <si>
    <t>Lisa Fuller</t>
  </si>
  <si>
    <t>STU0324</t>
  </si>
  <si>
    <t>Nicole Berger</t>
  </si>
  <si>
    <t>nicole.berger@gmail.com</t>
  </si>
  <si>
    <t>+27 78 469 9733</t>
  </si>
  <si>
    <t>STU0325</t>
  </si>
  <si>
    <t>Angel Lucas</t>
  </si>
  <si>
    <t>angellucas1@yahoo.com</t>
  </si>
  <si>
    <t>STU0326</t>
  </si>
  <si>
    <t>Jill Parker</t>
  </si>
  <si>
    <t>jparker@outlook.com</t>
  </si>
  <si>
    <t>+27 40 369 6566</t>
  </si>
  <si>
    <t>STU0327</t>
  </si>
  <si>
    <t>Martin Alexander</t>
  </si>
  <si>
    <t>+27 86 562 4220</t>
  </si>
  <si>
    <t>STU0328</t>
  </si>
  <si>
    <t>Sarah Riley</t>
  </si>
  <si>
    <t>sarah.riley@gmail.com</t>
  </si>
  <si>
    <t>+27 12 679 6927</t>
  </si>
  <si>
    <t>STU0329</t>
  </si>
  <si>
    <t>Leah Oconnor</t>
  </si>
  <si>
    <t>loconnor@outlook.com</t>
  </si>
  <si>
    <t>+27 69 097 3846</t>
  </si>
  <si>
    <t>STU0330</t>
  </si>
  <si>
    <t>Michelle Davis</t>
  </si>
  <si>
    <t>michelledavis59@yahoo.com</t>
  </si>
  <si>
    <t>+27 51 971 2847</t>
  </si>
  <si>
    <t>STU0331</t>
  </si>
  <si>
    <t>Lisa Phillips</t>
  </si>
  <si>
    <t>+27 94 905 8077</t>
  </si>
  <si>
    <t>STU0332</t>
  </si>
  <si>
    <t>Joseph Burgess</t>
  </si>
  <si>
    <t>josephburgess2@yahoo.com</t>
  </si>
  <si>
    <t>+27 44 209 4940</t>
  </si>
  <si>
    <t>STU0333</t>
  </si>
  <si>
    <t>Kristin Thompson</t>
  </si>
  <si>
    <t>kthompson@outlook.com</t>
  </si>
  <si>
    <t>+27 04 712 8144</t>
  </si>
  <si>
    <t>STU0334</t>
  </si>
  <si>
    <t>Daniel Anderson</t>
  </si>
  <si>
    <t>+27 92 927 5243</t>
  </si>
  <si>
    <t>STU0335</t>
  </si>
  <si>
    <t>Monica Ryan</t>
  </si>
  <si>
    <t>mryan@outlook.com</t>
  </si>
  <si>
    <t>STU0336</t>
  </si>
  <si>
    <t>Michele Mata</t>
  </si>
  <si>
    <t>michele.mata@gmail.com</t>
  </si>
  <si>
    <t>STU0337</t>
  </si>
  <si>
    <t>Jeffrey Schmidt</t>
  </si>
  <si>
    <t>+27 60 476 5801</t>
  </si>
  <si>
    <t>STU0338</t>
  </si>
  <si>
    <t>Lisa Mcintyre</t>
  </si>
  <si>
    <t>+27 44 149 6739</t>
  </si>
  <si>
    <t>STU0339</t>
  </si>
  <si>
    <t>Steven Rivas</t>
  </si>
  <si>
    <t>+27 01 061 8175</t>
  </si>
  <si>
    <t>STU0340</t>
  </si>
  <si>
    <t>Kevin Scott</t>
  </si>
  <si>
    <t>kevin.scott@gmail.com</t>
  </si>
  <si>
    <t>+27 91 093 9111</t>
  </si>
  <si>
    <t>STU0341</t>
  </si>
  <si>
    <t>Laura Summers</t>
  </si>
  <si>
    <t>lsummers@outlook.com</t>
  </si>
  <si>
    <t>+27 24 471 7465</t>
  </si>
  <si>
    <t>STU0342</t>
  </si>
  <si>
    <t>Jeremy Olson</t>
  </si>
  <si>
    <t>jolson@outlook.com</t>
  </si>
  <si>
    <t>+27 50 442 7173</t>
  </si>
  <si>
    <t>STU0343</t>
  </si>
  <si>
    <t>Andrew Drake</t>
  </si>
  <si>
    <t>+27 63 917 4101</t>
  </si>
  <si>
    <t>STU0344</t>
  </si>
  <si>
    <t>James Francis</t>
  </si>
  <si>
    <t>james.francis@gmail.com</t>
  </si>
  <si>
    <t>+27 00 642 5690</t>
  </si>
  <si>
    <t>STU0345</t>
  </si>
  <si>
    <t>Mark Morgan</t>
  </si>
  <si>
    <t>mmorgan@outlook.com</t>
  </si>
  <si>
    <t>+27 83 067 1985</t>
  </si>
  <si>
    <t>STU0346</t>
  </si>
  <si>
    <t>Michelle Wilson</t>
  </si>
  <si>
    <t>michelle.wilson@gmail.com</t>
  </si>
  <si>
    <t>+27 85 174 3280</t>
  </si>
  <si>
    <t>STU0347</t>
  </si>
  <si>
    <t>Tammy Mccarty</t>
  </si>
  <si>
    <t>tammy.mccarty@gmail.com</t>
  </si>
  <si>
    <t>+27 71 732 0309</t>
  </si>
  <si>
    <t>STU0348</t>
  </si>
  <si>
    <t>Joshua Taylor</t>
  </si>
  <si>
    <t>+27 87 005 0506</t>
  </si>
  <si>
    <t>STU0349</t>
  </si>
  <si>
    <t>Darlene Levy</t>
  </si>
  <si>
    <t>darlenelevy62@yahoo.com</t>
  </si>
  <si>
    <t>STU0350</t>
  </si>
  <si>
    <t>Ricardo Dalton</t>
  </si>
  <si>
    <t>+27 17 929 1117</t>
  </si>
  <si>
    <t>STU0351</t>
  </si>
  <si>
    <t>Tina Ramsey</t>
  </si>
  <si>
    <t>tinaramsey57@yahoo.com</t>
  </si>
  <si>
    <t>+27 65 198 2530</t>
  </si>
  <si>
    <t>STU0352</t>
  </si>
  <si>
    <t>Amanda Whitney</t>
  </si>
  <si>
    <t>amanda.whitney@gmail.com</t>
  </si>
  <si>
    <t>+27 62 582 7390</t>
  </si>
  <si>
    <t>STU0353</t>
  </si>
  <si>
    <t>Sheila Coffey</t>
  </si>
  <si>
    <t>sheila.coffey@gmail.com</t>
  </si>
  <si>
    <t>+27 00 219 4672</t>
  </si>
  <si>
    <t>STU0354</t>
  </si>
  <si>
    <t>Darrell Ballard</t>
  </si>
  <si>
    <t>+27 29 092 7914</t>
  </si>
  <si>
    <t>STU0355</t>
  </si>
  <si>
    <t>Tara Diaz</t>
  </si>
  <si>
    <t>STU0356</t>
  </si>
  <si>
    <t>Gregory Gibbs</t>
  </si>
  <si>
    <t>+27 22 005 4364</t>
  </si>
  <si>
    <t>STU0357</t>
  </si>
  <si>
    <t>Sydney Smith</t>
  </si>
  <si>
    <t>ssmith@outlook.com</t>
  </si>
  <si>
    <t>+27 22 078 1137</t>
  </si>
  <si>
    <t>STU0358</t>
  </si>
  <si>
    <t>Joseph Herrera</t>
  </si>
  <si>
    <t>jherrera@outlook.com</t>
  </si>
  <si>
    <t>+27 15 313 6363</t>
  </si>
  <si>
    <t>STU0359</t>
  </si>
  <si>
    <t>Daniel Gibson</t>
  </si>
  <si>
    <t>danielgibson41@yahoo.com</t>
  </si>
  <si>
    <t>+27 97 265 2735</t>
  </si>
  <si>
    <t>STU0360</t>
  </si>
  <si>
    <t>Ryan Chambers</t>
  </si>
  <si>
    <t>ryanchambers14@yahoo.com</t>
  </si>
  <si>
    <t>+27 04 217 7625</t>
  </si>
  <si>
    <t>STU0361</t>
  </si>
  <si>
    <t>Jessica Chambers</t>
  </si>
  <si>
    <t>jessicachambers65@yahoo.com</t>
  </si>
  <si>
    <t>STU0362</t>
  </si>
  <si>
    <t>Lee Richards</t>
  </si>
  <si>
    <t>+27 35 693 9290</t>
  </si>
  <si>
    <t>STU0363</t>
  </si>
  <si>
    <t>Catherine Carson</t>
  </si>
  <si>
    <t>+27 68 671 7731</t>
  </si>
  <si>
    <t>STU0364</t>
  </si>
  <si>
    <t>William Bentley</t>
  </si>
  <si>
    <t>+27 43 107 4279</t>
  </si>
  <si>
    <t>STU0365</t>
  </si>
  <si>
    <t>Paul Rodriguez</t>
  </si>
  <si>
    <t>paulrodriguez60@yahoo.com</t>
  </si>
  <si>
    <t>+27 25 701 6580</t>
  </si>
  <si>
    <t>STU0366</t>
  </si>
  <si>
    <t>Barbara Hall</t>
  </si>
  <si>
    <t>barbara.hall@gmail.com</t>
  </si>
  <si>
    <t>+27 19 508 5016</t>
  </si>
  <si>
    <t>STU0367</t>
  </si>
  <si>
    <t>Jonathan Johnson</t>
  </si>
  <si>
    <t>+27 18 325 3817</t>
  </si>
  <si>
    <t>STU0368</t>
  </si>
  <si>
    <t>Jeanne Henson</t>
  </si>
  <si>
    <t>jeannehenson16@yahoo.com</t>
  </si>
  <si>
    <t>+27 86 401 5577</t>
  </si>
  <si>
    <t>STU0369</t>
  </si>
  <si>
    <t>Aaron Hoffman</t>
  </si>
  <si>
    <t>+27 79 513 7116</t>
  </si>
  <si>
    <t>STU0370</t>
  </si>
  <si>
    <t>Sara Herman</t>
  </si>
  <si>
    <t>saraherman5@yahoo.com</t>
  </si>
  <si>
    <t>STU0371</t>
  </si>
  <si>
    <t>Amanda Walker</t>
  </si>
  <si>
    <t>+27 04 310 3856</t>
  </si>
  <si>
    <t>STU0372</t>
  </si>
  <si>
    <t>Jennifer Brown</t>
  </si>
  <si>
    <t>STU0373</t>
  </si>
  <si>
    <t>Judy Colon</t>
  </si>
  <si>
    <t>jcolon@outlook.com</t>
  </si>
  <si>
    <t>+27 72 928 4222</t>
  </si>
  <si>
    <t>STU0374</t>
  </si>
  <si>
    <t>Emily Blankenship</t>
  </si>
  <si>
    <t>emily.blankenship@gmail.com</t>
  </si>
  <si>
    <t>+27 74 523 8055</t>
  </si>
  <si>
    <t>STU0375</t>
  </si>
  <si>
    <t>Michael Turner</t>
  </si>
  <si>
    <t>mturner@outlook.com</t>
  </si>
  <si>
    <t>+27 10 672 7520</t>
  </si>
  <si>
    <t>STU0376</t>
  </si>
  <si>
    <t>Chad Ortiz</t>
  </si>
  <si>
    <t>+27 29 751 7028</t>
  </si>
  <si>
    <t>STU0377</t>
  </si>
  <si>
    <t>Elizabeth Taylor</t>
  </si>
  <si>
    <t>etaylor@outlook.com</t>
  </si>
  <si>
    <t>STU0378</t>
  </si>
  <si>
    <t>Mark Shah</t>
  </si>
  <si>
    <t>STU0379</t>
  </si>
  <si>
    <t>Lee Torres</t>
  </si>
  <si>
    <t>leetorres48@yahoo.com</t>
  </si>
  <si>
    <t>+27 56 504 5547</t>
  </si>
  <si>
    <t>STU0380</t>
  </si>
  <si>
    <t>Melanie Vasquez</t>
  </si>
  <si>
    <t>melanievasquez25@yahoo.com</t>
  </si>
  <si>
    <t>+27 42 662 9912</t>
  </si>
  <si>
    <t>STU0381</t>
  </si>
  <si>
    <t>Jennifer Davis</t>
  </si>
  <si>
    <t>jennifer.davis@gmail.com</t>
  </si>
  <si>
    <t>+27 61 064 6287</t>
  </si>
  <si>
    <t>STU0382</t>
  </si>
  <si>
    <t>Kevin Clay</t>
  </si>
  <si>
    <t>kevinclay25@yahoo.com</t>
  </si>
  <si>
    <t>+27 87 049 4787</t>
  </si>
  <si>
    <t>STU0383</t>
  </si>
  <si>
    <t>Kyle Taylor</t>
  </si>
  <si>
    <t>ktaylor@outlook.com</t>
  </si>
  <si>
    <t>STU0384</t>
  </si>
  <si>
    <t>Ricky Chavez</t>
  </si>
  <si>
    <t>+27 96 471 5890</t>
  </si>
  <si>
    <t>STU0385</t>
  </si>
  <si>
    <t>Richard Santiago</t>
  </si>
  <si>
    <t>richardsantiago12@yahoo.com</t>
  </si>
  <si>
    <t>+27 72 520 4565</t>
  </si>
  <si>
    <t>STU0386</t>
  </si>
  <si>
    <t>Kenneth Paul</t>
  </si>
  <si>
    <t>+27 21 928 5544</t>
  </si>
  <si>
    <t>STU0387</t>
  </si>
  <si>
    <t>David Bautista</t>
  </si>
  <si>
    <t>david.bautista@gmail.com</t>
  </si>
  <si>
    <t>+27 20 284 5765</t>
  </si>
  <si>
    <t>STU0388</t>
  </si>
  <si>
    <t>Robert Barnes</t>
  </si>
  <si>
    <t>robertbarnes62@yahoo.com</t>
  </si>
  <si>
    <t>+27 33 898 8816</t>
  </si>
  <si>
    <t>STU0389</t>
  </si>
  <si>
    <t>Shelby Newton</t>
  </si>
  <si>
    <t>+27 54 527 9852</t>
  </si>
  <si>
    <t>STU0390</t>
  </si>
  <si>
    <t>Erica Moore</t>
  </si>
  <si>
    <t>+27 34 232 1611</t>
  </si>
  <si>
    <t>STU0391</t>
  </si>
  <si>
    <t>Raven Perry</t>
  </si>
  <si>
    <t>rperry@outlook.com</t>
  </si>
  <si>
    <t>+27 08 907 1401</t>
  </si>
  <si>
    <t>STU0392</t>
  </si>
  <si>
    <t>Christina Garcia</t>
  </si>
  <si>
    <t>christina.garcia@gmail.com</t>
  </si>
  <si>
    <t>+27 93 250 1249</t>
  </si>
  <si>
    <t>STU0393</t>
  </si>
  <si>
    <t>Kevin Burns</t>
  </si>
  <si>
    <t>STU0394</t>
  </si>
  <si>
    <t>Amy Russell</t>
  </si>
  <si>
    <t>amy.russell@gmail.com</t>
  </si>
  <si>
    <t>+27 59 271 2566</t>
  </si>
  <si>
    <t>STU0395</t>
  </si>
  <si>
    <t>Aaron Lynn</t>
  </si>
  <si>
    <t>aaronlynn59@yahoo.com</t>
  </si>
  <si>
    <t>STU0396</t>
  </si>
  <si>
    <t>Justin Johnson</t>
  </si>
  <si>
    <t>jjohnson@outlook.com</t>
  </si>
  <si>
    <t>+27 94 738 6463</t>
  </si>
  <si>
    <t>STU0397</t>
  </si>
  <si>
    <t>Russell Wood</t>
  </si>
  <si>
    <t>russell.wood@gmail.com</t>
  </si>
  <si>
    <t>STU0398</t>
  </si>
  <si>
    <t>Bethany Ramos</t>
  </si>
  <si>
    <t>STU0399</t>
  </si>
  <si>
    <t>Diana Sampson</t>
  </si>
  <si>
    <t>STU0400</t>
  </si>
  <si>
    <t>Steven Foley</t>
  </si>
  <si>
    <t>sfoley@outlook.com</t>
  </si>
  <si>
    <t>+27 17 026 9524</t>
  </si>
  <si>
    <t>STU0401</t>
  </si>
  <si>
    <t>Scott Garcia</t>
  </si>
  <si>
    <t>scott.garcia@gmail.com</t>
  </si>
  <si>
    <t>+27 34 778 4858</t>
  </si>
  <si>
    <t>STU0402</t>
  </si>
  <si>
    <t>Jason Jennings</t>
  </si>
  <si>
    <t>jjennings@outlook.com</t>
  </si>
  <si>
    <t>+27 56 770 0284</t>
  </si>
  <si>
    <t>STU0403</t>
  </si>
  <si>
    <t>Thomas Stephens</t>
  </si>
  <si>
    <t>thomasstephens68@yahoo.com</t>
  </si>
  <si>
    <t>+27 67 197 8897</t>
  </si>
  <si>
    <t>STU0404</t>
  </si>
  <si>
    <t>Rachel Levine</t>
  </si>
  <si>
    <t>rlevine@outlook.com</t>
  </si>
  <si>
    <t>+27 79 695 4500</t>
  </si>
  <si>
    <t>STU0405</t>
  </si>
  <si>
    <t>Laura Howard</t>
  </si>
  <si>
    <t>laura.howard@gmail.com</t>
  </si>
  <si>
    <t>+27 56 165 5650</t>
  </si>
  <si>
    <t>STU0406</t>
  </si>
  <si>
    <t>Gene Sanders</t>
  </si>
  <si>
    <t>gene.sanders@gmail.com</t>
  </si>
  <si>
    <t>STU0407</t>
  </si>
  <si>
    <t>christopherlopez33@yahoo.com</t>
  </si>
  <si>
    <t>+27 07 905 6965</t>
  </si>
  <si>
    <t>STU0408</t>
  </si>
  <si>
    <t>Zachary Martinez</t>
  </si>
  <si>
    <t>+27 85 294 5637</t>
  </si>
  <si>
    <t>STU0409</t>
  </si>
  <si>
    <t>Cynthia Charles</t>
  </si>
  <si>
    <t>+27 04 963 9191</t>
  </si>
  <si>
    <t>STU0410</t>
  </si>
  <si>
    <t>Matthew Gibson</t>
  </si>
  <si>
    <t>matthew.gibson@gmail.com</t>
  </si>
  <si>
    <t>+27 63 514 8468</t>
  </si>
  <si>
    <t>STU0411</t>
  </si>
  <si>
    <t>Loretta Bates</t>
  </si>
  <si>
    <t>lorettabates1@yahoo.com</t>
  </si>
  <si>
    <t>+27 78 208 2973</t>
  </si>
  <si>
    <t>STU0412</t>
  </si>
  <si>
    <t>Karen May</t>
  </si>
  <si>
    <t>kmay@outlook.com</t>
  </si>
  <si>
    <t>+27 90 835 7232</t>
  </si>
  <si>
    <t>STU0413</t>
  </si>
  <si>
    <t>Emily Harper</t>
  </si>
  <si>
    <t>eharper@outlook.com</t>
  </si>
  <si>
    <t>+27 36 442 4936</t>
  </si>
  <si>
    <t>STU0414</t>
  </si>
  <si>
    <t>Jeffrey Smith</t>
  </si>
  <si>
    <t>+27 77 866 0324</t>
  </si>
  <si>
    <t>STU0415</t>
  </si>
  <si>
    <t>James Buchanan</t>
  </si>
  <si>
    <t>jamesbuchanan10@yahoo.com</t>
  </si>
  <si>
    <t>+27 70 015 9416</t>
  </si>
  <si>
    <t>STU0416</t>
  </si>
  <si>
    <t>Andrew Sanchez</t>
  </si>
  <si>
    <t>STU0417</t>
  </si>
  <si>
    <t>John Martinez</t>
  </si>
  <si>
    <t>+27 36 321 2347</t>
  </si>
  <si>
    <t>STU0418</t>
  </si>
  <si>
    <t>Thomas Cunningham</t>
  </si>
  <si>
    <t>thomascunningham90@yahoo.com</t>
  </si>
  <si>
    <t>+27 58 673 4257</t>
  </si>
  <si>
    <t>STU0419</t>
  </si>
  <si>
    <t>Melissa Jones</t>
  </si>
  <si>
    <t>melissa.jones@gmail.com</t>
  </si>
  <si>
    <t>+27 34 864 5183</t>
  </si>
  <si>
    <t>STU0420</t>
  </si>
  <si>
    <t>Charles Hubbard</t>
  </si>
  <si>
    <t>charleshubbard92@yahoo.com</t>
  </si>
  <si>
    <t>+27 13 432 7560</t>
  </si>
  <si>
    <t>STU0421</t>
  </si>
  <si>
    <t>Robert Clark</t>
  </si>
  <si>
    <t>robertclark60@yahoo.com</t>
  </si>
  <si>
    <t>+27 61 248 1569</t>
  </si>
  <si>
    <t>STU0422</t>
  </si>
  <si>
    <t>Crystal Robinson</t>
  </si>
  <si>
    <t>crobinson@outlook.com</t>
  </si>
  <si>
    <t>+27 72 063 4591</t>
  </si>
  <si>
    <t>STU0423</t>
  </si>
  <si>
    <t>James Kane</t>
  </si>
  <si>
    <t>jameskane93@yahoo.com</t>
  </si>
  <si>
    <t>+27 57 724 2954</t>
  </si>
  <si>
    <t>STU0424</t>
  </si>
  <si>
    <t>Heather Murphy</t>
  </si>
  <si>
    <t>heathermurphy10@yahoo.com</t>
  </si>
  <si>
    <t>+27 93 008 9317</t>
  </si>
  <si>
    <t>STU0425</t>
  </si>
  <si>
    <t>Troy Hernandez</t>
  </si>
  <si>
    <t>troyhernandez43@yahoo.com</t>
  </si>
  <si>
    <t>+27 94 215 2910</t>
  </si>
  <si>
    <t>STU0426</t>
  </si>
  <si>
    <t>John Lester</t>
  </si>
  <si>
    <t>johnlester82@yahoo.com</t>
  </si>
  <si>
    <t>STU0427</t>
  </si>
  <si>
    <t>Diana Smith</t>
  </si>
  <si>
    <t>+27 20 443 9735</t>
  </si>
  <si>
    <t>STU0428</t>
  </si>
  <si>
    <t>Adam Garrison</t>
  </si>
  <si>
    <t>+27 56 366 9411</t>
  </si>
  <si>
    <t>STU0429</t>
  </si>
  <si>
    <t>Karen Thomas</t>
  </si>
  <si>
    <t>karen.thomas@gmail.com</t>
  </si>
  <si>
    <t>+27 99 004 8964</t>
  </si>
  <si>
    <t>STU0430</t>
  </si>
  <si>
    <t>Kayla Anderson</t>
  </si>
  <si>
    <t>kanderson@outlook.com</t>
  </si>
  <si>
    <t>+27 24 287 5721</t>
  </si>
  <si>
    <t>STU0431</t>
  </si>
  <si>
    <t>Daniel King</t>
  </si>
  <si>
    <t>daniel.king@gmail.com</t>
  </si>
  <si>
    <t>STU0432</t>
  </si>
  <si>
    <t>Ronald Thompson</t>
  </si>
  <si>
    <t>ronaldthompson18@yahoo.com</t>
  </si>
  <si>
    <t>+27 57 287 0320</t>
  </si>
  <si>
    <t>STU0433</t>
  </si>
  <si>
    <t>Gregory Guerrero</t>
  </si>
  <si>
    <t>STU0434</t>
  </si>
  <si>
    <t>Susan Johnson</t>
  </si>
  <si>
    <t>susanjohnson37@yahoo.com</t>
  </si>
  <si>
    <t>+27 42 284 9939</t>
  </si>
  <si>
    <t>STU0435</t>
  </si>
  <si>
    <t>April Smith</t>
  </si>
  <si>
    <t>asmith@outlook.com</t>
  </si>
  <si>
    <t>+27 13 715 0416</t>
  </si>
  <si>
    <t>STU0436</t>
  </si>
  <si>
    <t>Brent Tyler</t>
  </si>
  <si>
    <t>+27 77 749 0509</t>
  </si>
  <si>
    <t>STU0437</t>
  </si>
  <si>
    <t>John Young</t>
  </si>
  <si>
    <t>johnyoung92@yahoo.com</t>
  </si>
  <si>
    <t>STU0438</t>
  </si>
  <si>
    <t>Melinda Morris</t>
  </si>
  <si>
    <t>melinda.morris@gmail.com</t>
  </si>
  <si>
    <t>+27 26 642 1476</t>
  </si>
  <si>
    <t>STU0439</t>
  </si>
  <si>
    <t>Stephen Thompson</t>
  </si>
  <si>
    <t>stephenthompson1@yahoo.com</t>
  </si>
  <si>
    <t>STU0440</t>
  </si>
  <si>
    <t>Laurie Williams</t>
  </si>
  <si>
    <t>lauriewilliams87@yahoo.com</t>
  </si>
  <si>
    <t>STU0441</t>
  </si>
  <si>
    <t>Elizabeth Harmon</t>
  </si>
  <si>
    <t>elizabeth.harmon@gmail.com</t>
  </si>
  <si>
    <t>+27 74 224 3864</t>
  </si>
  <si>
    <t>STU0442</t>
  </si>
  <si>
    <t>Vanessa Fox</t>
  </si>
  <si>
    <t>vfox@outlook.com</t>
  </si>
  <si>
    <t>+27 66 179 4549</t>
  </si>
  <si>
    <t>STU0443</t>
  </si>
  <si>
    <t>Caitlin Reese</t>
  </si>
  <si>
    <t>creese@outlook.com</t>
  </si>
  <si>
    <t>+27 60 164 5977</t>
  </si>
  <si>
    <t>STU0444</t>
  </si>
  <si>
    <t>Stephanie Alvarez</t>
  </si>
  <si>
    <t>+27 19 416 8006</t>
  </si>
  <si>
    <t>STU0445</t>
  </si>
  <si>
    <t>Patricia Strickland</t>
  </si>
  <si>
    <t>+27 74 995 6412</t>
  </si>
  <si>
    <t>STU0446</t>
  </si>
  <si>
    <t>Cheyenne Palmer</t>
  </si>
  <si>
    <t>cpalmer@outlook.com</t>
  </si>
  <si>
    <t>+27 37 236 8314</t>
  </si>
  <si>
    <t>STU0447</t>
  </si>
  <si>
    <t>Jennifer Rodriguez</t>
  </si>
  <si>
    <t>+27 22 777 0793</t>
  </si>
  <si>
    <t>STU0448</t>
  </si>
  <si>
    <t>William Gordon</t>
  </si>
  <si>
    <t>wgordon@outlook.com</t>
  </si>
  <si>
    <t>+27 66 799 8407</t>
  </si>
  <si>
    <t>STU0449</t>
  </si>
  <si>
    <t>Maria Dougherty</t>
  </si>
  <si>
    <t>mariadougherty70@yahoo.com</t>
  </si>
  <si>
    <t>+27 69 581 4671</t>
  </si>
  <si>
    <t>STU0450</t>
  </si>
  <si>
    <t>Amy Williams</t>
  </si>
  <si>
    <t>+27 43 757 3839</t>
  </si>
  <si>
    <t>STU0451</t>
  </si>
  <si>
    <t>Phyllis Logan</t>
  </si>
  <si>
    <t>phyllis.logan@gmail.com</t>
  </si>
  <si>
    <t>+27 66 572 9341</t>
  </si>
  <si>
    <t>STU0452</t>
  </si>
  <si>
    <t>Julia Camacho</t>
  </si>
  <si>
    <t>juliacamacho89@yahoo.com</t>
  </si>
  <si>
    <t>+27 71 674 3380</t>
  </si>
  <si>
    <t>STU0453</t>
  </si>
  <si>
    <t>Thomas Boyd</t>
  </si>
  <si>
    <t>thomasboyd14@yahoo.com</t>
  </si>
  <si>
    <t>+27 80 156 1931</t>
  </si>
  <si>
    <t>STU0454</t>
  </si>
  <si>
    <t>Jonathon Ellis</t>
  </si>
  <si>
    <t>jonathonellis24@yahoo.com</t>
  </si>
  <si>
    <t>+27 84 289 1077</t>
  </si>
  <si>
    <t>STU0455</t>
  </si>
  <si>
    <t>John Maynard</t>
  </si>
  <si>
    <t>johnmaynard92@yahoo.com</t>
  </si>
  <si>
    <t>+27 80 812 1352</t>
  </si>
  <si>
    <t>STU0456</t>
  </si>
  <si>
    <t>Dana Brown</t>
  </si>
  <si>
    <t>dbrown@outlook.com</t>
  </si>
  <si>
    <t>+27 55 213 7603</t>
  </si>
  <si>
    <t>STU0457</t>
  </si>
  <si>
    <t>Katie Mendoza</t>
  </si>
  <si>
    <t>katie.mendoza@gmail.com</t>
  </si>
  <si>
    <t>+27 14 565 3286</t>
  </si>
  <si>
    <t>STU0458</t>
  </si>
  <si>
    <t>Adrienne Morales</t>
  </si>
  <si>
    <t>adrienne.morales@gmail.com</t>
  </si>
  <si>
    <t>+27 85 072 0811</t>
  </si>
  <si>
    <t>STU0459</t>
  </si>
  <si>
    <t>Courtney Parks</t>
  </si>
  <si>
    <t>courtney.parks@gmail.com</t>
  </si>
  <si>
    <t>+27 02 908 4668</t>
  </si>
  <si>
    <t>STU0460</t>
  </si>
  <si>
    <t>Joshua Henry</t>
  </si>
  <si>
    <t>STU0461</t>
  </si>
  <si>
    <t>Chris Browning</t>
  </si>
  <si>
    <t>chris.browning@gmail.com</t>
  </si>
  <si>
    <t>+27 85 628 8431</t>
  </si>
  <si>
    <t>STU0462</t>
  </si>
  <si>
    <t>Justin Jones</t>
  </si>
  <si>
    <t>+27 08 943 4681</t>
  </si>
  <si>
    <t>STU0463</t>
  </si>
  <si>
    <t>Joseph Miller</t>
  </si>
  <si>
    <t>+27 01 749 0753</t>
  </si>
  <si>
    <t>STU0464</t>
  </si>
  <si>
    <t>Luis Franklin</t>
  </si>
  <si>
    <t>luis.franklin@gmail.com</t>
  </si>
  <si>
    <t>STU0465</t>
  </si>
  <si>
    <t>Amber Jones</t>
  </si>
  <si>
    <t>ajones@outlook.com</t>
  </si>
  <si>
    <t>+27 61 106 2737</t>
  </si>
  <si>
    <t>STU0466</t>
  </si>
  <si>
    <t>Devon Hill</t>
  </si>
  <si>
    <t>+27 49 767 7622</t>
  </si>
  <si>
    <t>STU0467</t>
  </si>
  <si>
    <t>Jesse Schultz</t>
  </si>
  <si>
    <t>jschultz@outlook.com</t>
  </si>
  <si>
    <t>+27 13 770 2851</t>
  </si>
  <si>
    <t>STU0468</t>
  </si>
  <si>
    <t>Heather Kelley</t>
  </si>
  <si>
    <t>STU0469</t>
  </si>
  <si>
    <t>Jasmine Nguyen</t>
  </si>
  <si>
    <t>+27 04 432 7018</t>
  </si>
  <si>
    <t>STU0470</t>
  </si>
  <si>
    <t>Caleb Vang</t>
  </si>
  <si>
    <t>caleb.vang@gmail.com</t>
  </si>
  <si>
    <t>STU0471</t>
  </si>
  <si>
    <t>Rick Schmidt</t>
  </si>
  <si>
    <t>+27 99 663 6580</t>
  </si>
  <si>
    <t>STU0472</t>
  </si>
  <si>
    <t>Amy Chavez</t>
  </si>
  <si>
    <t>STU0473</t>
  </si>
  <si>
    <t>Robert Jacobs</t>
  </si>
  <si>
    <t>robertjacobs53@yahoo.com</t>
  </si>
  <si>
    <t>+27 80 182 0433</t>
  </si>
  <si>
    <t>STU0474</t>
  </si>
  <si>
    <t>Jamie Garcia</t>
  </si>
  <si>
    <t>STU0475</t>
  </si>
  <si>
    <t>Robert Miles</t>
  </si>
  <si>
    <t>robert.miles@gmail.com</t>
  </si>
  <si>
    <t>+27 18 242 2412</t>
  </si>
  <si>
    <t>STU0476</t>
  </si>
  <si>
    <t>Rebecca Farrell</t>
  </si>
  <si>
    <t>rebecca.farrell@gmail.com</t>
  </si>
  <si>
    <t>STU0477</t>
  </si>
  <si>
    <t>Brandy Curtis</t>
  </si>
  <si>
    <t>+27 39 937 8861</t>
  </si>
  <si>
    <t>STU0478</t>
  </si>
  <si>
    <t>Heather Mack</t>
  </si>
  <si>
    <t>+27 70 630 4891</t>
  </si>
  <si>
    <t>STU0479</t>
  </si>
  <si>
    <t>Melissa Le</t>
  </si>
  <si>
    <t>melissa.le@gmail.com</t>
  </si>
  <si>
    <t>+27 18 325 8238</t>
  </si>
  <si>
    <t>STU0480</t>
  </si>
  <si>
    <t>Kathy Lewis</t>
  </si>
  <si>
    <t>kathy.lewis@gmail.com</t>
  </si>
  <si>
    <t>+27 42 007 4946</t>
  </si>
  <si>
    <t>STU0481</t>
  </si>
  <si>
    <t>Omar Hayes</t>
  </si>
  <si>
    <t>ohayes@outlook.com</t>
  </si>
  <si>
    <t>+27 28 914 1612</t>
  </si>
  <si>
    <t>STU0482</t>
  </si>
  <si>
    <t>Adam Perez</t>
  </si>
  <si>
    <t>adamperez81@yahoo.com</t>
  </si>
  <si>
    <t>+27 55 474 3553</t>
  </si>
  <si>
    <t>STU0483</t>
  </si>
  <si>
    <t>Michael Morgan</t>
  </si>
  <si>
    <t>+27 70 026 8768</t>
  </si>
  <si>
    <t>STU0484</t>
  </si>
  <si>
    <t>Karen Chavez</t>
  </si>
  <si>
    <t>karenchavez3@yahoo.com</t>
  </si>
  <si>
    <t>+27 56 956 2017</t>
  </si>
  <si>
    <t>STU0485</t>
  </si>
  <si>
    <t>Melissa Perry</t>
  </si>
  <si>
    <t>melissa.perry@gmail.com</t>
  </si>
  <si>
    <t>+27 45 319 4337</t>
  </si>
  <si>
    <t>STU0486</t>
  </si>
  <si>
    <t>Stephanie Davis</t>
  </si>
  <si>
    <t>sdavis@outlook.com</t>
  </si>
  <si>
    <t>+27 03 614 9872</t>
  </si>
  <si>
    <t>STU0487</t>
  </si>
  <si>
    <t>Robert Simmons</t>
  </si>
  <si>
    <t>+27 24 938 4308</t>
  </si>
  <si>
    <t>STU0488</t>
  </si>
  <si>
    <t>Julie Ortega</t>
  </si>
  <si>
    <t>jortega@outlook.com</t>
  </si>
  <si>
    <t>+27 66 418 7758</t>
  </si>
  <si>
    <t>STU0489</t>
  </si>
  <si>
    <t>Amy Brooks</t>
  </si>
  <si>
    <t>+27 75 063 5190</t>
  </si>
  <si>
    <t>STU0490</t>
  </si>
  <si>
    <t>Carrie Hernandez</t>
  </si>
  <si>
    <t>chernandez@outlook.com</t>
  </si>
  <si>
    <t>STU0491</t>
  </si>
  <si>
    <t>Jeffrey Leblanc</t>
  </si>
  <si>
    <t>jleblanc@outlook.com</t>
  </si>
  <si>
    <t>STU0492</t>
  </si>
  <si>
    <t>Jeffrey Jones</t>
  </si>
  <si>
    <t>+27 00 651 2070</t>
  </si>
  <si>
    <t>STU0493</t>
  </si>
  <si>
    <t>Ryan Decker</t>
  </si>
  <si>
    <t>rdecker@outlook.com</t>
  </si>
  <si>
    <t>+27 04 661 9639</t>
  </si>
  <si>
    <t>STU0494</t>
  </si>
  <si>
    <t>Anthony Davis</t>
  </si>
  <si>
    <t>anthony.davis@gmail.com</t>
  </si>
  <si>
    <t>+27 99 150 7859</t>
  </si>
  <si>
    <t>STU0495</t>
  </si>
  <si>
    <t>Matthew Davis</t>
  </si>
  <si>
    <t>matthewdavis4@yahoo.com</t>
  </si>
  <si>
    <t>+27 39 284 5679</t>
  </si>
  <si>
    <t>STU0496</t>
  </si>
  <si>
    <t>Erin Rodgers</t>
  </si>
  <si>
    <t>erinrodgers28@yahoo.com</t>
  </si>
  <si>
    <t>+27 49 685 4982</t>
  </si>
  <si>
    <t>STU0497</t>
  </si>
  <si>
    <t>Richard Cain</t>
  </si>
  <si>
    <t>richard.cain@gmail.com</t>
  </si>
  <si>
    <t>+27 08 920 3880</t>
  </si>
  <si>
    <t>STU0498</t>
  </si>
  <si>
    <t>Frederick Hawkins</t>
  </si>
  <si>
    <t>frederick.hawkins@gmail.com</t>
  </si>
  <si>
    <t>+27 37 795 9959</t>
  </si>
  <si>
    <t>STU0499</t>
  </si>
  <si>
    <t>Tanner Willis</t>
  </si>
  <si>
    <t>+27 73 033 7933</t>
  </si>
  <si>
    <t>STU0500</t>
  </si>
  <si>
    <t>David Hoffman</t>
  </si>
  <si>
    <t>davidhoffman17@yahoo.com</t>
  </si>
  <si>
    <t>+27 05 015 0812</t>
  </si>
  <si>
    <t>STU0501</t>
  </si>
  <si>
    <t>Cindy Rivera</t>
  </si>
  <si>
    <t>crivera@outlook.com</t>
  </si>
  <si>
    <t>+27 33 423 4258</t>
  </si>
  <si>
    <t>STU0502</t>
  </si>
  <si>
    <t>Anthony Martinez</t>
  </si>
  <si>
    <t>+27 02 615 3473</t>
  </si>
  <si>
    <t>STU0503</t>
  </si>
  <si>
    <t>Phillip Gomez</t>
  </si>
  <si>
    <t>+27 11 223 3865</t>
  </si>
  <si>
    <t>STU0504</t>
  </si>
  <si>
    <t>Anne Ortega</t>
  </si>
  <si>
    <t>anne.ortega@gmail.com</t>
  </si>
  <si>
    <t>+27 38 425 3042</t>
  </si>
  <si>
    <t>STU0505</t>
  </si>
  <si>
    <t>Anthony Christensen</t>
  </si>
  <si>
    <t>anthonychristensen12@yahoo.com</t>
  </si>
  <si>
    <t>+27 12 868 5787</t>
  </si>
  <si>
    <t>STU0506</t>
  </si>
  <si>
    <t>Dawn Parrish</t>
  </si>
  <si>
    <t>dawnparrish26@yahoo.com</t>
  </si>
  <si>
    <t>+27 49 690 3337</t>
  </si>
  <si>
    <t>STU0507</t>
  </si>
  <si>
    <t>Derek Griffith</t>
  </si>
  <si>
    <t>+27 92 548 1214</t>
  </si>
  <si>
    <t>STU0508</t>
  </si>
  <si>
    <t>Steven Schmitt</t>
  </si>
  <si>
    <t>steven.schmitt@gmail.com</t>
  </si>
  <si>
    <t>+27 89 567 7665</t>
  </si>
  <si>
    <t>STU0509</t>
  </si>
  <si>
    <t>Brent Burke</t>
  </si>
  <si>
    <t>bburke@outlook.com</t>
  </si>
  <si>
    <t>STU0510</t>
  </si>
  <si>
    <t>Nicholas Bell</t>
  </si>
  <si>
    <t>nicholas.bell@gmail.com</t>
  </si>
  <si>
    <t>+27 15 083 5354</t>
  </si>
  <si>
    <t>STU0511</t>
  </si>
  <si>
    <t>Jason Lane</t>
  </si>
  <si>
    <t>jlane@outlook.com</t>
  </si>
  <si>
    <t>+27 40 445 6690</t>
  </si>
  <si>
    <t>STU0512</t>
  </si>
  <si>
    <t>Mark Lewis</t>
  </si>
  <si>
    <t>mlewis@outlook.com</t>
  </si>
  <si>
    <t>+27 73 898 7751</t>
  </si>
  <si>
    <t>STU0513</t>
  </si>
  <si>
    <t>Kathleen Douglas</t>
  </si>
  <si>
    <t>kathleen.douglas@gmail.com</t>
  </si>
  <si>
    <t>STU0514</t>
  </si>
  <si>
    <t>Nicholas Walker</t>
  </si>
  <si>
    <t>nwalker@outlook.com</t>
  </si>
  <si>
    <t>+27 68 459 0902</t>
  </si>
  <si>
    <t>STU0515</t>
  </si>
  <si>
    <t>Karen Rodriguez</t>
  </si>
  <si>
    <t>+27 66 361 8637</t>
  </si>
  <si>
    <t>STU0516</t>
  </si>
  <si>
    <t>Marie Bruce</t>
  </si>
  <si>
    <t>+27 82 097 0231</t>
  </si>
  <si>
    <t>STU0517</t>
  </si>
  <si>
    <t>Johnny Richardson</t>
  </si>
  <si>
    <t>johnny.richardson@gmail.com</t>
  </si>
  <si>
    <t>STU0518</t>
  </si>
  <si>
    <t>Christopher Farmer</t>
  </si>
  <si>
    <t>+27 86 716 3234</t>
  </si>
  <si>
    <t>STU0519</t>
  </si>
  <si>
    <t>Andrew Andrews</t>
  </si>
  <si>
    <t>aandrews@outlook.com</t>
  </si>
  <si>
    <t>+27 93 874 3027</t>
  </si>
  <si>
    <t>STU0520</t>
  </si>
  <si>
    <t>Amber Aguirre</t>
  </si>
  <si>
    <t>amber.aguirre@gmail.com</t>
  </si>
  <si>
    <t>+27 97 779 0147</t>
  </si>
  <si>
    <t>STU0521</t>
  </si>
  <si>
    <t>Zoe Bruce</t>
  </si>
  <si>
    <t>zoebruce96@yahoo.com</t>
  </si>
  <si>
    <t>STU0522</t>
  </si>
  <si>
    <t>Michael Villegas</t>
  </si>
  <si>
    <t>mvillegas@outlook.com</t>
  </si>
  <si>
    <t>STU0523</t>
  </si>
  <si>
    <t>Debra Cardenas</t>
  </si>
  <si>
    <t>debracardenas58@yahoo.com</t>
  </si>
  <si>
    <t>+27 38 070 1765</t>
  </si>
  <si>
    <t>STU0524</t>
  </si>
  <si>
    <t>Kimberly Austin</t>
  </si>
  <si>
    <t>kimberlyaustin65@yahoo.com</t>
  </si>
  <si>
    <t>+27 12 577 7118</t>
  </si>
  <si>
    <t>STU0525</t>
  </si>
  <si>
    <t>Denise Day</t>
  </si>
  <si>
    <t>denise.day@gmail.com</t>
  </si>
  <si>
    <t>+27 20 912 4186</t>
  </si>
  <si>
    <t>STU0526</t>
  </si>
  <si>
    <t>+27 23 083 7081</t>
  </si>
  <si>
    <t>STU0527</t>
  </si>
  <si>
    <t>Stefanie Hickman</t>
  </si>
  <si>
    <t>+27 06 335 3310</t>
  </si>
  <si>
    <t>STU0528</t>
  </si>
  <si>
    <t>James Gallegos</t>
  </si>
  <si>
    <t>jamesgallegos51@yahoo.com</t>
  </si>
  <si>
    <t>+27 12 206 8155</t>
  </si>
  <si>
    <t>STU0529</t>
  </si>
  <si>
    <t>Andrew Adams</t>
  </si>
  <si>
    <t>andrew.adams@gmail.com</t>
  </si>
  <si>
    <t>STU0530</t>
  </si>
  <si>
    <t>Elijah White</t>
  </si>
  <si>
    <t>ewhite@outlook.com</t>
  </si>
  <si>
    <t>+27 31 495 0136</t>
  </si>
  <si>
    <t>STU0531</t>
  </si>
  <si>
    <t>David Park</t>
  </si>
  <si>
    <t>davidpark37@yahoo.com</t>
  </si>
  <si>
    <t>+27 41 956 2525</t>
  </si>
  <si>
    <t>STU0532</t>
  </si>
  <si>
    <t>Elizabeth Parker</t>
  </si>
  <si>
    <t>elizabeth.parker@gmail.com</t>
  </si>
  <si>
    <t>+27 97 683 8903</t>
  </si>
  <si>
    <t>STU0533</t>
  </si>
  <si>
    <t>Anne Morgan</t>
  </si>
  <si>
    <t>amorgan@outlook.com</t>
  </si>
  <si>
    <t>+27 91 025 7432</t>
  </si>
  <si>
    <t>STU0534</t>
  </si>
  <si>
    <t>Jeffery Smith</t>
  </si>
  <si>
    <t>jefferysmith39@yahoo.com</t>
  </si>
  <si>
    <t>STU0535</t>
  </si>
  <si>
    <t>Holly Kane</t>
  </si>
  <si>
    <t>holly.kane@gmail.com</t>
  </si>
  <si>
    <t>+27 03 396 8527</t>
  </si>
  <si>
    <t>STU0536</t>
  </si>
  <si>
    <t>Katie Knight</t>
  </si>
  <si>
    <t>kknight@outlook.com</t>
  </si>
  <si>
    <t>+27 23 212 9833</t>
  </si>
  <si>
    <t>STU0537</t>
  </si>
  <si>
    <t>Gary Morales</t>
  </si>
  <si>
    <t>gmorales@outlook.com</t>
  </si>
  <si>
    <t>+27 36 293 4497</t>
  </si>
  <si>
    <t>STU0538</t>
  </si>
  <si>
    <t>Catherine Thomas</t>
  </si>
  <si>
    <t>+27 66 277 6896</t>
  </si>
  <si>
    <t>STU0539</t>
  </si>
  <si>
    <t>Julie Schultz</t>
  </si>
  <si>
    <t>julie.schultz@gmail.com</t>
  </si>
  <si>
    <t>+27 49 828 2467</t>
  </si>
  <si>
    <t>STU0540</t>
  </si>
  <si>
    <t>Danny Johnson</t>
  </si>
  <si>
    <t>djohnson@outlook.com</t>
  </si>
  <si>
    <t>+27 15 273 2300</t>
  </si>
  <si>
    <t>STU0541</t>
  </si>
  <si>
    <t>Lori Reese</t>
  </si>
  <si>
    <t>lorireese82@yahoo.com</t>
  </si>
  <si>
    <t>+27 56 749 1601</t>
  </si>
  <si>
    <t>STU0542</t>
  </si>
  <si>
    <t>Tami Lewis</t>
  </si>
  <si>
    <t>tlewis@outlook.com</t>
  </si>
  <si>
    <t>STU0543</t>
  </si>
  <si>
    <t>Daniel Barnes</t>
  </si>
  <si>
    <t>daniel.barnes@gmail.com</t>
  </si>
  <si>
    <t>+27 72 439 9201</t>
  </si>
  <si>
    <t>STU0544</t>
  </si>
  <si>
    <t>Anthony Peterson</t>
  </si>
  <si>
    <t>+27 36 264 4886</t>
  </si>
  <si>
    <t>STU0545</t>
  </si>
  <si>
    <t>Larry Wood</t>
  </si>
  <si>
    <t>lwood@outlook.com</t>
  </si>
  <si>
    <t>+27 24 364 0270</t>
  </si>
  <si>
    <t>STU0546</t>
  </si>
  <si>
    <t>Erica Griffith</t>
  </si>
  <si>
    <t>egriffith@outlook.com</t>
  </si>
  <si>
    <t>+27 22 522 3728</t>
  </si>
  <si>
    <t>STU0547</t>
  </si>
  <si>
    <t>Susan Frank</t>
  </si>
  <si>
    <t>+27 02 346 7912</t>
  </si>
  <si>
    <t>STU0548</t>
  </si>
  <si>
    <t>Randy Bradley</t>
  </si>
  <si>
    <t>+27 50 937 7100</t>
  </si>
  <si>
    <t>STU0549</t>
  </si>
  <si>
    <t>Jennifer Miller</t>
  </si>
  <si>
    <t>jennifer.miller@gmail.com</t>
  </si>
  <si>
    <t>+27 80 698 4775</t>
  </si>
  <si>
    <t>STU0550</t>
  </si>
  <si>
    <t>Charles Williams</t>
  </si>
  <si>
    <t>+27 56 690 5510</t>
  </si>
  <si>
    <t>STU0551</t>
  </si>
  <si>
    <t>Hannah Moore</t>
  </si>
  <si>
    <t>hannahmoore19@yahoo.com</t>
  </si>
  <si>
    <t>+27 84 357 9786</t>
  </si>
  <si>
    <t>STU0552</t>
  </si>
  <si>
    <t>Courtney Williamson</t>
  </si>
  <si>
    <t>cwilliamson@outlook.com</t>
  </si>
  <si>
    <t>+27 57 397 6915</t>
  </si>
  <si>
    <t>STU0553</t>
  </si>
  <si>
    <t>Curtis Craig</t>
  </si>
  <si>
    <t>ccraig@outlook.com</t>
  </si>
  <si>
    <t>+27 32 898 0271</t>
  </si>
  <si>
    <t>STU0554</t>
  </si>
  <si>
    <t>Kendra Nelson</t>
  </si>
  <si>
    <t>+27 83 332 1160</t>
  </si>
  <si>
    <t>STU0555</t>
  </si>
  <si>
    <t>Melissa Stanley</t>
  </si>
  <si>
    <t>melissa.stanley@gmail.com</t>
  </si>
  <si>
    <t>+27 71 287 1539</t>
  </si>
  <si>
    <t>STU0556</t>
  </si>
  <si>
    <t>Caroline Tucker</t>
  </si>
  <si>
    <t>caroline.tucker@gmail.com</t>
  </si>
  <si>
    <t>+27 63 341 4111</t>
  </si>
  <si>
    <t>STU0557</t>
  </si>
  <si>
    <t>David Ramos</t>
  </si>
  <si>
    <t>david.ramos@gmail.com</t>
  </si>
  <si>
    <t>+27 56 904 0983</t>
  </si>
  <si>
    <t>STU0558</t>
  </si>
  <si>
    <t>Tonya Nelson</t>
  </si>
  <si>
    <t>tnelson@outlook.com</t>
  </si>
  <si>
    <t>+27 99 316 0875</t>
  </si>
  <si>
    <t>STU0559</t>
  </si>
  <si>
    <t>Kimberly Fischer</t>
  </si>
  <si>
    <t>STU0560</t>
  </si>
  <si>
    <t>Michael Wilson</t>
  </si>
  <si>
    <t>michaelwilson26@yahoo.com</t>
  </si>
  <si>
    <t>+27 05 233 0276</t>
  </si>
  <si>
    <t>STU0561</t>
  </si>
  <si>
    <t>Ross Jordan</t>
  </si>
  <si>
    <t>STU0562</t>
  </si>
  <si>
    <t>Mitchell Campbell</t>
  </si>
  <si>
    <t>mcampbell@outlook.com</t>
  </si>
  <si>
    <t>+27 59 047 2927</t>
  </si>
  <si>
    <t>STU0563</t>
  </si>
  <si>
    <t>William Gregory</t>
  </si>
  <si>
    <t>william.gregory@gmail.com</t>
  </si>
  <si>
    <t>+27 05 912 6620</t>
  </si>
  <si>
    <t>STU0564</t>
  </si>
  <si>
    <t>Matthew Tucker</t>
  </si>
  <si>
    <t>mtucker@outlook.com</t>
  </si>
  <si>
    <t>+27 59 626 3013</t>
  </si>
  <si>
    <t>STU0565</t>
  </si>
  <si>
    <t>Melissa Estrada</t>
  </si>
  <si>
    <t>melissaestrada67@yahoo.com</t>
  </si>
  <si>
    <t>STU0566</t>
  </si>
  <si>
    <t>Lynn Williams</t>
  </si>
  <si>
    <t>STU0567</t>
  </si>
  <si>
    <t>Daniel Foster</t>
  </si>
  <si>
    <t>dfoster@outlook.com</t>
  </si>
  <si>
    <t>+27 60 688 8718</t>
  </si>
  <si>
    <t>STU0568</t>
  </si>
  <si>
    <t>Susan Greene</t>
  </si>
  <si>
    <t>+27 20 875 1029</t>
  </si>
  <si>
    <t>STU0569</t>
  </si>
  <si>
    <t>cynthiasmith26@yahoo.com</t>
  </si>
  <si>
    <t>+27 11 845 8260</t>
  </si>
  <si>
    <t>STU0570</t>
  </si>
  <si>
    <t>Maria Turner</t>
  </si>
  <si>
    <t>mariaturner15@yahoo.com</t>
  </si>
  <si>
    <t>+27 29 758 5988</t>
  </si>
  <si>
    <t>STU0571</t>
  </si>
  <si>
    <t>Jasmine Clark</t>
  </si>
  <si>
    <t>STU0572</t>
  </si>
  <si>
    <t>Ryan Taylor</t>
  </si>
  <si>
    <t>rtaylor@outlook.com</t>
  </si>
  <si>
    <t>STU0573</t>
  </si>
  <si>
    <t>Jessica Scott</t>
  </si>
  <si>
    <t>jessicascott23@yahoo.com</t>
  </si>
  <si>
    <t>STU0574</t>
  </si>
  <si>
    <t>Tammy Murphy</t>
  </si>
  <si>
    <t>tammy.murphy@gmail.com</t>
  </si>
  <si>
    <t>+27 61 515 5423</t>
  </si>
  <si>
    <t>STU0575</t>
  </si>
  <si>
    <t>Joseph Smith</t>
  </si>
  <si>
    <t>joseph.smith@gmail.com</t>
  </si>
  <si>
    <t>+27 12 849 7185</t>
  </si>
  <si>
    <t>STU0576</t>
  </si>
  <si>
    <t>Lindsey Burgess</t>
  </si>
  <si>
    <t>+27 02 562 5889</t>
  </si>
  <si>
    <t>STU0577</t>
  </si>
  <si>
    <t>Amanda Thompson</t>
  </si>
  <si>
    <t>athompson@outlook.com</t>
  </si>
  <si>
    <t>+27 08 222 6940</t>
  </si>
  <si>
    <t>STU0578</t>
  </si>
  <si>
    <t>Timothy James</t>
  </si>
  <si>
    <t>timothy.james@gmail.com</t>
  </si>
  <si>
    <t>STU0579</t>
  </si>
  <si>
    <t>Ryan Padilla</t>
  </si>
  <si>
    <t>ryanpadilla26@yahoo.com</t>
  </si>
  <si>
    <t>+27 51 113 1290</t>
  </si>
  <si>
    <t>STU0580</t>
  </si>
  <si>
    <t>Jessica Mason</t>
  </si>
  <si>
    <t>jmason@outlook.com</t>
  </si>
  <si>
    <t>STU0581</t>
  </si>
  <si>
    <t>Joseph Whitaker</t>
  </si>
  <si>
    <t>+27 89 097 2832</t>
  </si>
  <si>
    <t>STU0582</t>
  </si>
  <si>
    <t>Melissa Drake</t>
  </si>
  <si>
    <t>melissadrake33@yahoo.com</t>
  </si>
  <si>
    <t>+27 76 251 5381</t>
  </si>
  <si>
    <t>STU0583</t>
  </si>
  <si>
    <t>Mariah Jones</t>
  </si>
  <si>
    <t>mariahjones65@yahoo.com</t>
  </si>
  <si>
    <t>STU0584</t>
  </si>
  <si>
    <t>Christopher Hensley</t>
  </si>
  <si>
    <t>chensley@outlook.com</t>
  </si>
  <si>
    <t>+27 51 052 6501</t>
  </si>
  <si>
    <t>STU0585</t>
  </si>
  <si>
    <t>Nicole Williams</t>
  </si>
  <si>
    <t>+27 61 702 4376</t>
  </si>
  <si>
    <t>STU0586</t>
  </si>
  <si>
    <t>John Smith</t>
  </si>
  <si>
    <t>STU0587</t>
  </si>
  <si>
    <t>Steven Morse</t>
  </si>
  <si>
    <t>stevenmorse31@yahoo.com</t>
  </si>
  <si>
    <t>STU0588</t>
  </si>
  <si>
    <t>Cheryl Atkins</t>
  </si>
  <si>
    <t>+27 68 621 1022</t>
  </si>
  <si>
    <t>STU0589</t>
  </si>
  <si>
    <t>Nicholas Johnston</t>
  </si>
  <si>
    <t>+27 90 674 4716</t>
  </si>
  <si>
    <t>STU0590</t>
  </si>
  <si>
    <t>Anthony Berry</t>
  </si>
  <si>
    <t>aberry@outlook.com</t>
  </si>
  <si>
    <t>+27 14 363 7189</t>
  </si>
  <si>
    <t>STU0591</t>
  </si>
  <si>
    <t>Melissa Mckinney</t>
  </si>
  <si>
    <t>+27 04 326 0931</t>
  </si>
  <si>
    <t>STU0592</t>
  </si>
  <si>
    <t>Hunter Butler</t>
  </si>
  <si>
    <t>+27 35 670 8604</t>
  </si>
  <si>
    <t>STU0593</t>
  </si>
  <si>
    <t>Jason Wilson</t>
  </si>
  <si>
    <t>+27 50 200 0534</t>
  </si>
  <si>
    <t>STU0594</t>
  </si>
  <si>
    <t>Lauren Smith</t>
  </si>
  <si>
    <t>laurensmith55@yahoo.com</t>
  </si>
  <si>
    <t>+27 55 411 0825</t>
  </si>
  <si>
    <t>STU0595</t>
  </si>
  <si>
    <t>Matthew Nguyen</t>
  </si>
  <si>
    <t>mnguyen@outlook.com</t>
  </si>
  <si>
    <t>+27 34 396 1129</t>
  </si>
  <si>
    <t>STU0596</t>
  </si>
  <si>
    <t>Nicole Solis</t>
  </si>
  <si>
    <t>nsolis@outlook.com</t>
  </si>
  <si>
    <t>+27 89 547 3820</t>
  </si>
  <si>
    <t>STU0597</t>
  </si>
  <si>
    <t>Jacqueline Montgomery</t>
  </si>
  <si>
    <t>jacquelinemontgomery98@yahoo.com</t>
  </si>
  <si>
    <t>+27 57 161 7688</t>
  </si>
  <si>
    <t>STU0598</t>
  </si>
  <si>
    <t>Joshua Collier</t>
  </si>
  <si>
    <t>jcollier@outlook.com</t>
  </si>
  <si>
    <t>+27 09 036 7881</t>
  </si>
  <si>
    <t>STU0599</t>
  </si>
  <si>
    <t>Alejandro Gillespie</t>
  </si>
  <si>
    <t>agillespie@outlook.com</t>
  </si>
  <si>
    <t>+27 43 202 9390</t>
  </si>
  <si>
    <t>STU0600</t>
  </si>
  <si>
    <t>Stacy Davis</t>
  </si>
  <si>
    <t>+27 34 481 2308</t>
  </si>
  <si>
    <t>Data Quality Summary - City-Province</t>
  </si>
  <si>
    <t>Data Quality Summary - Age</t>
  </si>
  <si>
    <t>Data Quality Summary - phone number</t>
  </si>
  <si>
    <t>Data Quality Sumary - amount_paid_zar</t>
  </si>
  <si>
    <t>Total records</t>
  </si>
  <si>
    <t>Invalid ages</t>
  </si>
  <si>
    <t>valid phone numbers</t>
  </si>
  <si>
    <t>Normal</t>
  </si>
  <si>
    <t>Matched City-Province Combinations</t>
  </si>
  <si>
    <t>Missing ages</t>
  </si>
  <si>
    <t>missing phone numbers</t>
  </si>
  <si>
    <t>Review</t>
  </si>
  <si>
    <t>Mismatched City-Province Combinations</t>
  </si>
  <si>
    <t>Valid ages</t>
  </si>
  <si>
    <t>Zero Amount</t>
  </si>
  <si>
    <t>% Matched</t>
  </si>
  <si>
    <t>% Mismatched</t>
  </si>
  <si>
    <t>course_id</t>
  </si>
  <si>
    <t>course_title</t>
  </si>
  <si>
    <t>category</t>
  </si>
  <si>
    <t>level</t>
  </si>
  <si>
    <t>price_zar</t>
  </si>
  <si>
    <t>duration_weeks</t>
  </si>
  <si>
    <t>instructor_id</t>
  </si>
  <si>
    <t>is_active</t>
  </si>
  <si>
    <t>C001</t>
  </si>
  <si>
    <t>Python for Beginners</t>
  </si>
  <si>
    <t>Mobile Development</t>
  </si>
  <si>
    <t>Advanced</t>
  </si>
  <si>
    <t>INS023</t>
  </si>
  <si>
    <t>Yes</t>
  </si>
  <si>
    <t>C002</t>
  </si>
  <si>
    <t>Advanced SQL for Analysts</t>
  </si>
  <si>
    <t>Digital Marketing</t>
  </si>
  <si>
    <t>Intermediate</t>
  </si>
  <si>
    <t>INS019</t>
  </si>
  <si>
    <t>C003</t>
  </si>
  <si>
    <t>Intro to Data Science</t>
  </si>
  <si>
    <t>Data Science</t>
  </si>
  <si>
    <t>INS022</t>
  </si>
  <si>
    <t>C004</t>
  </si>
  <si>
    <t>Power BI Masterclass</t>
  </si>
  <si>
    <t>Beginner</t>
  </si>
  <si>
    <t>C005</t>
  </si>
  <si>
    <t>Full Stack Web Development</t>
  </si>
  <si>
    <t>INS014</t>
  </si>
  <si>
    <t>No</t>
  </si>
  <si>
    <t>C006</t>
  </si>
  <si>
    <t>React.js Fundamentals</t>
  </si>
  <si>
    <t>Cloud Computing</t>
  </si>
  <si>
    <t>INS025</t>
  </si>
  <si>
    <t>C007</t>
  </si>
  <si>
    <t>Digital Marketing 101</t>
  </si>
  <si>
    <t>INS004</t>
  </si>
  <si>
    <t>C008</t>
  </si>
  <si>
    <t>Google Ads Certification</t>
  </si>
  <si>
    <t>C009</t>
  </si>
  <si>
    <t>Graphic Design with Canva</t>
  </si>
  <si>
    <t>UI/UX Design</t>
  </si>
  <si>
    <t>INS021</t>
  </si>
  <si>
    <t>C010</t>
  </si>
  <si>
    <t>Adobe Photoshop Essentials</t>
  </si>
  <si>
    <t>Cybersecurity</t>
  </si>
  <si>
    <t>C011</t>
  </si>
  <si>
    <t>Agile Project Management</t>
  </si>
  <si>
    <t>Graphic Design</t>
  </si>
  <si>
    <t>C012</t>
  </si>
  <si>
    <t>PMP Exam Prep</t>
  </si>
  <si>
    <t>INS024</t>
  </si>
  <si>
    <t>C013</t>
  </si>
  <si>
    <t>AWS Cloud Practitioner</t>
  </si>
  <si>
    <t>C014</t>
  </si>
  <si>
    <t>Azure Fundamentals</t>
  </si>
  <si>
    <t>C015</t>
  </si>
  <si>
    <t>Ethical Hacking Basics</t>
  </si>
  <si>
    <t>C016</t>
  </si>
  <si>
    <t>Cybersecurity Fundamentals</t>
  </si>
  <si>
    <t>Business Analysis</t>
  </si>
  <si>
    <t>INS011</t>
  </si>
  <si>
    <t>C017</t>
  </si>
  <si>
    <t>Android App Development</t>
  </si>
  <si>
    <t>INS020</t>
  </si>
  <si>
    <t>C018</t>
  </si>
  <si>
    <t>Flutter for Mobile Apps</t>
  </si>
  <si>
    <t>Web Development</t>
  </si>
  <si>
    <t>C019</t>
  </si>
  <si>
    <t>Business Analysis Fundamentals</t>
  </si>
  <si>
    <t>C020</t>
  </si>
  <si>
    <t>UX Research Methods</t>
  </si>
  <si>
    <t>C021</t>
  </si>
  <si>
    <t>Excel for Business</t>
  </si>
  <si>
    <t>C022</t>
  </si>
  <si>
    <t>Tableau for Data Viz</t>
  </si>
  <si>
    <t>Project Management</t>
  </si>
  <si>
    <t>INS006</t>
  </si>
  <si>
    <t>C023</t>
  </si>
  <si>
    <t>Machine Learning Basics</t>
  </si>
  <si>
    <t>C024</t>
  </si>
  <si>
    <t>JavaScript Essentials</t>
  </si>
  <si>
    <t>C025</t>
  </si>
  <si>
    <t>Social Media Marketing</t>
  </si>
  <si>
    <t>INS002</t>
  </si>
  <si>
    <t>C026</t>
  </si>
  <si>
    <t>Content Writing Skills</t>
  </si>
  <si>
    <t>INS015</t>
  </si>
  <si>
    <t>C027</t>
  </si>
  <si>
    <t>Bookkeeping Basics</t>
  </si>
  <si>
    <t>C028</t>
  </si>
  <si>
    <t>Financial Modeling</t>
  </si>
  <si>
    <t>C029</t>
  </si>
  <si>
    <t>HR Management Essentials</t>
  </si>
  <si>
    <t>C030</t>
  </si>
  <si>
    <t>Public Speaking Skills</t>
  </si>
  <si>
    <t>specialty</t>
  </si>
  <si>
    <t>years_experience</t>
  </si>
  <si>
    <t>rating</t>
  </si>
  <si>
    <t>INS001</t>
  </si>
  <si>
    <t>Charles Stephenson</t>
  </si>
  <si>
    <t>Debra Gibbs</t>
  </si>
  <si>
    <t>INS003</t>
  </si>
  <si>
    <t>Danielle Colon</t>
  </si>
  <si>
    <t>April Bailey</t>
  </si>
  <si>
    <t>INS005</t>
  </si>
  <si>
    <t>Jackie Miller</t>
  </si>
  <si>
    <t>Kirsten Bowen</t>
  </si>
  <si>
    <t>INS007</t>
  </si>
  <si>
    <t>Logan Nguyen</t>
  </si>
  <si>
    <t>INS008</t>
  </si>
  <si>
    <t>Robert Holloway</t>
  </si>
  <si>
    <t>INS009</t>
  </si>
  <si>
    <t>Vincent Thompson</t>
  </si>
  <si>
    <t>INS010</t>
  </si>
  <si>
    <t>Kimberly Irwin</t>
  </si>
  <si>
    <t>Phyllis Rodriguez</t>
  </si>
  <si>
    <t>INS012</t>
  </si>
  <si>
    <t>Janet Valdez</t>
  </si>
  <si>
    <t>INS013</t>
  </si>
  <si>
    <t>Madison Pierce</t>
  </si>
  <si>
    <t>Connie Adams</t>
  </si>
  <si>
    <t>Rhonda Mullins</t>
  </si>
  <si>
    <t>INS016</t>
  </si>
  <si>
    <t>David Barber</t>
  </si>
  <si>
    <t>INS017</t>
  </si>
  <si>
    <t>Steven Davis</t>
  </si>
  <si>
    <t>INS018</t>
  </si>
  <si>
    <t>Cody Huffman</t>
  </si>
  <si>
    <t>John Blair</t>
  </si>
  <si>
    <t>Alisha Martin</t>
  </si>
  <si>
    <t>James Franklin</t>
  </si>
  <si>
    <t>Benjamin Sanchez</t>
  </si>
  <si>
    <t>Tracy Garcia</t>
  </si>
  <si>
    <t>Monica Morton</t>
  </si>
  <si>
    <t>Jamie Smith</t>
  </si>
  <si>
    <t>enrollment_id</t>
  </si>
  <si>
    <t>enrollment_date</t>
  </si>
  <si>
    <t>status</t>
  </si>
  <si>
    <t>completion_pct</t>
  </si>
  <si>
    <t>payment_method</t>
  </si>
  <si>
    <t>amount_paid_zar</t>
  </si>
  <si>
    <t>payment_flag</t>
  </si>
  <si>
    <t>student_rating</t>
  </si>
  <si>
    <t>E00001</t>
  </si>
  <si>
    <t>In Progress</t>
  </si>
  <si>
    <t>Cash</t>
  </si>
  <si>
    <t>E00002</t>
  </si>
  <si>
    <t>Dropped</t>
  </si>
  <si>
    <t>Bank Transfer</t>
  </si>
  <si>
    <t>E00003</t>
  </si>
  <si>
    <t>Completed</t>
  </si>
  <si>
    <t>EFT</t>
  </si>
  <si>
    <t>E00004</t>
  </si>
  <si>
    <t>E00005</t>
  </si>
  <si>
    <t>E00006</t>
  </si>
  <si>
    <t>E00007</t>
  </si>
  <si>
    <t>E00008</t>
  </si>
  <si>
    <t>Cancelled</t>
  </si>
  <si>
    <t>E00009</t>
  </si>
  <si>
    <t>Payfast</t>
  </si>
  <si>
    <t>E00010</t>
  </si>
  <si>
    <t>E00011</t>
  </si>
  <si>
    <t>E00012</t>
  </si>
  <si>
    <t>E00013</t>
  </si>
  <si>
    <t>E00014</t>
  </si>
  <si>
    <t>Card</t>
  </si>
  <si>
    <t>E00015</t>
  </si>
  <si>
    <t>E00016</t>
  </si>
  <si>
    <t>E00017</t>
  </si>
  <si>
    <t>E00018</t>
  </si>
  <si>
    <t>E00019</t>
  </si>
  <si>
    <t>stu0537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</si>
  <si>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</si>
  <si>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</si>
  <si>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</si>
  <si>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</si>
  <si>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</si>
  <si>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</si>
  <si>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</si>
  <si>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</si>
  <si>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</si>
  <si>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</si>
  <si>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</si>
  <si>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</si>
  <si>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</si>
  <si>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</si>
  <si>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</si>
  <si>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</si>
  <si>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</si>
  <si>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</si>
  <si>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</si>
  <si>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</si>
  <si>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</si>
  <si>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</si>
  <si>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</si>
  <si>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</si>
  <si>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</si>
  <si>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</si>
  <si>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</si>
  <si>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</si>
  <si>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</si>
  <si>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</si>
  <si>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</si>
  <si>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</si>
  <si>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</si>
  <si>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</si>
  <si>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</si>
  <si>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</si>
  <si>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</si>
  <si>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</si>
  <si>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</si>
  <si>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</si>
  <si>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</si>
  <si>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</si>
  <si>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</si>
  <si>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</si>
  <si>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</si>
  <si>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</si>
  <si>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</si>
  <si>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</si>
  <si>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</si>
  <si>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stu0103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</si>
  <si>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</si>
  <si>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</si>
  <si>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</si>
  <si>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</si>
  <si>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</si>
  <si>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</si>
  <si>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</si>
  <si>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</si>
  <si>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</si>
  <si>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</si>
  <si>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</si>
  <si>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</si>
  <si>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</si>
  <si>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</si>
  <si>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</si>
  <si>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</si>
  <si>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</si>
  <si>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</si>
  <si>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</si>
  <si>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</si>
  <si>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</si>
  <si>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</si>
  <si>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</si>
  <si>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</si>
  <si>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</si>
  <si>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</si>
  <si>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</si>
  <si>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</si>
  <si>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</si>
  <si>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</si>
  <si>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</si>
  <si>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</si>
  <si>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</si>
  <si>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</si>
  <si>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</si>
  <si>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</si>
  <si>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</si>
  <si>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</si>
  <si>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</si>
  <si>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</si>
  <si>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</si>
  <si>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</si>
  <si>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</si>
  <si>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</si>
  <si>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</si>
  <si>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</si>
  <si>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</si>
  <si>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</si>
  <si>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</si>
  <si>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</si>
  <si>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</si>
  <si>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</si>
  <si>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</si>
  <si>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</si>
  <si>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</si>
  <si>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</si>
  <si>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</si>
  <si>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</si>
  <si>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</si>
  <si>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</si>
  <si>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</si>
  <si>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</si>
  <si>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</si>
  <si>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stu0080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</si>
  <si>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</si>
  <si>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</si>
  <si>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</si>
  <si>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</si>
  <si>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</si>
  <si>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</si>
  <si>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</si>
  <si>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</si>
  <si>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</si>
  <si>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</si>
  <si>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</si>
  <si>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</si>
  <si>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</si>
  <si>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</si>
  <si>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</si>
  <si>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</si>
  <si>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</si>
  <si>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</si>
  <si>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</si>
  <si>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</si>
  <si>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stu0209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</si>
  <si>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</si>
  <si>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</si>
  <si>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</si>
  <si>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</si>
  <si>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</si>
  <si>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</si>
  <si>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</si>
  <si>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</si>
  <si>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</si>
  <si>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</si>
  <si>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</si>
  <si>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</si>
  <si>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</si>
  <si>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</si>
  <si>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</si>
  <si>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</si>
  <si>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</si>
  <si>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</si>
  <si>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</si>
  <si>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</si>
  <si>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</si>
  <si>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</si>
  <si>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</si>
  <si>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</si>
  <si>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</si>
  <si>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</si>
  <si>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</si>
  <si>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stu0004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</si>
  <si>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</si>
  <si>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</si>
  <si>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</si>
  <si>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</si>
  <si>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</si>
  <si>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</si>
  <si>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</si>
  <si>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</si>
  <si>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</si>
  <si>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</si>
  <si>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</si>
  <si>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</si>
  <si>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</si>
  <si>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stu0211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</si>
  <si>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</si>
  <si>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</si>
  <si>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</si>
  <si>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</si>
  <si>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</si>
  <si>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</si>
  <si>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</si>
  <si>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</si>
  <si>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</si>
  <si>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</si>
  <si>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</si>
  <si>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</si>
  <si>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</si>
  <si>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</si>
  <si>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</si>
  <si>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</si>
  <si>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</si>
  <si>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</si>
  <si>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</si>
  <si>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</si>
  <si>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</si>
  <si>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</si>
  <si>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</si>
  <si>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</si>
  <si>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</si>
  <si>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</si>
  <si>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</si>
  <si>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</si>
  <si>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</si>
  <si>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</si>
  <si>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stu0311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</si>
  <si>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</si>
  <si>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</si>
  <si>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</si>
  <si>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</si>
  <si>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</si>
  <si>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</si>
  <si>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</si>
  <si>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</si>
  <si>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</si>
  <si>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</si>
  <si>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</si>
  <si>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</si>
  <si>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</si>
  <si>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</si>
  <si>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</si>
  <si>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</si>
  <si>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</si>
  <si>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</si>
  <si>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</si>
  <si>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</si>
  <si>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</si>
  <si>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</si>
  <si>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</si>
  <si>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stu0488</t>
  </si>
  <si>
    <t>E00245</t>
  </si>
  <si>
    <t>E00246</t>
  </si>
  <si>
    <t>E00247</t>
  </si>
  <si>
    <t>E00248</t>
  </si>
  <si>
    <t>stu0143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</si>
  <si>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</si>
  <si>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</si>
  <si>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</si>
  <si>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</si>
  <si>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</si>
  <si>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</si>
  <si>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</si>
  <si>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</si>
  <si>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</si>
  <si>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</si>
  <si>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</si>
  <si>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</si>
  <si>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</si>
  <si>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</si>
  <si>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</si>
  <si>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</si>
  <si>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</si>
  <si>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</si>
  <si>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</si>
  <si>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</si>
  <si>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</si>
  <si>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</si>
  <si>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</si>
  <si>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</si>
  <si>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</si>
  <si>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</si>
  <si>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</si>
  <si>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</si>
  <si>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</si>
  <si>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</si>
  <si>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</si>
  <si>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</si>
  <si>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</si>
  <si>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</si>
  <si>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</si>
  <si>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</si>
  <si>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</si>
  <si>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</si>
  <si>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</si>
  <si>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</si>
  <si>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</si>
  <si>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</si>
  <si>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</si>
  <si>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</si>
  <si>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</si>
  <si>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</si>
  <si>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</si>
  <si>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</si>
  <si>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stu0281</t>
  </si>
  <si>
    <t>E00297</t>
  </si>
  <si>
    <t>E00298</t>
  </si>
  <si>
    <t>E00299</t>
  </si>
  <si>
    <t>E00300</t>
  </si>
  <si>
    <t>stu0452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</si>
  <si>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</si>
  <si>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</si>
  <si>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</si>
  <si>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</si>
  <si>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</si>
  <si>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</si>
  <si>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</si>
  <si>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</si>
  <si>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</si>
  <si>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</si>
  <si>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</si>
  <si>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</si>
  <si>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</si>
  <si>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</si>
  <si>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</si>
  <si>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</si>
  <si>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</si>
  <si>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</si>
  <si>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</si>
  <si>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</si>
  <si>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</si>
  <si>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</si>
  <si>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</si>
  <si>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</si>
  <si>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</si>
  <si>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</si>
  <si>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</si>
  <si>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</si>
  <si>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</si>
  <si>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</si>
  <si>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</si>
  <si>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</si>
  <si>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</si>
  <si>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</si>
  <si>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</si>
  <si>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stu0077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</si>
  <si>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</si>
  <si>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</si>
  <si>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</si>
  <si>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</si>
  <si>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</si>
  <si>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</si>
  <si>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</si>
  <si>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</si>
  <si>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</si>
  <si>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</si>
  <si>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</si>
  <si>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</si>
  <si>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</si>
  <si>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</si>
  <si>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</si>
  <si>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</si>
  <si>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</si>
  <si>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</si>
  <si>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</si>
  <si>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</si>
  <si>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</si>
  <si>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</si>
  <si>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</si>
  <si>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</si>
  <si>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</si>
  <si>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</si>
  <si>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</si>
  <si>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</si>
  <si>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</si>
  <si>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</si>
  <si>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</si>
  <si>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</si>
  <si>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</si>
  <si>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</si>
  <si>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</si>
  <si>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</si>
  <si>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</si>
  <si>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</si>
  <si>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</si>
  <si>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</si>
  <si>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</si>
  <si>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</si>
  <si>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</si>
  <si>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</si>
  <si>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</si>
  <si>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</si>
  <si>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</si>
  <si>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</si>
  <si>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</si>
  <si>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</si>
  <si>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</si>
  <si>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</si>
  <si>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</si>
  <si>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</si>
  <si>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</si>
  <si>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</si>
  <si>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</si>
  <si>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</si>
  <si>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</si>
  <si>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</si>
  <si>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</si>
  <si>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</si>
  <si>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</si>
  <si>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</si>
  <si>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</si>
  <si>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</si>
  <si>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</si>
  <si>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</si>
  <si>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</si>
  <si>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</si>
  <si>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</si>
  <si>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</si>
  <si>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</si>
  <si>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</si>
  <si>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</si>
  <si>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</si>
  <si>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</si>
  <si>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</si>
  <si>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</si>
  <si>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</si>
  <si>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</si>
  <si>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</si>
  <si>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</si>
  <si>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</si>
  <si>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</si>
  <si>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</si>
  <si>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</si>
  <si>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</si>
  <si>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</si>
  <si>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</si>
  <si>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stu0158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</si>
  <si>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</si>
  <si>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</si>
  <si>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</si>
  <si>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</si>
  <si>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</si>
  <si>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</si>
  <si>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</si>
  <si>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</si>
  <si>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</si>
  <si>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</si>
  <si>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</si>
  <si>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</si>
  <si>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</si>
  <si>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</si>
  <si>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</si>
  <si>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</si>
  <si>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</si>
  <si>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</si>
  <si>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</si>
  <si>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</si>
  <si>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</si>
  <si>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</si>
  <si>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</si>
  <si>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</si>
  <si>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</si>
  <si>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</si>
  <si>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</si>
  <si>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stu0409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</si>
  <si>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</si>
  <si>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</si>
  <si>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</si>
  <si>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</si>
  <si>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</si>
  <si>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</si>
  <si>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</si>
  <si>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</si>
  <si>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</si>
  <si>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</si>
  <si>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</si>
  <si>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</si>
  <si>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</si>
  <si>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</si>
  <si>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</si>
  <si>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</si>
  <si>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</si>
  <si>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</si>
  <si>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</si>
  <si>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</si>
  <si>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</si>
  <si>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</si>
  <si>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</si>
  <si>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</si>
  <si>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</si>
  <si>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</si>
  <si>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</si>
  <si>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</si>
  <si>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</si>
  <si>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</si>
  <si>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</si>
  <si>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</si>
  <si>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</si>
  <si>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</si>
  <si>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</si>
  <si>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</si>
  <si>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</si>
  <si>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</si>
  <si>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</si>
  <si>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</si>
  <si>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</si>
  <si>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</si>
  <si>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</si>
  <si>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</si>
  <si>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</si>
  <si>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</si>
  <si>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</si>
  <si>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</si>
  <si>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</si>
  <si>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</si>
  <si>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</si>
  <si>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</si>
  <si>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</si>
  <si>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</si>
  <si>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</si>
  <si>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</si>
  <si>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</si>
  <si>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</si>
  <si>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</si>
  <si>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</si>
  <si>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</si>
  <si>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</si>
  <si>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</si>
  <si>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</si>
  <si>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</si>
  <si>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</si>
  <si>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</si>
  <si>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</si>
  <si>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</si>
  <si>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</si>
  <si>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</si>
  <si>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</si>
  <si>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</si>
  <si>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</si>
  <si>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</si>
  <si>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</si>
  <si>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</si>
  <si>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</si>
  <si>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</si>
  <si>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</si>
  <si>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</si>
  <si>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</si>
  <si>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</si>
  <si>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</si>
  <si>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</si>
  <si>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</si>
  <si>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</si>
  <si>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</si>
  <si>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</si>
  <si>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</si>
  <si>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</si>
  <si>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</si>
  <si>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</si>
  <si>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</si>
  <si>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</si>
  <si>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</si>
  <si>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</si>
  <si>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</si>
  <si>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</si>
  <si>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</si>
  <si>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</si>
  <si>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</si>
  <si>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</si>
  <si>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</si>
  <si>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</si>
  <si>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</si>
  <si>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</si>
  <si>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</si>
  <si>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</si>
  <si>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</si>
  <si>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</si>
  <si>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</si>
  <si>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</si>
  <si>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</si>
  <si>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</si>
  <si>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</si>
  <si>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</si>
  <si>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</si>
  <si>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</si>
  <si>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</si>
  <si>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</si>
  <si>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</si>
  <si>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</si>
  <si>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</si>
  <si>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</si>
  <si>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</si>
  <si>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</si>
  <si>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</si>
  <si>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</si>
  <si>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</si>
  <si>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</si>
  <si>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stu0279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</si>
  <si>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</si>
  <si>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</si>
  <si>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</si>
  <si>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</si>
  <si>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</si>
  <si>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</si>
  <si>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</si>
  <si>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</si>
  <si>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</si>
  <si>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</si>
  <si>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</si>
  <si>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</si>
  <si>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</si>
  <si>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</si>
  <si>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</si>
  <si>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</si>
  <si>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</si>
  <si>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</si>
  <si>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</si>
  <si>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</si>
  <si>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</si>
  <si>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</si>
  <si>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</si>
  <si>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</si>
  <si>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</si>
  <si>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</si>
  <si>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</si>
  <si>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</si>
  <si>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</si>
  <si>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</si>
  <si>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</si>
  <si>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</si>
  <si>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</si>
  <si>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</si>
  <si>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</si>
  <si>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</si>
  <si>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</si>
  <si>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</si>
  <si>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</si>
  <si>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</si>
  <si>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</si>
  <si>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</si>
  <si>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</si>
  <si>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</si>
  <si>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</si>
  <si>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stu0571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</si>
  <si>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</si>
  <si>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</si>
  <si>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</si>
  <si>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</si>
  <si>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</si>
  <si>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</si>
  <si>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</si>
  <si>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</si>
  <si>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</si>
  <si>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</si>
  <si>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</si>
  <si>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</si>
  <si>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</si>
  <si>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</si>
  <si>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</si>
  <si>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</si>
  <si>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</si>
  <si>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</si>
  <si>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</si>
  <si>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</si>
  <si>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</si>
  <si>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</si>
  <si>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</si>
  <si>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</si>
  <si>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</si>
  <si>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</si>
  <si>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</si>
  <si>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</si>
  <si>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</si>
  <si>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</si>
  <si>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stu0449</t>
  </si>
  <si>
    <t>E00659</t>
  </si>
  <si>
    <t>stu0216</t>
  </si>
  <si>
    <t>E00660</t>
  </si>
  <si>
    <t>E00661</t>
  </si>
  <si>
    <t>E00662</t>
  </si>
  <si>
    <t>E00663</t>
  </si>
  <si>
    <t>E00664</t>
  </si>
  <si>
    <t>E00665</t>
  </si>
  <si>
    <t>stu0330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</si>
  <si>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</si>
  <si>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</si>
  <si>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</si>
  <si>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</si>
  <si>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</si>
  <si>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</si>
  <si>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</si>
  <si>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</si>
  <si>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</si>
  <si>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</si>
  <si>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</si>
  <si>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</si>
  <si>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</si>
  <si>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</si>
  <si>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</si>
  <si>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</si>
  <si>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</si>
  <si>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</si>
  <si>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</si>
  <si>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</si>
  <si>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</si>
  <si>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</si>
  <si>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</si>
  <si>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</si>
  <si>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</si>
  <si>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</si>
  <si>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</si>
  <si>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</si>
  <si>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</si>
  <si>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</si>
  <si>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</si>
  <si>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</si>
  <si>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</si>
  <si>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</si>
  <si>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</si>
  <si>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</si>
  <si>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</si>
  <si>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</si>
  <si>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</si>
  <si>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</si>
  <si>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</si>
  <si>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</si>
  <si>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</si>
  <si>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</si>
  <si>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</si>
  <si>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</si>
  <si>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</si>
  <si>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</si>
  <si>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</si>
  <si>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</si>
  <si>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</si>
  <si>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</si>
  <si>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</si>
  <si>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</si>
  <si>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</si>
  <si>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</si>
  <si>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</si>
  <si>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</si>
  <si>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</si>
  <si>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</si>
  <si>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</si>
  <si>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</si>
  <si>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</si>
  <si>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</si>
  <si>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</si>
  <si>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</si>
  <si>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</si>
  <si>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</si>
  <si>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</si>
  <si>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</si>
  <si>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</si>
  <si>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</si>
  <si>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</si>
  <si>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</si>
  <si>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</si>
  <si>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</si>
  <si>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</si>
  <si>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</si>
  <si>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</si>
  <si>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</si>
  <si>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</si>
  <si>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</si>
  <si>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</si>
  <si>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</si>
  <si>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</si>
  <si>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</si>
  <si>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</si>
  <si>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</si>
  <si>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</si>
  <si>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</si>
  <si>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</si>
  <si>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</si>
  <si>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</si>
  <si>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</si>
  <si>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</si>
  <si>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</si>
  <si>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</si>
  <si>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</si>
  <si>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</si>
  <si>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</si>
  <si>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</si>
  <si>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</si>
  <si>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</si>
  <si>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</si>
  <si>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</si>
  <si>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</si>
  <si>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</si>
  <si>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</si>
  <si>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</si>
  <si>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</si>
  <si>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</si>
  <si>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</si>
  <si>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</si>
  <si>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</si>
  <si>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</si>
  <si>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</si>
  <si>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</si>
  <si>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</si>
  <si>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</si>
  <si>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</si>
  <si>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</si>
  <si>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</si>
  <si>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</si>
  <si>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</si>
  <si>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</si>
  <si>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</si>
  <si>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</si>
  <si>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</si>
  <si>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</si>
  <si>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</si>
  <si>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</si>
  <si>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</si>
  <si>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</si>
  <si>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</si>
  <si>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</si>
  <si>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</si>
  <si>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</si>
  <si>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</si>
  <si>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</si>
  <si>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</si>
  <si>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</si>
  <si>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</si>
  <si>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</si>
  <si>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</si>
  <si>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</si>
  <si>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</si>
  <si>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</si>
  <si>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</si>
  <si>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</si>
  <si>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</si>
  <si>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</si>
  <si>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</si>
  <si>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</si>
  <si>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</si>
  <si>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</si>
  <si>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</si>
  <si>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</si>
  <si>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</si>
  <si>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</si>
  <si>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</si>
  <si>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</si>
  <si>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</si>
  <si>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</si>
  <si>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</si>
  <si>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</si>
  <si>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</si>
  <si>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</si>
  <si>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</si>
  <si>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</si>
  <si>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</si>
  <si>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stu0074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</si>
  <si>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</si>
  <si>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</si>
  <si>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</si>
  <si>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</si>
  <si>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</si>
  <si>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</si>
  <si>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</si>
  <si>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</si>
  <si>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</si>
  <si>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</si>
  <si>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</si>
  <si>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</si>
  <si>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</si>
  <si>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</si>
  <si>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</si>
  <si>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</si>
  <si>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</si>
  <si>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</si>
  <si>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</si>
  <si>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</si>
  <si>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</si>
  <si>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</si>
  <si>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</si>
  <si>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</si>
  <si>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</si>
  <si>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</si>
  <si>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</si>
  <si>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</si>
  <si>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</si>
  <si>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</si>
  <si>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</si>
  <si>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</si>
  <si>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</si>
  <si>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</si>
  <si>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</si>
  <si>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</si>
  <si>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</si>
  <si>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</si>
  <si>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</si>
  <si>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</si>
  <si>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</si>
  <si>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</si>
  <si>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</si>
  <si>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</si>
  <si>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</si>
  <si>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</si>
  <si>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</si>
  <si>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</si>
  <si>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</si>
  <si>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</si>
  <si>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</si>
  <si>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</si>
  <si>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</si>
  <si>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</si>
  <si>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</si>
  <si>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</si>
  <si>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</si>
  <si>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</si>
  <si>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</si>
  <si>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</si>
  <si>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</si>
  <si>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</si>
  <si>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</si>
  <si>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</si>
  <si>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</si>
  <si>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</si>
  <si>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</si>
  <si>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</si>
  <si>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</si>
  <si>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</si>
  <si>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</si>
  <si>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</si>
  <si>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</si>
  <si>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</si>
  <si>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</si>
  <si>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</si>
  <si>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</si>
  <si>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</si>
  <si>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</si>
  <si>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</si>
  <si>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</si>
  <si>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</si>
  <si>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</si>
  <si>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</si>
  <si>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</si>
  <si>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</si>
  <si>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</si>
  <si>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</si>
  <si>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</si>
  <si>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</si>
  <si>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</si>
  <si>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</si>
  <si>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</si>
  <si>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</si>
  <si>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</si>
  <si>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stu0042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</si>
  <si>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</si>
  <si>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</si>
  <si>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</si>
  <si>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</si>
  <si>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</si>
  <si>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</si>
  <si>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</si>
  <si>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</si>
  <si>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</si>
  <si>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</si>
  <si>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</si>
  <si>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</si>
  <si>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</si>
  <si>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</si>
  <si>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</si>
  <si>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</si>
  <si>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</si>
  <si>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</si>
  <si>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</si>
  <si>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</si>
  <si>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</si>
  <si>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</si>
  <si>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</si>
  <si>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</si>
  <si>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</si>
  <si>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</si>
  <si>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</si>
  <si>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</si>
  <si>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</si>
  <si>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</si>
  <si>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</si>
  <si>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</si>
  <si>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</si>
  <si>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</si>
  <si>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</si>
  <si>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</si>
  <si>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</si>
  <si>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</si>
  <si>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</si>
  <si>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</si>
  <si>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</si>
  <si>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</si>
  <si>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</si>
  <si>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</si>
  <si>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</si>
  <si>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</si>
  <si>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</si>
  <si>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</si>
  <si>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</si>
  <si>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</si>
  <si>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</si>
  <si>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</si>
  <si>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</si>
  <si>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</si>
  <si>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</si>
  <si>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</si>
  <si>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</si>
  <si>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</si>
  <si>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</si>
  <si>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</si>
  <si>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</si>
  <si>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</si>
  <si>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stu0224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</si>
  <si>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</si>
  <si>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</si>
  <si>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</si>
  <si>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</si>
  <si>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</si>
  <si>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</si>
  <si>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</si>
  <si>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</si>
  <si>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</si>
  <si>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</si>
  <si>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</si>
  <si>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</si>
  <si>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</si>
  <si>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</si>
  <si>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</si>
  <si>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</si>
  <si>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</si>
  <si>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</si>
  <si>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</si>
  <si>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</si>
  <si>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</si>
  <si>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</si>
  <si>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</si>
  <si>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</si>
  <si>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</si>
  <si>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</si>
  <si>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</si>
  <si>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</si>
  <si>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</si>
  <si>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</si>
  <si>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</si>
  <si>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</si>
  <si>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</si>
  <si>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</si>
  <si>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</si>
  <si>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</si>
  <si>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</si>
  <si>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</si>
  <si>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</si>
  <si>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</si>
  <si>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</si>
  <si>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</si>
  <si>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</si>
  <si>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</si>
  <si>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</si>
  <si>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</si>
  <si>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</si>
  <si>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</si>
  <si>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</si>
  <si>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</si>
  <si>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</si>
  <si>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</si>
  <si>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</si>
  <si>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</si>
  <si>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</si>
  <si>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</si>
  <si>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</si>
  <si>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</si>
  <si>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</si>
  <si>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</si>
  <si>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</si>
  <si>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</si>
  <si>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</si>
  <si>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</si>
  <si>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</si>
  <si>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</si>
  <si>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</si>
  <si>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</si>
  <si>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</si>
  <si>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</si>
  <si>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</si>
  <si>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</si>
  <si>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</si>
  <si>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</si>
  <si>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</si>
  <si>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</si>
  <si>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</si>
  <si>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</si>
  <si>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</si>
  <si>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</si>
  <si>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</si>
  <si>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</si>
  <si>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</si>
  <si>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</si>
  <si>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</si>
  <si>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</si>
  <si>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</si>
  <si>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</si>
  <si>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</si>
  <si>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</si>
  <si>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</si>
  <si>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</si>
  <si>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</si>
  <si>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</si>
  <si>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</si>
  <si>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</si>
  <si>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stu0353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</si>
  <si>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</si>
  <si>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</si>
  <si>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</si>
  <si>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</si>
  <si>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</si>
  <si>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</si>
  <si>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</si>
  <si>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</si>
  <si>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</si>
  <si>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</si>
  <si>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</si>
  <si>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</si>
  <si>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</si>
  <si>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</si>
  <si>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</si>
  <si>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</si>
  <si>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</si>
  <si>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</si>
  <si>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</si>
  <si>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</si>
  <si>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</si>
  <si>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</si>
  <si>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</si>
  <si>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</si>
  <si>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</si>
  <si>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</si>
  <si>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</si>
  <si>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</si>
  <si>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</si>
  <si>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</si>
  <si>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</si>
  <si>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</si>
  <si>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</si>
  <si>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</si>
  <si>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</si>
  <si>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</si>
  <si>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</si>
  <si>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</si>
  <si>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</si>
  <si>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</si>
  <si>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</si>
  <si>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</si>
  <si>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</si>
  <si>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</si>
  <si>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</si>
  <si>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</si>
  <si>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</si>
  <si>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</si>
  <si>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</si>
  <si>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</si>
  <si>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</si>
  <si>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</si>
  <si>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</si>
  <si>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</si>
  <si>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</si>
  <si>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</si>
  <si>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</si>
  <si>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</si>
  <si>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</si>
  <si>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</si>
  <si>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</si>
  <si>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</si>
  <si>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</si>
  <si>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</si>
  <si>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</si>
  <si>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</si>
  <si>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</si>
  <si>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</si>
  <si>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</si>
  <si>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</si>
  <si>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</si>
  <si>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</si>
  <si>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</si>
  <si>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</si>
  <si>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</si>
  <si>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</si>
  <si>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</si>
  <si>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stu0119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</si>
  <si>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</si>
  <si>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</si>
  <si>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</si>
  <si>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</si>
  <si>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</si>
  <si>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</si>
  <si>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</si>
  <si>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</si>
  <si>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</si>
  <si>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</si>
  <si>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</si>
  <si>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</si>
  <si>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</si>
  <si>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</si>
  <si>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</si>
  <si>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</si>
  <si>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</si>
  <si>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</si>
  <si>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</si>
  <si>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</si>
  <si>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</si>
  <si>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</si>
  <si>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</si>
  <si>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</si>
  <si>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</si>
  <si>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</si>
  <si>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</si>
  <si>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</si>
  <si>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</si>
  <si>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</si>
  <si>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</si>
  <si>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</si>
  <si>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</si>
  <si>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</si>
  <si>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</si>
  <si>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</si>
  <si>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</si>
  <si>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</si>
  <si>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</si>
  <si>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</si>
  <si>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</si>
  <si>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</si>
  <si>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</si>
  <si>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</si>
  <si>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stu0442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</si>
  <si>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</si>
  <si>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</si>
  <si>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</si>
  <si>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</si>
  <si>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</si>
  <si>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</si>
  <si>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</si>
  <si>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</si>
  <si>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</si>
  <si>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</si>
  <si>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</si>
  <si>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</si>
  <si>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</si>
  <si>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</si>
  <si>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</si>
  <si>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</si>
  <si>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</si>
  <si>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</si>
  <si>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</si>
  <si>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</si>
  <si>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</si>
  <si>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</si>
  <si>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</si>
  <si>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</si>
  <si>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</si>
  <si>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</si>
  <si>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</si>
  <si>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</si>
  <si>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</si>
  <si>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</si>
  <si>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</si>
  <si>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</si>
  <si>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</si>
  <si>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</si>
  <si>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</si>
  <si>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</si>
  <si>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stu0577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</si>
  <si>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</si>
  <si>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</si>
  <si>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</si>
  <si>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</si>
  <si>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</si>
  <si>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</si>
  <si>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</si>
  <si>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</si>
  <si>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</si>
  <si>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</si>
  <si>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</si>
  <si>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</si>
  <si>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</si>
  <si>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</si>
  <si>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</si>
  <si>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</si>
  <si>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</si>
  <si>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</si>
  <si>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</si>
  <si>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</si>
  <si>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</si>
  <si>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</si>
  <si>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</si>
  <si>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</si>
  <si>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</si>
  <si>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</si>
  <si>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</si>
  <si>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</si>
  <si>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</si>
  <si>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</si>
  <si>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</si>
  <si>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</si>
  <si>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</si>
  <si>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</si>
  <si>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</si>
  <si>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</si>
  <si>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</si>
  <si>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</si>
  <si>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</si>
  <si>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</si>
  <si>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</si>
  <si>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</si>
  <si>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</si>
  <si>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</si>
  <si>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</si>
  <si>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</si>
  <si>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</si>
  <si>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</si>
  <si>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</si>
  <si>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</si>
  <si>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</si>
  <si>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</si>
  <si>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</si>
  <si>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</si>
  <si>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</si>
  <si>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</si>
  <si>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</si>
  <si>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</si>
  <si>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</si>
  <si>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</si>
  <si>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</si>
  <si>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</si>
  <si>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</si>
  <si>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</si>
  <si>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</si>
  <si>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</si>
  <si>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</si>
  <si>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</si>
  <si>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</si>
  <si>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</si>
  <si>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</si>
  <si>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</si>
  <si>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</si>
  <si>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</si>
  <si>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</si>
  <si>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</si>
  <si>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</si>
  <si>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</si>
  <si>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</si>
  <si>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</si>
  <si>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</si>
  <si>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</si>
  <si>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</si>
  <si>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</si>
  <si>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</si>
  <si>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</si>
  <si>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</si>
  <si>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</si>
  <si>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</si>
  <si>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</si>
  <si>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</si>
  <si>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</si>
  <si>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</si>
  <si>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stu0172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</si>
  <si>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</si>
  <si>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</si>
  <si>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</si>
  <si>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</si>
  <si>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</si>
  <si>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</si>
  <si>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</si>
  <si>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</si>
  <si>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</si>
  <si>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</si>
  <si>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</si>
  <si>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stu0089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</si>
  <si>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</si>
  <si>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</si>
  <si>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</si>
  <si>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</si>
  <si>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</si>
  <si>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</si>
  <si>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</si>
  <si>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</si>
  <si>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</si>
  <si>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</si>
  <si>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</si>
  <si>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</si>
  <si>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</si>
  <si>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</si>
  <si>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</si>
  <si>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</si>
  <si>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</si>
  <si>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</si>
  <si>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</si>
  <si>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</si>
  <si>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</si>
  <si>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</si>
  <si>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</si>
  <si>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</si>
  <si>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</si>
  <si>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</si>
  <si>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</si>
  <si>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</si>
  <si>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</si>
  <si>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</si>
  <si>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</si>
  <si>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</si>
  <si>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</si>
  <si>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</si>
  <si>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</si>
  <si>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</si>
  <si>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</si>
  <si>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</si>
  <si>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</si>
  <si>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</si>
  <si>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</si>
  <si>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</si>
  <si>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</si>
  <si>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</si>
  <si>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</si>
  <si>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</si>
  <si>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</si>
  <si>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</si>
  <si>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</si>
  <si>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</si>
  <si>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</si>
  <si>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</si>
  <si>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</si>
  <si>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</si>
  <si>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</si>
  <si>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</si>
  <si>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</si>
  <si>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</si>
  <si>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</si>
  <si>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</si>
  <si>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</si>
  <si>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</si>
  <si>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</si>
  <si>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</si>
  <si>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</si>
  <si>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stu0503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</si>
  <si>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</si>
  <si>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</si>
  <si>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</si>
  <si>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</si>
  <si>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</si>
  <si>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</si>
  <si>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</si>
  <si>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</si>
  <si>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</si>
  <si>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</si>
  <si>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</si>
  <si>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</si>
  <si>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</si>
  <si>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</si>
  <si>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</si>
  <si>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</si>
  <si>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</si>
  <si>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</si>
  <si>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</si>
  <si>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</si>
  <si>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</si>
  <si>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</si>
  <si>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</si>
  <si>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</si>
  <si>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</si>
  <si>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</si>
  <si>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</si>
  <si>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</si>
  <si>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</si>
  <si>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</si>
  <si>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</si>
  <si>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</si>
  <si>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E01447</t>
  </si>
  <si>
    <t>E01448</t>
  </si>
  <si>
    <t>stu0136</t>
  </si>
  <si>
    <t>E01449</t>
  </si>
  <si>
    <t>E01450</t>
  </si>
  <si>
    <t>E01451</t>
  </si>
  <si>
    <t>E01452</t>
  </si>
  <si>
    <t>E01453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</si>
  <si>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</si>
  <si>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</si>
  <si>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</si>
  <si>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</si>
  <si>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</si>
  <si>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</si>
  <si>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</si>
  <si>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</si>
  <si>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</si>
  <si>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</si>
  <si>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</si>
  <si>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</si>
  <si>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</si>
  <si>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</si>
  <si>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</si>
  <si>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</si>
  <si>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</si>
  <si>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</si>
  <si>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</si>
  <si>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</si>
  <si>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</si>
  <si>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</si>
  <si>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</si>
  <si>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</si>
  <si>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</si>
  <si>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</si>
  <si>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</si>
  <si>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</si>
  <si>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</si>
  <si>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</si>
  <si>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</si>
  <si>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</si>
  <si>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</si>
  <si>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</si>
  <si>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</si>
  <si>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</si>
  <si>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</si>
  <si>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</si>
  <si>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</si>
  <si>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</si>
  <si>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</si>
  <si>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</si>
  <si>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</si>
  <si>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</si>
  <si>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</si>
  <si>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</si>
  <si>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</si>
  <si>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</si>
  <si>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</si>
  <si>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</si>
  <si>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</si>
  <si>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</si>
  <si>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stu0222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</si>
  <si>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</si>
  <si>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</si>
  <si>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</si>
  <si>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</si>
  <si>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</si>
  <si>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</si>
  <si>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</si>
  <si>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</si>
  <si>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</si>
  <si>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</si>
  <si>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</si>
  <si>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</si>
  <si>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</si>
  <si>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</si>
  <si>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</si>
  <si>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</si>
  <si>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</si>
  <si>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</si>
  <si>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</si>
  <si>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</si>
  <si>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</si>
  <si>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</si>
  <si>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</si>
  <si>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</si>
  <si>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</si>
  <si>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</si>
  <si>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</si>
  <si>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</si>
  <si>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</si>
  <si>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</si>
  <si>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</si>
  <si>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</si>
  <si>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</si>
  <si>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</si>
  <si>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</si>
  <si>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</si>
  <si>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</si>
  <si>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</si>
  <si>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</si>
  <si>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</si>
  <si>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</si>
  <si>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</si>
  <si>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</si>
  <si>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</si>
  <si>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</si>
  <si>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</si>
  <si>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</si>
  <si>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</si>
  <si>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</si>
  <si>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</si>
  <si>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</si>
  <si>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</si>
  <si>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</si>
  <si>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</si>
  <si>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</si>
  <si>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</si>
  <si>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</si>
  <si>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</si>
  <si>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</si>
  <si>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</si>
  <si>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</si>
  <si>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</si>
  <si>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</si>
  <si>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</si>
  <si>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</si>
  <si>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</si>
  <si>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</si>
  <si>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</si>
  <si>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</si>
  <si>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</si>
  <si>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</si>
  <si>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</si>
  <si>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</si>
  <si>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</si>
  <si>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</si>
  <si>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</si>
  <si>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</si>
  <si>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</si>
  <si>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</si>
  <si>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</si>
  <si>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</si>
  <si>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</si>
  <si>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</si>
  <si>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</si>
  <si>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</si>
  <si>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</si>
  <si>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</si>
  <si>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</si>
  <si>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</si>
  <si>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</si>
  <si>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</si>
  <si>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</si>
  <si>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</si>
  <si>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</si>
  <si>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</si>
  <si>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</si>
  <si>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</si>
  <si>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</si>
  <si>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</si>
  <si>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</si>
  <si>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</si>
  <si>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</si>
  <si>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</si>
  <si>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</si>
  <si>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</si>
  <si>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</si>
  <si>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</si>
  <si>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</si>
  <si>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</si>
  <si>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</si>
  <si>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stu0149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</si>
  <si>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</si>
  <si>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</si>
  <si>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</si>
  <si>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</si>
  <si>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</si>
  <si>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</si>
  <si>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</si>
  <si>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</si>
  <si>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</si>
  <si>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</si>
  <si>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</si>
  <si>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</si>
  <si>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</si>
  <si>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</si>
  <si>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</si>
  <si>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</si>
  <si>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</si>
  <si>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</si>
  <si>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</si>
  <si>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</si>
  <si>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</si>
  <si>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</si>
  <si>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</si>
  <si>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</si>
  <si>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</si>
  <si>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</si>
  <si>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</si>
  <si>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</si>
  <si>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</si>
  <si>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</si>
  <si>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</si>
  <si>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</si>
  <si>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</si>
  <si>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</si>
  <si>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</si>
  <si>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</si>
  <si>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</si>
  <si>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</si>
  <si>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</si>
  <si>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</si>
  <si>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stu0015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</si>
  <si>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</si>
  <si>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</si>
  <si>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</si>
  <si>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</si>
  <si>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</si>
  <si>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</si>
  <si>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</si>
  <si>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</si>
  <si>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</si>
  <si>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</si>
  <si>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</si>
  <si>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</si>
  <si>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</si>
  <si>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</si>
  <si>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</si>
  <si>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</si>
  <si>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</si>
  <si>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</si>
  <si>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</si>
  <si>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</si>
  <si>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</si>
  <si>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</si>
  <si>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</si>
  <si>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</si>
  <si>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</si>
  <si>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</si>
  <si>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</si>
  <si>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</si>
  <si>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</si>
  <si>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</si>
  <si>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</si>
  <si>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</si>
  <si>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</si>
  <si>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</si>
  <si>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</si>
  <si>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</si>
  <si>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</si>
  <si>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</si>
  <si>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</si>
  <si>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</si>
  <si>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</si>
  <si>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E01697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</si>
  <si>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</si>
  <si>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</si>
  <si>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</si>
  <si>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</si>
  <si>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</si>
  <si>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</si>
  <si>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</si>
  <si>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</si>
  <si>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</si>
  <si>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</si>
  <si>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</si>
  <si>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</si>
  <si>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</si>
  <si>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</si>
  <si>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</si>
  <si>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</si>
  <si>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</si>
  <si>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</si>
  <si>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</si>
  <si>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</si>
  <si>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</si>
  <si>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</si>
  <si>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</si>
  <si>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stu0343</t>
  </si>
  <si>
    <t>E01721</t>
  </si>
  <si>
    <t>E01722</t>
  </si>
  <si>
    <t>E01723</t>
  </si>
  <si>
    <t>stu0029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</si>
  <si>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</si>
  <si>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</si>
  <si>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</si>
  <si>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</si>
  <si>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</si>
  <si>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</si>
  <si>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</si>
  <si>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</si>
  <si>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</si>
  <si>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</si>
  <si>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</si>
  <si>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</si>
  <si>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</si>
  <si>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</si>
  <si>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</si>
  <si>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</si>
  <si>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</si>
  <si>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</si>
  <si>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</si>
  <si>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</si>
  <si>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</si>
  <si>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</si>
  <si>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</si>
  <si>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</si>
  <si>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</si>
  <si>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</si>
  <si>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</si>
  <si>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</si>
  <si>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</si>
  <si>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</si>
  <si>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</si>
  <si>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</si>
  <si>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</si>
  <si>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</si>
  <si>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</si>
  <si>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</si>
  <si>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</si>
  <si>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</si>
  <si>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</si>
  <si>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</si>
  <si>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</si>
  <si>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</si>
  <si>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stu0189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</si>
  <si>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</si>
  <si>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</si>
  <si>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</si>
  <si>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</si>
  <si>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</si>
  <si>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</si>
  <si>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</si>
  <si>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</si>
  <si>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</si>
  <si>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</si>
  <si>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</si>
  <si>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</si>
  <si>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</si>
  <si>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</si>
  <si>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</si>
  <si>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</si>
  <si>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</si>
  <si>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</si>
  <si>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</si>
  <si>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</si>
  <si>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</si>
  <si>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stu0465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</si>
  <si>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</si>
  <si>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</si>
  <si>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</si>
  <si>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</si>
  <si>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</si>
  <si>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</si>
  <si>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</si>
  <si>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</si>
  <si>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</si>
  <si>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</si>
  <si>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</si>
  <si>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</si>
  <si>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</si>
  <si>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</si>
  <si>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</si>
  <si>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</si>
  <si>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</si>
  <si>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</si>
  <si>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</si>
  <si>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</si>
  <si>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stu0181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</si>
  <si>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</si>
  <si>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</si>
  <si>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</si>
  <si>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</si>
  <si>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</si>
  <si>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</si>
  <si>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</si>
  <si>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</si>
  <si>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</si>
  <si>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</si>
  <si>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</si>
  <si>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</si>
  <si>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</si>
  <si>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</si>
  <si>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</si>
  <si>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stu0164</t>
  </si>
  <si>
    <t>E01822</t>
  </si>
  <si>
    <t>E01823</t>
  </si>
  <si>
    <t>E01824</t>
  </si>
  <si>
    <t>E01825</t>
  </si>
  <si>
    <t>E01826</t>
  </si>
  <si>
    <t>E01827</t>
  </si>
  <si>
    <t>E01828</t>
  </si>
  <si>
    <t>stu0560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</si>
  <si>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</si>
  <si>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</si>
  <si>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</si>
  <si>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</si>
  <si>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</si>
  <si>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</si>
  <si>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</si>
  <si>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</si>
  <si>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</si>
  <si>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</si>
  <si>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</si>
  <si>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</si>
  <si>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</si>
  <si>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</si>
  <si>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</si>
  <si>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</si>
  <si>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</si>
  <si>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</si>
  <si>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</si>
  <si>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</si>
  <si>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</si>
  <si>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</si>
  <si>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</si>
  <si>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</si>
  <si>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</si>
  <si>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</si>
  <si>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E01855</t>
  </si>
  <si>
    <t>stu0417</t>
  </si>
  <si>
    <t>E01856</t>
  </si>
  <si>
    <t>E01857</t>
  </si>
  <si>
    <t>E01858</t>
  </si>
  <si>
    <t>stu0296</t>
  </si>
  <si>
    <t>E01859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</si>
  <si>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</si>
  <si>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</si>
  <si>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</si>
  <si>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</si>
  <si>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</si>
  <si>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</si>
  <si>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</si>
  <si>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</si>
  <si>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</si>
  <si>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</si>
  <si>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</si>
  <si>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</si>
  <si>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</si>
  <si>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E01873</t>
  </si>
  <si>
    <t>E01874</t>
  </si>
  <si>
    <t>E01875</t>
  </si>
  <si>
    <t>E01876</t>
  </si>
  <si>
    <t>E01877</t>
  </si>
  <si>
    <t>stu0047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</si>
  <si>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</si>
  <si>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</si>
  <si>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</si>
  <si>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</si>
  <si>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</si>
  <si>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</si>
  <si>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</si>
  <si>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</si>
  <si>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</si>
  <si>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</si>
  <si>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</si>
  <si>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</si>
  <si>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</si>
  <si>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</si>
  <si>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</si>
  <si>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</si>
  <si>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</si>
  <si>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stu0192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</si>
  <si>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</si>
  <si>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</si>
  <si>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</si>
  <si>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</si>
  <si>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</si>
  <si>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</si>
  <si>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</si>
  <si>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</si>
  <si>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</si>
  <si>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</si>
  <si>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</si>
  <si>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</si>
  <si>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</si>
  <si>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</si>
  <si>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</si>
  <si>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</si>
  <si>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</si>
  <si>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</si>
  <si>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</si>
  <si>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</si>
  <si>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</si>
  <si>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</si>
  <si>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</si>
  <si>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</si>
  <si>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</si>
  <si>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</si>
  <si>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</si>
  <si>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</si>
  <si>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</si>
  <si>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</si>
  <si>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</si>
  <si>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</si>
  <si>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</si>
  <si>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</si>
  <si>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</si>
  <si>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</si>
  <si>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</si>
  <si>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</si>
  <si>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</si>
  <si>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</si>
  <si>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</si>
  <si>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</si>
  <si>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</si>
  <si>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</si>
  <si>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</si>
  <si>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</si>
  <si>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</si>
  <si>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</si>
  <si>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</si>
  <si>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</si>
  <si>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</si>
  <si>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</si>
  <si>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</si>
  <si>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</si>
  <si>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</si>
  <si>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</si>
  <si>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</si>
  <si>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</si>
  <si>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</si>
  <si>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</si>
  <si>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</si>
  <si>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</si>
  <si>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</si>
  <si>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</si>
  <si>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</si>
  <si>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</si>
  <si>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</si>
  <si>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</si>
  <si>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</si>
  <si>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</si>
  <si>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</si>
  <si>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</si>
  <si>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</si>
  <si>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</si>
  <si>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</si>
  <si>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</si>
  <si>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</si>
  <si>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</si>
  <si>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</si>
  <si>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</si>
  <si>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</si>
  <si>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</si>
  <si>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</si>
  <si>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</si>
  <si>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</si>
  <si>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</si>
  <si>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</si>
  <si>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</si>
  <si>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</si>
  <si>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</si>
  <si>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</si>
  <si>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</si>
  <si>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</si>
  <si>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</si>
  <si>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</si>
  <si>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</si>
  <si>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</si>
  <si>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E01992</t>
  </si>
  <si>
    <t>E01993</t>
  </si>
  <si>
    <t>E01994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</si>
  <si>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</si>
  <si>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</si>
  <si>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</si>
  <si>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</si>
  <si>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</si>
  <si>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</si>
  <si>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</si>
  <si>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</si>
  <si>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</si>
  <si>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stu0066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</si>
  <si>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</si>
  <si>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</si>
  <si>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</si>
  <si>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</si>
  <si>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</si>
  <si>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</si>
  <si>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</si>
  <si>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</si>
  <si>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</si>
  <si>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</si>
  <si>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</si>
  <si>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</si>
  <si>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</si>
  <si>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</si>
  <si>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stu0113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</si>
  <si>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</si>
  <si>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</si>
  <si>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</si>
  <si>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</si>
  <si>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</si>
  <si>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</si>
  <si>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</si>
  <si>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</si>
  <si>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</si>
  <si>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</si>
  <si>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</si>
  <si>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</si>
  <si>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</si>
  <si>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</si>
  <si>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</si>
  <si>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</si>
  <si>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</si>
  <si>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</si>
  <si>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</si>
  <si>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</si>
  <si>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</si>
  <si>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stu0508</t>
  </si>
  <si>
    <t>E02039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</si>
  <si>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</si>
  <si>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</si>
  <si>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</si>
  <si>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</si>
  <si>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</si>
  <si>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</si>
  <si>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</si>
  <si>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</si>
  <si>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</si>
  <si>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</si>
  <si>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</si>
  <si>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</si>
  <si>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</si>
  <si>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</si>
  <si>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</si>
  <si>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</si>
  <si>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</si>
  <si>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</si>
  <si>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</si>
  <si>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</si>
  <si>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</si>
  <si>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</si>
  <si>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</si>
  <si>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</si>
  <si>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</si>
  <si>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</si>
  <si>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</si>
  <si>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</si>
  <si>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</si>
  <si>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</si>
  <si>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</si>
  <si>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</si>
  <si>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E02072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</si>
  <si>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</si>
  <si>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</si>
  <si>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</si>
  <si>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</si>
  <si>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</si>
  <si>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</si>
  <si>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</si>
  <si>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</si>
  <si>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</si>
  <si>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</si>
  <si>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</si>
  <si>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</si>
  <si>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</si>
  <si>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</si>
  <si>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</si>
  <si>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</si>
  <si>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</si>
  <si>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</si>
  <si>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</si>
  <si>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</si>
  <si>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</si>
  <si>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</si>
  <si>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</si>
  <si>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</si>
  <si>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</si>
  <si>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</si>
  <si>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</si>
  <si>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</si>
  <si>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</si>
  <si>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</si>
  <si>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</si>
  <si>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</si>
  <si>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</si>
  <si>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</si>
  <si>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</si>
  <si>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</si>
  <si>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</si>
  <si>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</si>
  <si>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</si>
  <si>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</si>
  <si>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</si>
  <si>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</si>
  <si>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</si>
  <si>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</si>
  <si>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</si>
  <si>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</si>
  <si>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</si>
  <si>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</si>
  <si>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</si>
  <si>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</si>
  <si>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</si>
  <si>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</si>
  <si>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</si>
  <si>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</si>
  <si>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</si>
  <si>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</si>
  <si>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</si>
  <si>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</si>
  <si>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</si>
  <si>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</si>
  <si>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</si>
  <si>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</si>
  <si>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</si>
  <si>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</si>
  <si>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</si>
  <si>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</si>
  <si>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</si>
  <si>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</si>
  <si>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</si>
  <si>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</si>
  <si>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</si>
  <si>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</si>
  <si>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</si>
  <si>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</si>
  <si>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stu0036</t>
  </si>
  <si>
    <t>E02147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</si>
  <si>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</si>
  <si>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</si>
  <si>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</si>
  <si>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</si>
  <si>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</si>
  <si>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</si>
  <si>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</si>
  <si>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</si>
  <si>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</si>
  <si>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</si>
  <si>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</si>
  <si>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</si>
  <si>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</si>
  <si>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</si>
  <si>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</si>
  <si>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</si>
  <si>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</si>
  <si>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</si>
  <si>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</si>
  <si>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</si>
  <si>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</si>
  <si>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stu0310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</si>
  <si>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</si>
  <si>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</si>
  <si>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</si>
  <si>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</si>
  <si>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</si>
  <si>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</si>
  <si>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</si>
  <si>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</si>
  <si>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</si>
  <si>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</si>
  <si>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</si>
  <si>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</si>
  <si>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</si>
  <si>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</si>
  <si>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</si>
  <si>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</si>
  <si>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</si>
  <si>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</si>
  <si>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</si>
  <si>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</si>
  <si>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</si>
  <si>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</si>
  <si>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</si>
  <si>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</si>
  <si>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</si>
  <si>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</si>
  <si>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</si>
  <si>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</si>
  <si>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</si>
  <si>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</si>
  <si>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</si>
  <si>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</si>
  <si>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</si>
  <si>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</si>
  <si>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</si>
  <si>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</si>
  <si>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</si>
  <si>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</si>
  <si>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</si>
  <si>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</si>
  <si>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stu0101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</si>
  <si>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</si>
  <si>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</si>
  <si>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</si>
  <si>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</si>
  <si>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</si>
  <si>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</si>
  <si>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</si>
  <si>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</si>
  <si>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</si>
  <si>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</si>
  <si>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</si>
  <si>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</si>
  <si>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</si>
  <si>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</si>
  <si>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</si>
  <si>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</si>
  <si>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</si>
  <si>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</si>
  <si>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</si>
  <si>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</si>
  <si>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</si>
  <si>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</si>
  <si>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</si>
  <si>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</si>
  <si>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</si>
  <si>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</si>
  <si>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</si>
  <si>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</si>
  <si>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</si>
  <si>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</si>
  <si>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</si>
  <si>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</si>
  <si>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</si>
  <si>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</si>
  <si>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</si>
  <si>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</si>
  <si>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</si>
  <si>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</si>
  <si>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</si>
  <si>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</si>
  <si>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</si>
  <si>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</si>
  <si>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</si>
  <si>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</si>
  <si>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</si>
  <si>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</si>
  <si>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</si>
  <si>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</si>
  <si>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stu0185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</si>
  <si>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</si>
  <si>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</si>
  <si>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</si>
  <si>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</si>
  <si>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</si>
  <si>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</si>
  <si>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</si>
  <si>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</si>
  <si>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</si>
  <si>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</si>
  <si>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</si>
  <si>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</si>
  <si>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</si>
  <si>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</si>
  <si>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</si>
  <si>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</si>
  <si>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</si>
  <si>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</si>
  <si>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</si>
  <si>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</si>
  <si>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</si>
  <si>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</si>
  <si>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</si>
  <si>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</si>
  <si>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</si>
  <si>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</si>
  <si>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</si>
  <si>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</si>
  <si>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</si>
  <si>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</si>
  <si>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</si>
  <si>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</si>
  <si>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</si>
  <si>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</si>
  <si>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</si>
  <si>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</si>
  <si>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</si>
  <si>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</si>
  <si>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</si>
  <si>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</si>
  <si>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</si>
  <si>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</si>
  <si>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</si>
  <si>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</si>
  <si>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</si>
  <si>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</si>
  <si>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</si>
  <si>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</si>
  <si>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</si>
  <si>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</si>
  <si>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</si>
  <si>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</si>
  <si>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</si>
  <si>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</si>
  <si>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</si>
  <si>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</si>
  <si>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</si>
  <si>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</si>
  <si>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</si>
  <si>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</si>
  <si>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E02317</t>
  </si>
  <si>
    <t>stu0039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</si>
  <si>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</si>
  <si>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</si>
  <si>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</si>
  <si>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</si>
  <si>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</si>
  <si>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</si>
  <si>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</si>
  <si>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</si>
  <si>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</si>
  <si>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</si>
  <si>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</si>
  <si>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</si>
  <si>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</si>
  <si>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</si>
  <si>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</si>
  <si>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</si>
  <si>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</si>
  <si>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</si>
  <si>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</si>
  <si>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</si>
  <si>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</si>
  <si>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</si>
  <si>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</si>
  <si>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</si>
  <si>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</si>
  <si>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</si>
  <si>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</si>
  <si>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</si>
  <si>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</si>
  <si>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</si>
  <si>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</si>
  <si>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</si>
  <si>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</si>
  <si>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</si>
  <si>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</si>
  <si>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</si>
  <si>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</si>
  <si>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</si>
  <si>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</si>
  <si>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</si>
  <si>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</si>
  <si>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</si>
  <si>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</si>
  <si>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</si>
  <si>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</si>
  <si>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</si>
  <si>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stu0257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</si>
  <si>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</si>
  <si>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</si>
  <si>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</si>
  <si>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</si>
  <si>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</si>
  <si>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</si>
  <si>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</si>
  <si>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</si>
  <si>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</si>
  <si>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</si>
  <si>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</si>
  <si>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</si>
  <si>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</si>
  <si>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</si>
  <si>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</si>
  <si>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</si>
  <si>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</si>
  <si>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</si>
  <si>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</si>
  <si>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</si>
  <si>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</si>
  <si>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</si>
  <si>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</si>
  <si>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</si>
  <si>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</si>
  <si>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</si>
  <si>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</si>
  <si>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</si>
  <si>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</si>
  <si>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</si>
  <si>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</si>
  <si>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</si>
  <si>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</si>
  <si>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</si>
  <si>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</si>
  <si>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</si>
  <si>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</si>
  <si>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</si>
  <si>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</si>
  <si>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</si>
  <si>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</si>
  <si>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</si>
  <si>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</si>
  <si>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</si>
  <si>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</si>
  <si>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</si>
  <si>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</si>
  <si>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</si>
  <si>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</si>
  <si>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</si>
  <si>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</si>
  <si>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E02415</t>
  </si>
  <si>
    <t>E02416</t>
  </si>
  <si>
    <t>E02417</t>
  </si>
  <si>
    <t>E02418</t>
  </si>
  <si>
    <t>stu0124</t>
  </si>
  <si>
    <t>E02419</t>
  </si>
  <si>
    <t>E02420</t>
  </si>
  <si>
    <t>E02421</t>
  </si>
  <si>
    <t>E02422</t>
  </si>
  <si>
    <t>E02423</t>
  </si>
  <si>
    <t>E02424</t>
  </si>
  <si>
    <t>E02425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</si>
  <si>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</si>
  <si>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</si>
  <si>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</si>
  <si>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</si>
  <si>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</si>
  <si>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</si>
  <si>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</si>
  <si>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</si>
  <si>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</si>
  <si>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</si>
  <si>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</si>
  <si>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</si>
  <si>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</si>
  <si>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</si>
  <si>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</si>
  <si>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</si>
  <si>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</si>
  <si>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</si>
  <si>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</si>
  <si>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</si>
  <si>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</si>
  <si>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</si>
  <si>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</si>
  <si>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</si>
  <si>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</si>
  <si>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</si>
  <si>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</si>
  <si>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E02453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</si>
  <si>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</si>
  <si>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</si>
  <si>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</si>
  <si>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</si>
  <si>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</si>
  <si>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</si>
  <si>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</si>
  <si>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</si>
  <si>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stu0531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</si>
  <si>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</si>
  <si>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</si>
  <si>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</si>
  <si>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</si>
  <si>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</si>
  <si>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</si>
  <si>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</si>
  <si>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</si>
  <si>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</si>
  <si>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</si>
  <si>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</si>
  <si>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</si>
  <si>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</si>
  <si>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</si>
  <si>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</si>
  <si>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</si>
  <si>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</si>
  <si>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</si>
  <si>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</si>
  <si>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</si>
  <si>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</si>
  <si>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</si>
  <si>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</si>
  <si>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</si>
  <si>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</si>
  <si>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</si>
  <si>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</si>
  <si>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</si>
  <si>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</si>
  <si>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</si>
  <si>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</si>
  <si>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</si>
  <si>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</si>
  <si>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</si>
  <si>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</si>
  <si>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</si>
  <si>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</si>
  <si>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</si>
  <si>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</si>
  <si>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</si>
  <si>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</si>
  <si>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</si>
  <si>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</si>
  <si>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</si>
  <si>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</si>
  <si>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</si>
  <si>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</si>
  <si>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</si>
  <si>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</si>
  <si>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</si>
  <si>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</si>
  <si>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</si>
  <si>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</si>
  <si>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</si>
  <si>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</si>
  <si>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</si>
  <si>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</si>
  <si>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</si>
  <si>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</si>
  <si>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E02521</t>
  </si>
  <si>
    <t>E02522</t>
  </si>
  <si>
    <t>stu0418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</si>
  <si>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</si>
  <si>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</si>
  <si>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</si>
  <si>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</si>
  <si>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</si>
  <si>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</si>
  <si>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</si>
  <si>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</si>
  <si>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E02531</t>
  </si>
  <si>
    <t>E02532</t>
  </si>
  <si>
    <t>E02533</t>
  </si>
  <si>
    <t>E02534</t>
  </si>
  <si>
    <t>E02535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</si>
  <si>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</si>
  <si>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</si>
  <si>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</si>
  <si>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</si>
  <si>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</si>
  <si>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</si>
  <si>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</si>
  <si>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</si>
  <si>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</si>
  <si>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</si>
  <si>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</si>
  <si>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</si>
  <si>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</si>
  <si>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</si>
  <si>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</si>
  <si>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</si>
  <si>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</si>
  <si>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</si>
  <si>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E02554</t>
  </si>
  <si>
    <t>E02555</t>
  </si>
  <si>
    <t>E02556</t>
  </si>
  <si>
    <t>E02557</t>
  </si>
  <si>
    <t>E02558</t>
  </si>
  <si>
    <t>E02559</t>
  </si>
  <si>
    <t>E02560</t>
  </si>
  <si>
    <t>E02561</t>
  </si>
  <si>
    <t>E02562</t>
  </si>
  <si>
    <t>E02563</t>
  </si>
  <si>
    <t>E02564</t>
  </si>
  <si>
    <t>E02565</t>
  </si>
  <si>
    <t>E02566</t>
  </si>
  <si>
    <t>E02567</t>
  </si>
  <si>
    <t>E02568</t>
  </si>
  <si>
    <t>E02569</t>
  </si>
  <si>
    <t>E02570</t>
  </si>
  <si>
    <t>stu0479</t>
  </si>
  <si>
    <t>E02571</t>
  </si>
  <si>
    <t>E02572</t>
  </si>
  <si>
    <t>E02573</t>
  </si>
  <si>
    <t>E02574</t>
  </si>
  <si>
    <t>E02575</t>
  </si>
  <si>
    <t>E02576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</si>
  <si>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</si>
  <si>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</si>
  <si>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</si>
  <si>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</si>
  <si>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</si>
  <si>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</si>
  <si>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</si>
  <si>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</si>
  <si>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</si>
  <si>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</si>
  <si>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</si>
  <si>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</si>
  <si>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</si>
  <si>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</si>
  <si>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</si>
  <si>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</si>
  <si>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</si>
  <si>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E02594</t>
  </si>
  <si>
    <t>E02595</t>
  </si>
  <si>
    <t>E02596</t>
  </si>
  <si>
    <t>E02597</t>
  </si>
  <si>
    <t>E02598</t>
  </si>
  <si>
    <t>E02599</t>
  </si>
  <si>
    <t>E02600</t>
  </si>
  <si>
    <t>E02601</t>
  </si>
  <si>
    <t>E02602</t>
  </si>
  <si>
    <t>E02603</t>
  </si>
  <si>
    <t>E02604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</si>
  <si>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</si>
  <si>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</si>
  <si>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</si>
  <si>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</si>
  <si>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</si>
  <si>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</si>
  <si>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</si>
  <si>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</si>
  <si>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E02613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</si>
  <si>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</si>
  <si>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</si>
  <si>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</si>
  <si>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</si>
  <si>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</si>
  <si>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</si>
  <si>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</si>
  <si>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</si>
  <si>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</si>
  <si>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</si>
  <si>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</si>
  <si>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</si>
  <si>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</si>
  <si>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E02627</t>
  </si>
  <si>
    <t>E02628</t>
  </si>
  <si>
    <t>E02629</t>
  </si>
  <si>
    <t>E02630</t>
  </si>
  <si>
    <t>E02631</t>
  </si>
  <si>
    <t>E02632</t>
  </si>
  <si>
    <t>E02633</t>
  </si>
  <si>
    <t>E02634</t>
  </si>
  <si>
    <t>E02635</t>
  </si>
  <si>
    <t>E02636</t>
  </si>
  <si>
    <t>E02637</t>
  </si>
  <si>
    <t>E02638</t>
  </si>
  <si>
    <t>E02639</t>
  </si>
  <si>
    <t>E02640</t>
  </si>
  <si>
    <t>E02641</t>
  </si>
  <si>
    <t>E02642</t>
  </si>
  <si>
    <t>E02643</t>
  </si>
  <si>
    <t>E02644</t>
  </si>
  <si>
    <t>E02645</t>
  </si>
  <si>
    <t>E02646</t>
  </si>
  <si>
    <t>E02647</t>
  </si>
  <si>
    <t>E02648</t>
  </si>
  <si>
    <t>E02649</t>
  </si>
  <si>
    <t>E02650</t>
  </si>
  <si>
    <t>E02651</t>
  </si>
  <si>
    <t>E02652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</si>
  <si>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</si>
  <si>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</si>
  <si>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</si>
  <si>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</si>
  <si>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</si>
  <si>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</si>
  <si>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</si>
  <si>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</si>
  <si>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E02661</t>
  </si>
  <si>
    <t>E02662</t>
  </si>
  <si>
    <t>E02663</t>
  </si>
  <si>
    <t>E02664</t>
  </si>
  <si>
    <t>E02665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</si>
  <si>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</si>
  <si>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</si>
  <si>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</si>
  <si>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</si>
  <si>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</si>
  <si>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</si>
  <si>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</si>
  <si>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</si>
  <si>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</si>
  <si>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</si>
  <si>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stu0492</t>
  </si>
  <si>
    <t>E02676</t>
  </si>
  <si>
    <t>E02677</t>
  </si>
  <si>
    <t>E02678</t>
  </si>
  <si>
    <t>E02679</t>
  </si>
  <si>
    <t>E02680</t>
  </si>
  <si>
    <t>E02681</t>
  </si>
  <si>
    <t>E02682</t>
  </si>
  <si>
    <t>E02683</t>
  </si>
  <si>
    <t>E02684</t>
  </si>
  <si>
    <t>E02685</t>
  </si>
  <si>
    <t>E02686</t>
  </si>
  <si>
    <t>E02687</t>
  </si>
  <si>
    <t>E02688</t>
  </si>
  <si>
    <t>E02689</t>
  </si>
  <si>
    <t>E02690</t>
  </si>
  <si>
    <t>E02691</t>
  </si>
  <si>
    <t>E02692</t>
  </si>
  <si>
    <t>E02693</t>
  </si>
  <si>
    <t>E02694</t>
  </si>
  <si>
    <t>E02695</t>
  </si>
  <si>
    <t>E02696</t>
  </si>
  <si>
    <t>E02697</t>
  </si>
  <si>
    <t>E02698</t>
  </si>
  <si>
    <t>E02699</t>
  </si>
  <si>
    <t>E02700</t>
  </si>
  <si>
    <t>E02701</t>
  </si>
  <si>
    <t>E02702</t>
  </si>
  <si>
    <t>E02703</t>
  </si>
  <si>
    <t>E02704</t>
  </si>
  <si>
    <t>E02705</t>
  </si>
  <si>
    <t>E02706</t>
  </si>
  <si>
    <t>E02707</t>
  </si>
  <si>
    <t>E02708</t>
  </si>
  <si>
    <t>E02709</t>
  </si>
  <si>
    <t>E02710</t>
  </si>
  <si>
    <t>E02711</t>
  </si>
  <si>
    <t>E02712</t>
  </si>
  <si>
    <t>E02713</t>
  </si>
  <si>
    <t>E02714</t>
  </si>
  <si>
    <t>E02715</t>
  </si>
  <si>
    <t>E02716</t>
  </si>
  <si>
    <t>E02717</t>
  </si>
  <si>
    <t>E02718</t>
  </si>
  <si>
    <t>E02719</t>
  </si>
  <si>
    <t>E02720</t>
  </si>
  <si>
    <t>E02721</t>
  </si>
  <si>
    <t>E02722</t>
  </si>
  <si>
    <t>E02723</t>
  </si>
  <si>
    <t>E02724</t>
  </si>
  <si>
    <t>E02725</t>
  </si>
  <si>
    <t>E02726</t>
  </si>
  <si>
    <t>E02727</t>
  </si>
  <si>
    <t>E02728</t>
  </si>
  <si>
    <t>E02729</t>
  </si>
  <si>
    <t>E02730</t>
  </si>
  <si>
    <t>E02731</t>
  </si>
  <si>
    <t>E02732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</si>
  <si>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</si>
  <si>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</si>
  <si>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</si>
  <si>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</si>
  <si>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</si>
  <si>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</si>
  <si>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</si>
  <si>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</si>
  <si>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</si>
  <si>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</si>
  <si>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</si>
  <si>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E02744</t>
  </si>
  <si>
    <t>E02745</t>
  </si>
  <si>
    <t>E02746</t>
  </si>
  <si>
    <t>E02747</t>
  </si>
  <si>
    <t>E02748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</si>
  <si>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</si>
  <si>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</si>
  <si>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</si>
  <si>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</si>
  <si>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</si>
  <si>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</si>
  <si>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</si>
  <si>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</si>
  <si>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</si>
  <si>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</si>
  <si>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</si>
  <si>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</si>
  <si>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E02761</t>
  </si>
  <si>
    <t>E02762</t>
  </si>
  <si>
    <t>E02763</t>
  </si>
  <si>
    <t>stu0592</t>
  </si>
  <si>
    <t>E02764</t>
  </si>
  <si>
    <t>E02765</t>
  </si>
  <si>
    <t>E02766</t>
  </si>
  <si>
    <t>E02767</t>
  </si>
  <si>
    <t>E02768</t>
  </si>
  <si>
    <t>E02769</t>
  </si>
  <si>
    <t>E02770</t>
  </si>
  <si>
    <t>E02771</t>
  </si>
  <si>
    <t>E02772</t>
  </si>
  <si>
    <t>E02773</t>
  </si>
  <si>
    <t>E02774</t>
  </si>
  <si>
    <t>stu0497</t>
  </si>
  <si>
    <t>E02775</t>
  </si>
  <si>
    <t>E02776</t>
  </si>
  <si>
    <t>E02777</t>
  </si>
  <si>
    <t>E02778</t>
  </si>
  <si>
    <t>E02779</t>
  </si>
  <si>
    <t>E02780</t>
  </si>
  <si>
    <t>E02781</t>
  </si>
  <si>
    <t>E02782</t>
  </si>
  <si>
    <t>E02783</t>
  </si>
  <si>
    <t>E02784</t>
  </si>
  <si>
    <t>E02785</t>
  </si>
  <si>
    <t>E02786</t>
  </si>
  <si>
    <t>E02787</t>
  </si>
  <si>
    <t>E02788</t>
  </si>
  <si>
    <t>E02789</t>
  </si>
  <si>
    <t>stu0085</t>
  </si>
  <si>
    <t>E02790</t>
  </si>
  <si>
    <t>E02791</t>
  </si>
  <si>
    <t>E02792</t>
  </si>
  <si>
    <t>E02793</t>
  </si>
  <si>
    <t>E02794</t>
  </si>
  <si>
    <t>E02795</t>
  </si>
  <si>
    <t>E02796</t>
  </si>
  <si>
    <t>E02797</t>
  </si>
  <si>
    <t>E02798</t>
  </si>
  <si>
    <t>E02799</t>
  </si>
  <si>
    <t>E02800</t>
  </si>
  <si>
    <t>E02801</t>
  </si>
  <si>
    <t>E02802</t>
  </si>
  <si>
    <t>E02803</t>
  </si>
  <si>
    <t>E02804</t>
  </si>
  <si>
    <t>E02805</t>
  </si>
  <si>
    <t>E02806</t>
  </si>
  <si>
    <t>E02807</t>
  </si>
  <si>
    <t>E02808</t>
  </si>
  <si>
    <t>E02809</t>
  </si>
  <si>
    <t>E02810</t>
  </si>
  <si>
    <t>E02811</t>
  </si>
  <si>
    <t>E02812</t>
  </si>
  <si>
    <t>E02813</t>
  </si>
  <si>
    <t>E02814</t>
  </si>
  <si>
    <t>E02815</t>
  </si>
  <si>
    <t>E02816</t>
  </si>
  <si>
    <t>E02817</t>
  </si>
  <si>
    <t>E02818</t>
  </si>
  <si>
    <t>E02819</t>
  </si>
  <si>
    <t>E02820</t>
  </si>
  <si>
    <t>E02821</t>
  </si>
  <si>
    <t>E02822</t>
  </si>
  <si>
    <t>E02823</t>
  </si>
  <si>
    <t>E02824</t>
  </si>
  <si>
    <t>E02825</t>
  </si>
  <si>
    <t>E02826</t>
  </si>
  <si>
    <t>E02827</t>
  </si>
  <si>
    <t>E02828</t>
  </si>
  <si>
    <t>E02829</t>
  </si>
  <si>
    <t>E02830</t>
  </si>
  <si>
    <t>E02831</t>
  </si>
  <si>
    <t>E02832</t>
  </si>
  <si>
    <t>E02833</t>
  </si>
  <si>
    <t>E02834</t>
  </si>
  <si>
    <t>E02835</t>
  </si>
  <si>
    <t>E02836</t>
  </si>
  <si>
    <t>E02837</t>
  </si>
  <si>
    <t>E02838</t>
  </si>
  <si>
    <t>E02839</t>
  </si>
  <si>
    <t>E02840</t>
  </si>
  <si>
    <t>E02841</t>
  </si>
  <si>
    <t>E02842</t>
  </si>
  <si>
    <t>E02843</t>
  </si>
  <si>
    <t>E02844</t>
  </si>
  <si>
    <t>E02845</t>
  </si>
  <si>
    <t>E02846</t>
  </si>
  <si>
    <t>E02847</t>
  </si>
  <si>
    <t>E02848</t>
  </si>
  <si>
    <t>E02849</t>
  </si>
  <si>
    <t>E02850</t>
  </si>
  <si>
    <t>E02851</t>
  </si>
  <si>
    <t>E02852</t>
  </si>
  <si>
    <t>E02853</t>
  </si>
  <si>
    <t>E02854</t>
  </si>
  <si>
    <t>E02855</t>
  </si>
  <si>
    <t>E02856</t>
  </si>
  <si>
    <t>stu0299</t>
  </si>
  <si>
    <t>E02857</t>
  </si>
  <si>
    <t>E02858</t>
  </si>
  <si>
    <t>E02859</t>
  </si>
  <si>
    <t>E02860</t>
  </si>
  <si>
    <t>E02861</t>
  </si>
  <si>
    <t>E02862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</si>
  <si>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</si>
  <si>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</si>
  <si>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</si>
  <si>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</si>
  <si>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</si>
  <si>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</si>
  <si>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</si>
  <si>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</si>
  <si>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</si>
  <si>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E02872</t>
  </si>
  <si>
    <t>E02873</t>
  </si>
  <si>
    <t>E02874</t>
  </si>
  <si>
    <t>E02875</t>
  </si>
  <si>
    <t>E02876</t>
  </si>
  <si>
    <t>E02877</t>
  </si>
  <si>
    <t>E02878</t>
  </si>
  <si>
    <t>E02879</t>
  </si>
  <si>
    <t>E02880</t>
  </si>
  <si>
    <t>E02881</t>
  </si>
  <si>
    <t>E02882</t>
  </si>
  <si>
    <t>E02883</t>
  </si>
  <si>
    <t>E02884</t>
  </si>
  <si>
    <t>E02885</t>
  </si>
  <si>
    <t>E02886</t>
  </si>
  <si>
    <t>E02887</t>
  </si>
  <si>
    <t>E02888</t>
  </si>
  <si>
    <t>stu0223</t>
  </si>
  <si>
    <t>E02889</t>
  </si>
  <si>
    <t>E02890</t>
  </si>
  <si>
    <t>E02891</t>
  </si>
  <si>
    <t>E02892</t>
  </si>
  <si>
    <t>E02893</t>
  </si>
  <si>
    <t>E02894</t>
  </si>
  <si>
    <t>E02895</t>
  </si>
  <si>
    <t>E02896</t>
  </si>
  <si>
    <t>E02897</t>
  </si>
  <si>
    <t>E02898</t>
  </si>
  <si>
    <t>E02899</t>
  </si>
  <si>
    <t>E02900</t>
  </si>
  <si>
    <t>E02901</t>
  </si>
  <si>
    <t>E02902</t>
  </si>
  <si>
    <t>E02903</t>
  </si>
  <si>
    <t>E02904</t>
  </si>
  <si>
    <t>E02905</t>
  </si>
  <si>
    <t>E02906</t>
  </si>
  <si>
    <t>E02907</t>
  </si>
  <si>
    <t>E02908</t>
  </si>
  <si>
    <t>E02909</t>
  </si>
  <si>
    <t>E02910</t>
  </si>
  <si>
    <t>E02911</t>
  </si>
  <si>
    <t>E02912</t>
  </si>
  <si>
    <t>E02913</t>
  </si>
  <si>
    <t>E02914</t>
  </si>
  <si>
    <t>E02915</t>
  </si>
  <si>
    <t>E02916</t>
  </si>
  <si>
    <t>E02917</t>
  </si>
  <si>
    <t>E02918</t>
  </si>
  <si>
    <t>E02919</t>
  </si>
  <si>
    <t>E02920</t>
  </si>
  <si>
    <t>E02921</t>
  </si>
  <si>
    <t>E02922</t>
  </si>
  <si>
    <t>E02923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</si>
  <si>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</si>
  <si>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</si>
  <si>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</si>
  <si>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</si>
  <si>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</si>
  <si>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</si>
  <si>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</si>
  <si>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</si>
  <si>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</si>
  <si>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</si>
  <si>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</si>
  <si>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</si>
  <si>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</si>
  <si>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</si>
  <si>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E02938</t>
  </si>
  <si>
    <t>E02939</t>
  </si>
  <si>
    <t>E02940</t>
  </si>
  <si>
    <t>E02941</t>
  </si>
  <si>
    <t>E02942</t>
  </si>
  <si>
    <t>E02943</t>
  </si>
  <si>
    <t>E02944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</si>
  <si>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</si>
  <si>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</si>
  <si>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</si>
  <si>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</si>
  <si>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</si>
  <si>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</si>
  <si>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</si>
  <si>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</si>
  <si>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</si>
  <si>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</si>
  <si>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</si>
  <si>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</si>
  <si>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</si>
  <si>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</si>
  <si>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</si>
  <si>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E02960</t>
  </si>
  <si>
    <t>E02961</t>
  </si>
  <si>
    <t>E02962</t>
  </si>
  <si>
    <t>E02963</t>
  </si>
  <si>
    <t>E02964</t>
  </si>
  <si>
    <t>E02965</t>
  </si>
  <si>
    <t>E02966</t>
  </si>
  <si>
    <t>E02967</t>
  </si>
  <si>
    <t>E02968</t>
  </si>
  <si>
    <t>E02969</t>
  </si>
  <si>
    <t>stu0468</t>
  </si>
  <si>
    <t>E02970</t>
  </si>
  <si>
    <t>E02971</t>
  </si>
  <si>
    <t>E02972</t>
  </si>
  <si>
    <t>E02973</t>
  </si>
  <si>
    <t>E02974</t>
  </si>
  <si>
    <t>E02975</t>
  </si>
  <si>
    <t>E02976</t>
  </si>
  <si>
    <t>E02977</t>
  </si>
  <si>
    <t>E02978</t>
  </si>
  <si>
    <t>E02979</t>
  </si>
  <si>
    <t>E02980</t>
  </si>
  <si>
    <t>E02981</t>
  </si>
  <si>
    <t>E02982</t>
  </si>
  <si>
    <t>E02983</t>
  </si>
  <si>
    <t>E02984</t>
  </si>
  <si>
    <t>E02985</t>
  </si>
  <si>
    <t>E02986</t>
  </si>
  <si>
    <t>E02987</t>
  </si>
  <si>
    <t>E02988</t>
  </si>
  <si>
    <t>E02989</t>
  </si>
  <si>
    <t>E02990</t>
  </si>
  <si>
    <t>E02991</t>
  </si>
  <si>
    <t>E02992</t>
  </si>
  <si>
    <t>E02993</t>
  </si>
  <si>
    <t>E02994</t>
  </si>
  <si>
    <t>E02995</t>
  </si>
  <si>
    <t>E02996</t>
  </si>
  <si>
    <t>E02997</t>
  </si>
  <si>
    <t>E02998</t>
  </si>
  <si>
    <t>E02999</t>
  </si>
  <si>
    <t>E03000</t>
  </si>
  <si>
    <t>E03001</t>
  </si>
  <si>
    <t>E03002</t>
  </si>
  <si>
    <t>E03003</t>
  </si>
  <si>
    <t>E03004</t>
  </si>
  <si>
    <t>E03005</t>
  </si>
  <si>
    <t>E03006</t>
  </si>
  <si>
    <t>E03007</t>
  </si>
  <si>
    <t>E03008</t>
  </si>
  <si>
    <t>E03009</t>
  </si>
  <si>
    <t>E03010</t>
  </si>
  <si>
    <t>E03011</t>
  </si>
  <si>
    <t>E03012</t>
  </si>
  <si>
    <t>stu0139</t>
  </si>
  <si>
    <t>E03013</t>
  </si>
  <si>
    <t>E03014</t>
  </si>
  <si>
    <t>E03015</t>
  </si>
  <si>
    <t>E03016</t>
  </si>
  <si>
    <t>E03017</t>
  </si>
  <si>
    <t>E03018</t>
  </si>
  <si>
    <t>E03019</t>
  </si>
  <si>
    <t>E03020</t>
  </si>
  <si>
    <t>E03021</t>
  </si>
  <si>
    <t>E03022</t>
  </si>
  <si>
    <t>E03023</t>
  </si>
  <si>
    <t>E03024</t>
  </si>
  <si>
    <t>E03025</t>
  </si>
  <si>
    <t>E03026</t>
  </si>
  <si>
    <t>E03027</t>
  </si>
  <si>
    <t>E03028</t>
  </si>
  <si>
    <t>E03029</t>
  </si>
  <si>
    <t>E03030</t>
  </si>
  <si>
    <t>E03031</t>
  </si>
  <si>
    <t>E03032</t>
  </si>
  <si>
    <t>E03033</t>
  </si>
  <si>
    <t>E03034</t>
  </si>
  <si>
    <t>E03035</t>
  </si>
  <si>
    <t>E03036</t>
  </si>
  <si>
    <t>E03037</t>
  </si>
  <si>
    <t>E03038</t>
  </si>
  <si>
    <t>E03039</t>
  </si>
  <si>
    <t>E03040</t>
  </si>
  <si>
    <t>E03041</t>
  </si>
  <si>
    <t>E03042</t>
  </si>
  <si>
    <t>E03043</t>
  </si>
  <si>
    <t>E03044</t>
  </si>
  <si>
    <t>E03045</t>
  </si>
  <si>
    <t>stu0092</t>
  </si>
  <si>
    <t>E03046</t>
  </si>
  <si>
    <t>E03047</t>
  </si>
  <si>
    <t>E03048</t>
  </si>
  <si>
    <t>E03049</t>
  </si>
  <si>
    <t>E03050</t>
  </si>
  <si>
    <t>E03051</t>
  </si>
  <si>
    <t>E03052</t>
  </si>
  <si>
    <t>E03053</t>
  </si>
  <si>
    <t>E03054</t>
  </si>
  <si>
    <t>E03055</t>
  </si>
  <si>
    <t>E03056</t>
  </si>
  <si>
    <t>E03057</t>
  </si>
  <si>
    <t>E03058</t>
  </si>
  <si>
    <t>E03059</t>
  </si>
  <si>
    <t>E03060</t>
  </si>
  <si>
    <t>E03061</t>
  </si>
  <si>
    <t>E03062</t>
  </si>
  <si>
    <t>E03063</t>
  </si>
  <si>
    <t>E03064</t>
  </si>
  <si>
    <t>E03065</t>
  </si>
  <si>
    <t>E03066</t>
  </si>
  <si>
    <t>E03067</t>
  </si>
  <si>
    <t>E03068</t>
  </si>
  <si>
    <t>E03069</t>
  </si>
  <si>
    <t>E03070</t>
  </si>
  <si>
    <t>E03071</t>
  </si>
  <si>
    <t>E03072</t>
  </si>
  <si>
    <t>E03073</t>
  </si>
  <si>
    <t>E03074</t>
  </si>
  <si>
    <t>E03075</t>
  </si>
  <si>
    <t>E03076</t>
  </si>
  <si>
    <t>stu0338</t>
  </si>
  <si>
    <t>E03077</t>
  </si>
  <si>
    <t>E03078</t>
  </si>
  <si>
    <t>E03079</t>
  </si>
  <si>
    <t>stu0527</t>
  </si>
  <si>
    <t>E03080</t>
  </si>
  <si>
    <t>E03081</t>
  </si>
  <si>
    <t>E03082</t>
  </si>
  <si>
    <t>E03083</t>
  </si>
  <si>
    <t>E03084</t>
  </si>
  <si>
    <t>E03085</t>
  </si>
  <si>
    <t>E03086</t>
  </si>
  <si>
    <t>E03087</t>
  </si>
  <si>
    <t>E03088</t>
  </si>
  <si>
    <t>E03089</t>
  </si>
  <si>
    <t>E03090</t>
  </si>
  <si>
    <t>E03091</t>
  </si>
  <si>
    <t>E03092</t>
  </si>
  <si>
    <t>E03093</t>
  </si>
  <si>
    <t>E03094</t>
  </si>
  <si>
    <t>E03095</t>
  </si>
  <si>
    <t>E03096</t>
  </si>
  <si>
    <t>E03097</t>
  </si>
  <si>
    <t>E03098</t>
  </si>
  <si>
    <t>E03099</t>
  </si>
  <si>
    <t>E03100</t>
  </si>
  <si>
    <t>E03101</t>
  </si>
  <si>
    <t>E03102</t>
  </si>
  <si>
    <t>E03103</t>
  </si>
  <si>
    <t>E03104</t>
  </si>
  <si>
    <t>E03105</t>
  </si>
  <si>
    <t>E03106</t>
  </si>
  <si>
    <t>E03107</t>
  </si>
  <si>
    <t>E03108</t>
  </si>
  <si>
    <t>E03109</t>
  </si>
  <si>
    <t>E03110</t>
  </si>
  <si>
    <t>E03111</t>
  </si>
  <si>
    <t>E03112</t>
  </si>
  <si>
    <t>E03113</t>
  </si>
  <si>
    <t>E03114</t>
  </si>
  <si>
    <t>E03115</t>
  </si>
  <si>
    <t>E03116</t>
  </si>
  <si>
    <t>E03117</t>
  </si>
  <si>
    <t>E03118</t>
  </si>
  <si>
    <t>E03119</t>
  </si>
  <si>
    <t>stu0132</t>
  </si>
  <si>
    <t>E03120</t>
  </si>
  <si>
    <t>E03121</t>
  </si>
  <si>
    <t>E03122</t>
  </si>
  <si>
    <t>E03123</t>
  </si>
  <si>
    <t>E03124</t>
  </si>
  <si>
    <t>E03125</t>
  </si>
  <si>
    <t>E03126</t>
  </si>
  <si>
    <t>E03127</t>
  </si>
  <si>
    <t>E03128</t>
  </si>
  <si>
    <t>E03129</t>
  </si>
  <si>
    <t>E03130</t>
  </si>
  <si>
    <t>E03131</t>
  </si>
  <si>
    <t>E03132</t>
  </si>
  <si>
    <t>E03133</t>
  </si>
  <si>
    <t>E03134</t>
  </si>
  <si>
    <t>E03135</t>
  </si>
  <si>
    <t>E03136</t>
  </si>
  <si>
    <t>E03137</t>
  </si>
  <si>
    <t>E03138</t>
  </si>
  <si>
    <t>stu0283</t>
  </si>
  <si>
    <t>E03139</t>
  </si>
  <si>
    <t>E03140</t>
  </si>
  <si>
    <t>E03141</t>
  </si>
  <si>
    <t>E03142</t>
  </si>
  <si>
    <t>E03143</t>
  </si>
  <si>
    <t>E03144</t>
  </si>
  <si>
    <t>E03145</t>
  </si>
  <si>
    <t>E03146</t>
  </si>
  <si>
    <t>E03147</t>
  </si>
  <si>
    <t>E03148</t>
  </si>
  <si>
    <t>E03149</t>
  </si>
  <si>
    <t>E03150</t>
  </si>
  <si>
    <t>E03151</t>
  </si>
  <si>
    <t>E03152</t>
  </si>
  <si>
    <t>E03153</t>
  </si>
  <si>
    <t>E03154</t>
  </si>
  <si>
    <t>E03155</t>
  </si>
  <si>
    <t>stu0406</t>
  </si>
  <si>
    <t>E03156</t>
  </si>
  <si>
    <t>E03157</t>
  </si>
  <si>
    <t>E03158</t>
  </si>
  <si>
    <t>E03159</t>
  </si>
  <si>
    <t>E03160</t>
  </si>
  <si>
    <t>E03161</t>
  </si>
  <si>
    <t>E03162</t>
  </si>
  <si>
    <t>E03163</t>
  </si>
  <si>
    <t>E03164</t>
  </si>
  <si>
    <t>E03165</t>
  </si>
  <si>
    <t>E03166</t>
  </si>
  <si>
    <t>E03167</t>
  </si>
  <si>
    <t>E03168</t>
  </si>
  <si>
    <t>E03169</t>
  </si>
  <si>
    <t>E03170</t>
  </si>
  <si>
    <t>E03171</t>
  </si>
  <si>
    <t>E03172</t>
  </si>
  <si>
    <t>E03173</t>
  </si>
  <si>
    <t>E03174</t>
  </si>
  <si>
    <t>E03175</t>
  </si>
  <si>
    <t>E03176</t>
  </si>
  <si>
    <t>E03177</t>
  </si>
  <si>
    <t>E03178</t>
  </si>
  <si>
    <t>E03179</t>
  </si>
  <si>
    <t>E03180</t>
  </si>
  <si>
    <t>E03181</t>
  </si>
  <si>
    <t>E03182</t>
  </si>
  <si>
    <t>E03183</t>
  </si>
  <si>
    <t>E03184</t>
  </si>
  <si>
    <t>E03185</t>
  </si>
  <si>
    <t>E03186</t>
  </si>
  <si>
    <t>E03187</t>
  </si>
  <si>
    <t>E03188</t>
  </si>
  <si>
    <t>E03189</t>
  </si>
  <si>
    <t>E03190</t>
  </si>
  <si>
    <t>E03191</t>
  </si>
  <si>
    <t>E03192</t>
  </si>
  <si>
    <t>E03193</t>
  </si>
  <si>
    <t>E03194</t>
  </si>
  <si>
    <t>E03195</t>
  </si>
  <si>
    <t>E03196</t>
  </si>
  <si>
    <t>E03197</t>
  </si>
  <si>
    <t>E03198</t>
  </si>
  <si>
    <t>E03199</t>
  </si>
  <si>
    <t>E03200</t>
  </si>
  <si>
    <t>E03201</t>
  </si>
  <si>
    <t>E03202</t>
  </si>
  <si>
    <t>E03203</t>
  </si>
  <si>
    <t>E03204</t>
  </si>
  <si>
    <t>E03205</t>
  </si>
  <si>
    <t>E03206</t>
  </si>
  <si>
    <t>E03207</t>
  </si>
  <si>
    <t>E03208</t>
  </si>
  <si>
    <t>E03209</t>
  </si>
  <si>
    <t>E03210</t>
  </si>
  <si>
    <t>stu0035</t>
  </si>
  <si>
    <t>E03211</t>
  </si>
  <si>
    <t>E03212</t>
  </si>
  <si>
    <t>E03213</t>
  </si>
  <si>
    <t>E03214</t>
  </si>
  <si>
    <t>E03215</t>
  </si>
  <si>
    <t>E03216</t>
  </si>
  <si>
    <t>E03217</t>
  </si>
  <si>
    <t>E03218</t>
  </si>
  <si>
    <t>E03219</t>
  </si>
  <si>
    <t>E03220</t>
  </si>
  <si>
    <t>E03221</t>
  </si>
  <si>
    <t>E03222</t>
  </si>
  <si>
    <t>stu0109</t>
  </si>
  <si>
    <t>E03223</t>
  </si>
  <si>
    <t>E03224</t>
  </si>
  <si>
    <t>E03225</t>
  </si>
  <si>
    <t>E03226</t>
  </si>
  <si>
    <t>E03227</t>
  </si>
  <si>
    <t>E03228</t>
  </si>
  <si>
    <t>E03229</t>
  </si>
  <si>
    <t>E03230</t>
  </si>
  <si>
    <t>E03231</t>
  </si>
  <si>
    <t>E03232</t>
  </si>
  <si>
    <t>E03233</t>
  </si>
  <si>
    <t>E03234</t>
  </si>
  <si>
    <t>E03235</t>
  </si>
  <si>
    <t>E03236</t>
  </si>
  <si>
    <t>E03237</t>
  </si>
  <si>
    <t>E03238</t>
  </si>
  <si>
    <t>E03239</t>
  </si>
  <si>
    <t>E03240</t>
  </si>
  <si>
    <t>E03241</t>
  </si>
  <si>
    <t>E03242</t>
  </si>
  <si>
    <t>E03243</t>
  </si>
  <si>
    <t>E03244</t>
  </si>
  <si>
    <t>E03245</t>
  </si>
  <si>
    <t>stu0553</t>
  </si>
  <si>
    <t>E03246</t>
  </si>
  <si>
    <t>E03247</t>
  </si>
  <si>
    <t>E03248</t>
  </si>
  <si>
    <t>E03249</t>
  </si>
  <si>
    <t>E03250</t>
  </si>
  <si>
    <t>E03251</t>
  </si>
  <si>
    <t>E03252</t>
  </si>
  <si>
    <t>E03253</t>
  </si>
  <si>
    <t>E03254</t>
  </si>
  <si>
    <t>E03255</t>
  </si>
  <si>
    <t>E03256</t>
  </si>
  <si>
    <t>E03257</t>
  </si>
  <si>
    <t>E03258</t>
  </si>
  <si>
    <t>E03259</t>
  </si>
  <si>
    <t>E03260</t>
  </si>
  <si>
    <t>E03261</t>
  </si>
  <si>
    <t>E03262</t>
  </si>
  <si>
    <t>E03263</t>
  </si>
  <si>
    <t>E03264</t>
  </si>
  <si>
    <t>E03265</t>
  </si>
  <si>
    <t>E03266</t>
  </si>
  <si>
    <t>E03267</t>
  </si>
  <si>
    <t>E03268</t>
  </si>
  <si>
    <t>E03269</t>
  </si>
  <si>
    <t>E03270</t>
  </si>
  <si>
    <t>E03271</t>
  </si>
  <si>
    <t>E03272</t>
  </si>
  <si>
    <t>E03273</t>
  </si>
  <si>
    <t>E03274</t>
  </si>
  <si>
    <t>E03275</t>
  </si>
  <si>
    <t>E03276</t>
  </si>
  <si>
    <t>E03277</t>
  </si>
  <si>
    <t>E03278</t>
  </si>
  <si>
    <t>E03279</t>
  </si>
  <si>
    <t>E03280</t>
  </si>
  <si>
    <t>E03281</t>
  </si>
  <si>
    <t>E03282</t>
  </si>
  <si>
    <t>E03283</t>
  </si>
  <si>
    <t>E03284</t>
  </si>
  <si>
    <t>E03285</t>
  </si>
  <si>
    <t>E03286</t>
  </si>
  <si>
    <t>E03287</t>
  </si>
  <si>
    <t>E03288</t>
  </si>
  <si>
    <t>E03289</t>
  </si>
  <si>
    <t>stu0548</t>
  </si>
  <si>
    <t>E03290</t>
  </si>
  <si>
    <t>E03291</t>
  </si>
  <si>
    <t>E03292</t>
  </si>
  <si>
    <t>E03293</t>
  </si>
  <si>
    <t>E03294</t>
  </si>
  <si>
    <t>E03295</t>
  </si>
  <si>
    <t>E03296</t>
  </si>
  <si>
    <t>E03297</t>
  </si>
  <si>
    <t>E03298</t>
  </si>
  <si>
    <t>E03299</t>
  </si>
  <si>
    <t>E03300</t>
  </si>
  <si>
    <t>E03301</t>
  </si>
  <si>
    <t>E03302</t>
  </si>
  <si>
    <t>E03303</t>
  </si>
  <si>
    <t>E03304</t>
  </si>
  <si>
    <t>E03305</t>
  </si>
  <si>
    <t>E03306</t>
  </si>
  <si>
    <t>E03307</t>
  </si>
  <si>
    <t>E03308</t>
  </si>
  <si>
    <t>E03309</t>
  </si>
  <si>
    <t>E03310</t>
  </si>
  <si>
    <t>E03311</t>
  </si>
  <si>
    <t>E03312</t>
  </si>
  <si>
    <t>E03313</t>
  </si>
  <si>
    <t>E03314</t>
  </si>
  <si>
    <t>E03315</t>
  </si>
  <si>
    <t>E03316</t>
  </si>
  <si>
    <t>E03317</t>
  </si>
  <si>
    <t>E03318</t>
  </si>
  <si>
    <t>E03319</t>
  </si>
  <si>
    <t>E03320</t>
  </si>
  <si>
    <t>E03321</t>
  </si>
  <si>
    <t>E03322</t>
  </si>
  <si>
    <t>E03323</t>
  </si>
  <si>
    <t>E03324</t>
  </si>
  <si>
    <t>E03325</t>
  </si>
  <si>
    <t>E03326</t>
  </si>
  <si>
    <t>stu0501</t>
  </si>
  <si>
    <t>E03327</t>
  </si>
  <si>
    <t>E03328</t>
  </si>
  <si>
    <t>E03329</t>
  </si>
  <si>
    <t>E03330</t>
  </si>
  <si>
    <t>E03331</t>
  </si>
  <si>
    <t>E03332</t>
  </si>
  <si>
    <t>E03333</t>
  </si>
  <si>
    <t>E03334</t>
  </si>
  <si>
    <t>E03335</t>
  </si>
  <si>
    <t>E03336</t>
  </si>
  <si>
    <t>E03337</t>
  </si>
  <si>
    <t>E03338</t>
  </si>
  <si>
    <t>E03339</t>
  </si>
  <si>
    <t>E03340</t>
  </si>
  <si>
    <t>E03341</t>
  </si>
  <si>
    <t>E03342</t>
  </si>
  <si>
    <t>E03343</t>
  </si>
  <si>
    <t>E03344</t>
  </si>
  <si>
    <t>E03345</t>
  </si>
  <si>
    <t>E03346</t>
  </si>
  <si>
    <t>E03347</t>
  </si>
  <si>
    <t>E03348</t>
  </si>
  <si>
    <t>E03349</t>
  </si>
  <si>
    <t>E03350</t>
  </si>
  <si>
    <t>E03351</t>
  </si>
  <si>
    <t>E03352</t>
  </si>
  <si>
    <t>E03353</t>
  </si>
  <si>
    <t>E03354</t>
  </si>
  <si>
    <t>E03355</t>
  </si>
  <si>
    <t>E03356</t>
  </si>
  <si>
    <t>E03357</t>
  </si>
  <si>
    <t>E03358</t>
  </si>
  <si>
    <t>E03359</t>
  </si>
  <si>
    <t>E03360</t>
  </si>
  <si>
    <t>E03361</t>
  </si>
  <si>
    <t>E03362</t>
  </si>
  <si>
    <t>E03363</t>
  </si>
  <si>
    <t>E03364</t>
  </si>
  <si>
    <t>E03365</t>
  </si>
  <si>
    <t>E03366</t>
  </si>
  <si>
    <t>E03367</t>
  </si>
  <si>
    <t>E03368</t>
  </si>
  <si>
    <t>E03369</t>
  </si>
  <si>
    <t>E03370</t>
  </si>
  <si>
    <t>E03371</t>
  </si>
  <si>
    <t>E03372</t>
  </si>
  <si>
    <t>E03373</t>
  </si>
  <si>
    <t>E03374</t>
  </si>
  <si>
    <t>E03375</t>
  </si>
  <si>
    <t>E03376</t>
  </si>
  <si>
    <t>E03377</t>
  </si>
  <si>
    <t>E03378</t>
  </si>
  <si>
    <t>E03379</t>
  </si>
  <si>
    <t>E03380</t>
  </si>
  <si>
    <t>E03381</t>
  </si>
  <si>
    <t>E03382</t>
  </si>
  <si>
    <t>E03383</t>
  </si>
  <si>
    <t>E03384</t>
  </si>
  <si>
    <t>E03385</t>
  </si>
  <si>
    <t>E03386</t>
  </si>
  <si>
    <t>E03387</t>
  </si>
  <si>
    <t>E03388</t>
  </si>
  <si>
    <t>E03389</t>
  </si>
  <si>
    <t>E03390</t>
  </si>
  <si>
    <t>E03391</t>
  </si>
  <si>
    <t>E03392</t>
  </si>
  <si>
    <t>E03393</t>
  </si>
  <si>
    <t>E03394</t>
  </si>
  <si>
    <t>E03395</t>
  </si>
  <si>
    <t>E03396</t>
  </si>
  <si>
    <t>E03397</t>
  </si>
  <si>
    <t>E03398</t>
  </si>
  <si>
    <t>E03399</t>
  </si>
  <si>
    <t>E03400</t>
  </si>
  <si>
    <t>E03401</t>
  </si>
  <si>
    <t>E03402</t>
  </si>
  <si>
    <t>E03403</t>
  </si>
  <si>
    <t>E03404</t>
  </si>
  <si>
    <t>E03405</t>
  </si>
  <si>
    <t>E03406</t>
  </si>
  <si>
    <t>E03407</t>
  </si>
  <si>
    <t>E03408</t>
  </si>
  <si>
    <t>E03409</t>
  </si>
  <si>
    <t>E03410</t>
  </si>
  <si>
    <t>E03411</t>
  </si>
  <si>
    <t>E03412</t>
  </si>
  <si>
    <t>E03413</t>
  </si>
  <si>
    <t>E03414</t>
  </si>
  <si>
    <t>E03415</t>
  </si>
  <si>
    <t>E03416</t>
  </si>
  <si>
    <t>E03417</t>
  </si>
  <si>
    <t>E03418</t>
  </si>
  <si>
    <t>E03419</t>
  </si>
  <si>
    <t>E03420</t>
  </si>
  <si>
    <t>E03421</t>
  </si>
  <si>
    <t>E03422</t>
  </si>
  <si>
    <t>E03423</t>
  </si>
  <si>
    <t>E03424</t>
  </si>
  <si>
    <t>E03425</t>
  </si>
  <si>
    <t>E03426</t>
  </si>
  <si>
    <t>E03427</t>
  </si>
  <si>
    <t>E03428</t>
  </si>
  <si>
    <t>E03429</t>
  </si>
  <si>
    <t>E03430</t>
  </si>
  <si>
    <t>E03431</t>
  </si>
  <si>
    <t>E03432</t>
  </si>
  <si>
    <t>E03433</t>
  </si>
  <si>
    <t>E03434</t>
  </si>
  <si>
    <t>E03435</t>
  </si>
  <si>
    <t>E03436</t>
  </si>
  <si>
    <t>E03437</t>
  </si>
  <si>
    <t>E03438</t>
  </si>
  <si>
    <t>E03439</t>
  </si>
  <si>
    <t>E03440</t>
  </si>
  <si>
    <t>E03441</t>
  </si>
  <si>
    <t>E03442</t>
  </si>
  <si>
    <t>E03443</t>
  </si>
  <si>
    <t>E03444</t>
  </si>
  <si>
    <t>E03445</t>
  </si>
  <si>
    <t>stu0275</t>
  </si>
  <si>
    <t>E03446</t>
  </si>
  <si>
    <t>E03447</t>
  </si>
  <si>
    <t>E03448</t>
  </si>
  <si>
    <t>E03449</t>
  </si>
  <si>
    <t>E03450</t>
  </si>
  <si>
    <t>E03451</t>
  </si>
  <si>
    <t>E03452</t>
  </si>
  <si>
    <t>E03453</t>
  </si>
  <si>
    <t>E03454</t>
  </si>
  <si>
    <t>E03455</t>
  </si>
  <si>
    <t>E03456</t>
  </si>
  <si>
    <t>E03457</t>
  </si>
  <si>
    <t>E03458</t>
  </si>
  <si>
    <t>E03459</t>
  </si>
  <si>
    <t>E03460</t>
  </si>
  <si>
    <t>E03461</t>
  </si>
  <si>
    <t>E03462</t>
  </si>
  <si>
    <t>E03463</t>
  </si>
  <si>
    <t>E03464</t>
  </si>
  <si>
    <t>E03465</t>
  </si>
  <si>
    <t>E03466</t>
  </si>
  <si>
    <t>E03467</t>
  </si>
  <si>
    <t>E03468</t>
  </si>
  <si>
    <t>E03469</t>
  </si>
  <si>
    <t>E03470</t>
  </si>
  <si>
    <t>E03471</t>
  </si>
  <si>
    <t>E03472</t>
  </si>
  <si>
    <t>E03473</t>
  </si>
  <si>
    <t>E03474</t>
  </si>
  <si>
    <t>E03475</t>
  </si>
  <si>
    <t>E03476</t>
  </si>
  <si>
    <t>stu0505</t>
  </si>
  <si>
    <t>E03477</t>
  </si>
  <si>
    <t>stu0152</t>
  </si>
  <si>
    <t>E03478</t>
  </si>
  <si>
    <t>E03479</t>
  </si>
  <si>
    <t>E03480</t>
  </si>
  <si>
    <t>E03481</t>
  </si>
  <si>
    <t>E03482</t>
  </si>
  <si>
    <t>E03483</t>
  </si>
  <si>
    <t>E03484</t>
  </si>
  <si>
    <t>E03485</t>
  </si>
  <si>
    <t>E03486</t>
  </si>
  <si>
    <t>E03487</t>
  </si>
  <si>
    <t>E03488</t>
  </si>
  <si>
    <t>E03489</t>
  </si>
  <si>
    <t>E03490</t>
  </si>
  <si>
    <t>E03491</t>
  </si>
  <si>
    <t>E03492</t>
  </si>
  <si>
    <t>E03493</t>
  </si>
  <si>
    <t>E03494</t>
  </si>
  <si>
    <t>E03495</t>
  </si>
  <si>
    <t>E03496</t>
  </si>
  <si>
    <t>stu0270</t>
  </si>
  <si>
    <t>E03497</t>
  </si>
  <si>
    <t>E03498</t>
  </si>
  <si>
    <t>E03499</t>
  </si>
  <si>
    <t>E03500</t>
  </si>
  <si>
    <t>review_id</t>
  </si>
  <si>
    <t>review_rating</t>
  </si>
  <si>
    <t>review_text</t>
  </si>
  <si>
    <t>review_date</t>
  </si>
  <si>
    <t>R00001</t>
  </si>
  <si>
    <t>Excellent value for money</t>
  </si>
  <si>
    <t>R00002</t>
  </si>
  <si>
    <t>R00003</t>
  </si>
  <si>
    <t>Too fast paced for beginners</t>
  </si>
  <si>
    <t>R00004</t>
  </si>
  <si>
    <t>Great course, learned a lot!</t>
  </si>
  <si>
    <t>R00005</t>
  </si>
  <si>
    <t>Support team was very responsive</t>
  </si>
  <si>
    <t>R00006</t>
  </si>
  <si>
    <t>Content felt outdated</t>
  </si>
  <si>
    <t>R00007</t>
  </si>
  <si>
    <t>Best course I've taken on LearnSphere</t>
  </si>
  <si>
    <t>R00008</t>
  </si>
  <si>
    <t>R00009</t>
  </si>
  <si>
    <t>Loved the practical examples</t>
  </si>
  <si>
    <t>R00010</t>
  </si>
  <si>
    <t>Instructor was not very clear</t>
  </si>
  <si>
    <t>R00011</t>
  </si>
  <si>
    <t>R00012</t>
  </si>
  <si>
    <t>R00013</t>
  </si>
  <si>
    <t>R00014</t>
  </si>
  <si>
    <t>5 stars!!!</t>
  </si>
  <si>
    <t>R00015</t>
  </si>
  <si>
    <t>Average experience</t>
  </si>
  <si>
    <t>R00016</t>
  </si>
  <si>
    <t>R00017</t>
  </si>
  <si>
    <t>R00018</t>
  </si>
  <si>
    <t>R00019</t>
  </si>
  <si>
    <t>R00020</t>
  </si>
  <si>
    <t>Needs more hands-on exercises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</si>
  <si>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</si>
  <si>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</si>
  <si>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</si>
  <si>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</si>
  <si>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</si>
  <si>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</si>
  <si>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</si>
  <si>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</si>
  <si>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</si>
  <si>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</si>
  <si>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</si>
  <si>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</si>
  <si>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</si>
  <si>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</si>
  <si>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Not worth the price tbh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</si>
  <si>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</si>
  <si>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</si>
  <si>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</si>
  <si>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</si>
  <si>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</si>
  <si>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</si>
  <si>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</si>
  <si>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</si>
  <si>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</si>
  <si>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</si>
  <si>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</si>
  <si>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Would recommend to a friend</t>
  </si>
  <si>
    <t>R00046</t>
  </si>
  <si>
    <t>R00047</t>
  </si>
  <si>
    <t>R00048</t>
  </si>
  <si>
    <t>R00049</t>
  </si>
  <si>
    <t>R00050</t>
  </si>
  <si>
    <t>good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</si>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</sst>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Aptos Narrow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b/>
      <sz val="11"/>
      <color theme="0"/>
      <name val="Calibri"/>
    </font>
    <font>
      <sz val="11"/>
      <color rgb="FF242424"/>
      <name val="Consolas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3" borderId="0" xfId="0" applyFont="1" applyFill="1"/>
    <xf numFmtId="0" fontId="3" fillId="3" borderId="0" xfId="0" applyFont="1" applyFill="1"/>
    <xf numFmtId="10" fontId="0" fillId="0" borderId="0" xfId="0" applyNumberFormat="1"/>
    <xf numFmtId="0" fontId="3" fillId="3" borderId="0" xfId="0" applyFont="1" applyFill="1" applyAlignment="1">
      <alignment wrapText="1"/>
    </xf>
    <xf numFmtId="0" fontId="4" fillId="0" borderId="0" xfId="1"/>
    <xf numFmtId="0" fontId="5" fillId="3" borderId="0" xfId="0" applyFont="1" applyFill="1" applyAlignment="1">
      <alignment wrapText="1"/>
    </xf>
    <xf numFmtId="164" fontId="0" fillId="0" borderId="0" xfId="0" applyNumberFormat="1"/>
    <xf numFmtId="164" fontId="1" fillId="2" borderId="0" xfId="0" applyNumberFormat="1" applyFont="1" applyFill="1" applyAlignment="1">
      <alignment wrapText="1"/>
    </xf>
    <xf numFmtId="165" fontId="1" fillId="2" borderId="0" xfId="0" applyNumberFormat="1" applyFont="1" applyFill="1"/>
    <xf numFmtId="165" fontId="0" fillId="0" borderId="0" xfId="0" applyNumberFormat="1"/>
    <xf numFmtId="1" fontId="1" fillId="2" borderId="0" xfId="0" applyNumberFormat="1" applyFont="1" applyFill="1"/>
    <xf numFmtId="1" fontId="0" fillId="0" borderId="0" xfId="0" applyNumberForma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1" fontId="1" fillId="2" borderId="0" xfId="0" applyNumberFormat="1" applyFont="1" applyFill="1" applyAlignment="1">
      <alignment wrapText="1"/>
    </xf>
    <xf numFmtId="164" fontId="1" fillId="2" borderId="0" xfId="0" applyNumberFormat="1" applyFont="1" applyFill="1"/>
    <xf numFmtId="164" fontId="0" fillId="0" borderId="0" xfId="0" applyNumberFormat="1" applyAlignment="1">
      <alignment wrapText="1"/>
    </xf>
    <xf numFmtId="0" fontId="7" fillId="0" borderId="0" xfId="0" applyFont="1"/>
    <xf numFmtId="0" fontId="8" fillId="2" borderId="0" xfId="0" applyFont="1" applyFill="1" applyAlignment="1">
      <alignment wrapText="1"/>
    </xf>
    <xf numFmtId="0" fontId="9" fillId="0" borderId="0" xfId="0" applyFont="1"/>
    <xf numFmtId="9" fontId="0" fillId="0" borderId="0" xfId="0" applyNumberFormat="1"/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F4AF96-02AA-4A3C-B035-0B9880C1F8F2}" name="Table2" displayName="Table2" ref="A1:B12" totalsRowShown="0" headerRowDxfId="0">
  <autoFilter ref="A1:B12" xr:uid="{D6F4AF96-02AA-4A3C-B035-0B9880C1F8F2}"/>
  <tableColumns count="2">
    <tableColumn id="1" xr3:uid="{8D4F176D-4F1B-47E4-97EA-A31D69EADCBB}" name="city"/>
    <tableColumn id="2" xr3:uid="{3AB2F64E-F13A-4F59-BDFC-A2CFBBC04B91}" name="provi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bertdavis65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1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/>
  <cols>
    <col min="1" max="1" width="12" customWidth="1"/>
    <col min="2" max="2" width="21.85546875" bestFit="1" customWidth="1"/>
    <col min="3" max="3" width="34" customWidth="1"/>
    <col min="4" max="4" width="15.28515625" bestFit="1" customWidth="1"/>
    <col min="5" max="5" width="16" customWidth="1"/>
    <col min="6" max="6" width="15" customWidth="1"/>
    <col min="7" max="7" width="17.28515625" bestFit="1" customWidth="1"/>
    <col min="8" max="8" width="19.5703125" bestFit="1" customWidth="1"/>
    <col min="9" max="9" width="13" customWidth="1"/>
    <col min="10" max="10" width="14" customWidth="1"/>
    <col min="11" max="11" width="15" customWidth="1"/>
    <col min="12" max="12" width="15" style="9" customWidth="1"/>
    <col min="15" max="15" width="20.28515625" bestFit="1" customWidth="1"/>
  </cols>
  <sheetData>
    <row r="1" spans="1:12" ht="18.75" customHeight="1">
      <c r="A1" s="2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0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tr">
        <f>_xlfn.XLOOKUP(E2,lookup_table!A:A,lookup_table!B:B, "N/A")</f>
        <v>Gauteng</v>
      </c>
      <c r="H2" t="str">
        <f>IF(F2=G2, "Match", "Mismatch")</f>
        <v>Mismatch</v>
      </c>
      <c r="I2">
        <v>22</v>
      </c>
      <c r="J2" t="s">
        <v>18</v>
      </c>
      <c r="K2" t="s">
        <v>19</v>
      </c>
      <c r="L2" s="9">
        <v>45657</v>
      </c>
    </row>
    <row r="3" spans="1:1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tr">
        <f>_xlfn.XLOOKUP(E3,lookup_table!A:A,lookup_table!B:B, "N/A")</f>
        <v>Limpopo</v>
      </c>
      <c r="H3" t="str">
        <f t="shared" ref="H3:H66" si="0">IF(F3=G3, "Match", "Mismatch")</f>
        <v>Mismatch</v>
      </c>
      <c r="I3">
        <v>43</v>
      </c>
      <c r="J3" t="s">
        <v>26</v>
      </c>
      <c r="K3" t="s">
        <v>27</v>
      </c>
      <c r="L3" s="9">
        <v>45265</v>
      </c>
    </row>
    <row r="4" spans="1:12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25</v>
      </c>
      <c r="G4" t="str">
        <f>_xlfn.XLOOKUP(E4,lookup_table!A:A,lookup_table!B:B, "N/A")</f>
        <v>KwaZulu-Natal</v>
      </c>
      <c r="H4" t="str">
        <f t="shared" si="0"/>
        <v>Mismatch</v>
      </c>
      <c r="I4">
        <v>45</v>
      </c>
      <c r="J4" t="s">
        <v>26</v>
      </c>
      <c r="K4" t="s">
        <v>33</v>
      </c>
      <c r="L4" s="9">
        <v>45611</v>
      </c>
    </row>
    <row r="5" spans="1:12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25</v>
      </c>
      <c r="G5" t="str">
        <f>_xlfn.XLOOKUP(E5,lookup_table!A:A,lookup_table!B:B, "N/A")</f>
        <v>Western Cape</v>
      </c>
      <c r="H5" t="str">
        <f t="shared" si="0"/>
        <v>Mismatch</v>
      </c>
      <c r="I5" t="s">
        <v>39</v>
      </c>
      <c r="J5" t="s">
        <v>26</v>
      </c>
      <c r="K5" t="s">
        <v>23</v>
      </c>
      <c r="L5" s="9">
        <v>45182</v>
      </c>
    </row>
    <row r="6" spans="1:12">
      <c r="A6" t="s">
        <v>40</v>
      </c>
      <c r="B6" t="s">
        <v>41</v>
      </c>
      <c r="C6" t="s">
        <v>42</v>
      </c>
      <c r="D6" t="s">
        <v>23</v>
      </c>
      <c r="E6" t="s">
        <v>38</v>
      </c>
      <c r="F6" t="s">
        <v>17</v>
      </c>
      <c r="G6" t="str">
        <f>_xlfn.XLOOKUP(E6,lookup_table!A:A,lookup_table!B:B, "N/A")</f>
        <v>Western Cape</v>
      </c>
      <c r="H6" t="str">
        <f t="shared" si="0"/>
        <v>Mismatch</v>
      </c>
      <c r="I6">
        <v>40</v>
      </c>
      <c r="J6" t="s">
        <v>18</v>
      </c>
      <c r="K6" t="s">
        <v>43</v>
      </c>
      <c r="L6" s="9">
        <v>45619</v>
      </c>
    </row>
    <row r="7" spans="1:12">
      <c r="A7" t="s">
        <v>44</v>
      </c>
      <c r="B7" t="s">
        <v>45</v>
      </c>
      <c r="C7" t="s">
        <v>46</v>
      </c>
      <c r="D7" t="s">
        <v>47</v>
      </c>
      <c r="E7" t="s">
        <v>24</v>
      </c>
      <c r="F7" t="s">
        <v>17</v>
      </c>
      <c r="G7" t="str">
        <f>_xlfn.XLOOKUP(E7,lookup_table!A:A,lookup_table!B:B, "N/A")</f>
        <v>Limpopo</v>
      </c>
      <c r="H7" t="str">
        <f t="shared" si="0"/>
        <v>Mismatch</v>
      </c>
      <c r="I7">
        <v>47</v>
      </c>
      <c r="J7" t="s">
        <v>26</v>
      </c>
      <c r="K7" t="s">
        <v>33</v>
      </c>
      <c r="L7" s="9">
        <v>45766</v>
      </c>
    </row>
    <row r="8" spans="1:12">
      <c r="A8" t="s">
        <v>48</v>
      </c>
      <c r="B8" t="s">
        <v>49</v>
      </c>
      <c r="C8" t="s">
        <v>23</v>
      </c>
      <c r="D8" t="s">
        <v>23</v>
      </c>
      <c r="E8" t="s">
        <v>24</v>
      </c>
      <c r="F8" t="s">
        <v>50</v>
      </c>
      <c r="G8" t="str">
        <f>_xlfn.XLOOKUP(E8,lookup_table!A:A,lookup_table!B:B, "N/A")</f>
        <v>Limpopo</v>
      </c>
      <c r="H8" t="str">
        <f t="shared" si="0"/>
        <v>Mismatch</v>
      </c>
      <c r="I8">
        <v>19</v>
      </c>
      <c r="J8" t="s">
        <v>26</v>
      </c>
      <c r="K8" t="s">
        <v>27</v>
      </c>
      <c r="L8" s="9">
        <v>45409</v>
      </c>
    </row>
    <row r="9" spans="1:12">
      <c r="A9" t="s">
        <v>51</v>
      </c>
      <c r="B9" t="s">
        <v>52</v>
      </c>
      <c r="C9" t="s">
        <v>23</v>
      </c>
      <c r="D9" t="s">
        <v>23</v>
      </c>
      <c r="E9" t="s">
        <v>53</v>
      </c>
      <c r="F9" t="s">
        <v>54</v>
      </c>
      <c r="G9" t="str">
        <f>_xlfn.XLOOKUP(E9,lookup_table!A:A,lookup_table!B:B, "N/A")</f>
        <v>Mpumalanga</v>
      </c>
      <c r="H9" t="str">
        <f t="shared" si="0"/>
        <v>Mismatch</v>
      </c>
      <c r="I9">
        <v>23</v>
      </c>
      <c r="J9" t="s">
        <v>18</v>
      </c>
      <c r="K9" t="s">
        <v>55</v>
      </c>
      <c r="L9" s="9">
        <v>45803</v>
      </c>
    </row>
    <row r="10" spans="1:12">
      <c r="A10" t="s">
        <v>56</v>
      </c>
      <c r="B10" t="s">
        <v>57</v>
      </c>
      <c r="C10" s="7" t="s">
        <v>58</v>
      </c>
      <c r="D10" t="s">
        <v>59</v>
      </c>
      <c r="E10" t="s">
        <v>32</v>
      </c>
      <c r="F10" t="s">
        <v>54</v>
      </c>
      <c r="G10" t="str">
        <f>_xlfn.XLOOKUP(E10,lookup_table!A:A,lookup_table!B:B, "N/A")</f>
        <v>KwaZulu-Natal</v>
      </c>
      <c r="H10" t="str">
        <f t="shared" si="0"/>
        <v>Mismatch</v>
      </c>
      <c r="I10">
        <v>25</v>
      </c>
      <c r="J10" t="s">
        <v>26</v>
      </c>
      <c r="K10" t="s">
        <v>60</v>
      </c>
      <c r="L10" s="9">
        <v>45308</v>
      </c>
    </row>
    <row r="11" spans="1:12">
      <c r="A11" t="s">
        <v>61</v>
      </c>
      <c r="B11" t="s">
        <v>62</v>
      </c>
      <c r="C11" t="s">
        <v>63</v>
      </c>
      <c r="D11" t="s">
        <v>64</v>
      </c>
      <c r="E11" t="s">
        <v>38</v>
      </c>
      <c r="F11" t="s">
        <v>65</v>
      </c>
      <c r="G11" t="str">
        <f>_xlfn.XLOOKUP(E11,lookup_table!A:A,lookup_table!B:B, "N/A")</f>
        <v>Western Cape</v>
      </c>
      <c r="H11" t="str">
        <f t="shared" si="0"/>
        <v>Mismatch</v>
      </c>
      <c r="I11">
        <v>20</v>
      </c>
      <c r="J11" t="s">
        <v>66</v>
      </c>
      <c r="K11" t="s">
        <v>55</v>
      </c>
      <c r="L11" s="9">
        <v>45267</v>
      </c>
    </row>
    <row r="12" spans="1:12">
      <c r="A12" t="s">
        <v>67</v>
      </c>
      <c r="B12" t="s">
        <v>68</v>
      </c>
      <c r="C12" t="s">
        <v>23</v>
      </c>
      <c r="D12" t="s">
        <v>69</v>
      </c>
      <c r="E12" t="s">
        <v>70</v>
      </c>
      <c r="F12" t="s">
        <v>17</v>
      </c>
      <c r="G12" t="str">
        <f>_xlfn.XLOOKUP(E12,lookup_table!A:A,lookup_table!B:B, "N/A")</f>
        <v>Eastern Cape</v>
      </c>
      <c r="H12" t="str">
        <f t="shared" si="0"/>
        <v>Match</v>
      </c>
      <c r="I12">
        <v>49</v>
      </c>
      <c r="J12" t="s">
        <v>26</v>
      </c>
      <c r="K12" t="s">
        <v>60</v>
      </c>
      <c r="L12" s="9">
        <v>45360</v>
      </c>
    </row>
    <row r="13" spans="1:12">
      <c r="A13" t="s">
        <v>71</v>
      </c>
      <c r="B13" t="s">
        <v>72</v>
      </c>
      <c r="C13" t="s">
        <v>73</v>
      </c>
      <c r="D13" t="s">
        <v>74</v>
      </c>
      <c r="E13" t="s">
        <v>38</v>
      </c>
      <c r="G13" t="str">
        <f>_xlfn.XLOOKUP(E13,lookup_table!A:A,lookup_table!B:B, "N/A")</f>
        <v>Western Cape</v>
      </c>
      <c r="H13" t="str">
        <f t="shared" si="0"/>
        <v>Mismatch</v>
      </c>
      <c r="I13">
        <v>30</v>
      </c>
      <c r="J13" t="s">
        <v>23</v>
      </c>
      <c r="K13" t="s">
        <v>43</v>
      </c>
      <c r="L13" s="9">
        <v>45249</v>
      </c>
    </row>
    <row r="14" spans="1:12">
      <c r="A14" t="s">
        <v>75</v>
      </c>
      <c r="B14" t="s">
        <v>76</v>
      </c>
      <c r="C14" t="s">
        <v>77</v>
      </c>
      <c r="D14" t="s">
        <v>23</v>
      </c>
      <c r="E14" t="s">
        <v>78</v>
      </c>
      <c r="F14" t="s">
        <v>79</v>
      </c>
      <c r="G14" t="str">
        <f>_xlfn.XLOOKUP(E14,lookup_table!A:A,lookup_table!B:B, "N/A")</f>
        <v>Northern Cape</v>
      </c>
      <c r="H14" t="str">
        <f t="shared" si="0"/>
        <v>Match</v>
      </c>
      <c r="I14" t="s">
        <v>39</v>
      </c>
      <c r="J14" t="s">
        <v>18</v>
      </c>
      <c r="K14" t="s">
        <v>23</v>
      </c>
      <c r="L14" s="9">
        <v>45259</v>
      </c>
    </row>
    <row r="15" spans="1:12">
      <c r="A15" t="s">
        <v>80</v>
      </c>
      <c r="B15" t="s">
        <v>81</v>
      </c>
      <c r="C15" t="s">
        <v>82</v>
      </c>
      <c r="D15" t="s">
        <v>83</v>
      </c>
      <c r="E15" t="s">
        <v>24</v>
      </c>
      <c r="F15" t="s">
        <v>65</v>
      </c>
      <c r="G15" t="str">
        <f>_xlfn.XLOOKUP(E15,lookup_table!A:A,lookup_table!B:B, "N/A")</f>
        <v>Limpopo</v>
      </c>
      <c r="H15" t="str">
        <f t="shared" si="0"/>
        <v>Mismatch</v>
      </c>
      <c r="I15">
        <v>24</v>
      </c>
      <c r="J15" t="s">
        <v>26</v>
      </c>
      <c r="K15" t="s">
        <v>84</v>
      </c>
      <c r="L15" s="9">
        <v>45390</v>
      </c>
    </row>
    <row r="16" spans="1:12">
      <c r="A16" t="s">
        <v>85</v>
      </c>
      <c r="B16" t="s">
        <v>86</v>
      </c>
      <c r="C16" t="s">
        <v>87</v>
      </c>
      <c r="D16" t="s">
        <v>88</v>
      </c>
      <c r="E16" t="s">
        <v>38</v>
      </c>
      <c r="F16" t="s">
        <v>89</v>
      </c>
      <c r="G16" t="str">
        <f>_xlfn.XLOOKUP(E16,lookup_table!A:A,lookup_table!B:B, "N/A")</f>
        <v>Western Cape</v>
      </c>
      <c r="H16" t="str">
        <f t="shared" si="0"/>
        <v>Match</v>
      </c>
      <c r="I16">
        <v>26</v>
      </c>
      <c r="J16" t="s">
        <v>66</v>
      </c>
      <c r="K16" t="s">
        <v>27</v>
      </c>
      <c r="L16" s="9">
        <v>46090</v>
      </c>
    </row>
    <row r="17" spans="1:12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79</v>
      </c>
      <c r="G17" t="str">
        <f>_xlfn.XLOOKUP(E17,lookup_table!A:A,lookup_table!B:B, "N/A")</f>
        <v>Eastern Cape</v>
      </c>
      <c r="H17" t="str">
        <f t="shared" si="0"/>
        <v>Mismatch</v>
      </c>
      <c r="I17">
        <v>51</v>
      </c>
      <c r="J17" t="s">
        <v>18</v>
      </c>
      <c r="K17" t="s">
        <v>33</v>
      </c>
      <c r="L17" s="9">
        <v>45359</v>
      </c>
    </row>
    <row r="18" spans="1:12">
      <c r="A18" t="s">
        <v>95</v>
      </c>
      <c r="B18" t="s">
        <v>96</v>
      </c>
      <c r="C18" t="s">
        <v>97</v>
      </c>
      <c r="D18" t="s">
        <v>98</v>
      </c>
      <c r="E18" t="s">
        <v>38</v>
      </c>
      <c r="G18" t="str">
        <f>_xlfn.XLOOKUP(E18,lookup_table!A:A,lookup_table!B:B, "N/A")</f>
        <v>Western Cape</v>
      </c>
      <c r="H18" t="str">
        <f t="shared" si="0"/>
        <v>Mismatch</v>
      </c>
      <c r="I18">
        <v>48</v>
      </c>
      <c r="J18" t="s">
        <v>26</v>
      </c>
      <c r="K18" t="s">
        <v>23</v>
      </c>
      <c r="L18" s="9">
        <v>45771</v>
      </c>
    </row>
    <row r="19" spans="1:12">
      <c r="A19" t="s">
        <v>99</v>
      </c>
      <c r="B19" t="s">
        <v>100</v>
      </c>
      <c r="C19" t="s">
        <v>101</v>
      </c>
      <c r="D19" t="s">
        <v>102</v>
      </c>
      <c r="E19" t="s">
        <v>78</v>
      </c>
      <c r="F19" t="s">
        <v>89</v>
      </c>
      <c r="G19" t="str">
        <f>_xlfn.XLOOKUP(E19,lookup_table!A:A,lookup_table!B:B, "N/A")</f>
        <v>Northern Cape</v>
      </c>
      <c r="H19" t="str">
        <f t="shared" si="0"/>
        <v>Mismatch</v>
      </c>
      <c r="I19" t="s">
        <v>39</v>
      </c>
      <c r="J19" t="s">
        <v>18</v>
      </c>
      <c r="K19" t="s">
        <v>55</v>
      </c>
      <c r="L19" s="9">
        <v>45525</v>
      </c>
    </row>
    <row r="20" spans="1:12">
      <c r="A20" t="s">
        <v>103</v>
      </c>
      <c r="B20" t="s">
        <v>104</v>
      </c>
      <c r="C20" t="s">
        <v>23</v>
      </c>
      <c r="D20" t="s">
        <v>105</v>
      </c>
      <c r="E20" t="s">
        <v>38</v>
      </c>
      <c r="F20" t="s">
        <v>79</v>
      </c>
      <c r="G20" t="str">
        <f>_xlfn.XLOOKUP(E20,lookup_table!A:A,lookup_table!B:B, "N/A")</f>
        <v>Western Cape</v>
      </c>
      <c r="H20" t="str">
        <f t="shared" si="0"/>
        <v>Mismatch</v>
      </c>
      <c r="I20">
        <v>20</v>
      </c>
      <c r="J20" t="s">
        <v>26</v>
      </c>
      <c r="K20" t="s">
        <v>106</v>
      </c>
      <c r="L20" s="9">
        <v>45146</v>
      </c>
    </row>
    <row r="21" spans="1:12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50</v>
      </c>
      <c r="G21" t="str">
        <f>_xlfn.XLOOKUP(E21,lookup_table!A:A,lookup_table!B:B, "N/A")</f>
        <v>Gauteng</v>
      </c>
      <c r="H21" t="str">
        <f t="shared" si="0"/>
        <v>Mismatch</v>
      </c>
      <c r="I21">
        <v>50</v>
      </c>
      <c r="J21" t="s">
        <v>26</v>
      </c>
      <c r="K21" t="s">
        <v>106</v>
      </c>
      <c r="L21" s="9">
        <v>45443</v>
      </c>
    </row>
    <row r="22" spans="1:12">
      <c r="A22" t="s">
        <v>112</v>
      </c>
      <c r="B22" t="s">
        <v>113</v>
      </c>
      <c r="C22" t="s">
        <v>114</v>
      </c>
      <c r="D22" t="s">
        <v>115</v>
      </c>
      <c r="E22" t="s">
        <v>16</v>
      </c>
      <c r="F22" t="s">
        <v>50</v>
      </c>
      <c r="G22" t="str">
        <f>_xlfn.XLOOKUP(E22,lookup_table!A:A,lookup_table!B:B, "N/A")</f>
        <v>Gauteng</v>
      </c>
      <c r="H22" t="str">
        <f t="shared" si="0"/>
        <v>Mismatch</v>
      </c>
      <c r="I22">
        <v>54</v>
      </c>
      <c r="J22" t="s">
        <v>23</v>
      </c>
      <c r="K22" t="s">
        <v>55</v>
      </c>
      <c r="L22" s="9">
        <v>45974</v>
      </c>
    </row>
    <row r="23" spans="1:12">
      <c r="A23" t="s">
        <v>116</v>
      </c>
      <c r="B23" t="s">
        <v>117</v>
      </c>
      <c r="C23" t="s">
        <v>118</v>
      </c>
      <c r="D23" t="s">
        <v>119</v>
      </c>
      <c r="E23" t="s">
        <v>38</v>
      </c>
      <c r="F23" t="s">
        <v>25</v>
      </c>
      <c r="G23" t="str">
        <f>_xlfn.XLOOKUP(E23,lookup_table!A:A,lookup_table!B:B, "N/A")</f>
        <v>Western Cape</v>
      </c>
      <c r="H23" t="str">
        <f t="shared" si="0"/>
        <v>Mismatch</v>
      </c>
      <c r="I23">
        <v>37</v>
      </c>
      <c r="J23" t="s">
        <v>120</v>
      </c>
      <c r="K23" t="s">
        <v>19</v>
      </c>
      <c r="L23" s="9">
        <v>45569</v>
      </c>
    </row>
    <row r="24" spans="1:12">
      <c r="A24" t="s">
        <v>121</v>
      </c>
      <c r="B24" t="s">
        <v>122</v>
      </c>
      <c r="C24" t="s">
        <v>123</v>
      </c>
      <c r="D24" t="s">
        <v>124</v>
      </c>
      <c r="E24" t="s">
        <v>16</v>
      </c>
      <c r="F24" t="s">
        <v>50</v>
      </c>
      <c r="G24" t="str">
        <f>_xlfn.XLOOKUP(E24,lookup_table!A:A,lookup_table!B:B, "N/A")</f>
        <v>Gauteng</v>
      </c>
      <c r="H24" t="str">
        <f t="shared" si="0"/>
        <v>Mismatch</v>
      </c>
      <c r="I24">
        <v>53</v>
      </c>
      <c r="J24" t="s">
        <v>18</v>
      </c>
      <c r="K24" t="s">
        <v>60</v>
      </c>
      <c r="L24" s="9">
        <v>45483</v>
      </c>
    </row>
    <row r="25" spans="1:12">
      <c r="A25" t="s">
        <v>125</v>
      </c>
      <c r="B25" t="s">
        <v>126</v>
      </c>
      <c r="C25" t="s">
        <v>127</v>
      </c>
      <c r="D25" t="s">
        <v>128</v>
      </c>
      <c r="E25" t="s">
        <v>38</v>
      </c>
      <c r="F25" t="s">
        <v>54</v>
      </c>
      <c r="G25" t="str">
        <f>_xlfn.XLOOKUP(E25,lookup_table!A:A,lookup_table!B:B, "N/A")</f>
        <v>Western Cape</v>
      </c>
      <c r="H25" t="str">
        <f t="shared" si="0"/>
        <v>Mismatch</v>
      </c>
      <c r="I25">
        <v>25</v>
      </c>
      <c r="J25" t="s">
        <v>120</v>
      </c>
      <c r="K25" t="s">
        <v>60</v>
      </c>
      <c r="L25" s="9">
        <v>45841</v>
      </c>
    </row>
    <row r="26" spans="1:12">
      <c r="A26" t="s">
        <v>129</v>
      </c>
      <c r="B26" t="s">
        <v>130</v>
      </c>
      <c r="C26" t="s">
        <v>131</v>
      </c>
      <c r="D26" t="s">
        <v>132</v>
      </c>
      <c r="E26" t="s">
        <v>16</v>
      </c>
      <c r="F26" t="s">
        <v>17</v>
      </c>
      <c r="G26" t="str">
        <f>_xlfn.XLOOKUP(E26,lookup_table!A:A,lookup_table!B:B, "N/A")</f>
        <v>Gauteng</v>
      </c>
      <c r="H26" t="str">
        <f t="shared" si="0"/>
        <v>Mismatch</v>
      </c>
      <c r="I26">
        <v>18</v>
      </c>
      <c r="J26" t="s">
        <v>23</v>
      </c>
      <c r="K26" t="s">
        <v>60</v>
      </c>
      <c r="L26" s="9">
        <v>45505</v>
      </c>
    </row>
    <row r="27" spans="1:12">
      <c r="A27" t="s">
        <v>133</v>
      </c>
      <c r="B27" t="s">
        <v>134</v>
      </c>
      <c r="C27" t="s">
        <v>135</v>
      </c>
      <c r="D27" t="s">
        <v>136</v>
      </c>
      <c r="E27" t="s">
        <v>111</v>
      </c>
      <c r="G27" t="str">
        <f>_xlfn.XLOOKUP(E27,lookup_table!A:A,lookup_table!B:B, "N/A")</f>
        <v>Gauteng</v>
      </c>
      <c r="H27" t="str">
        <f t="shared" si="0"/>
        <v>Mismatch</v>
      </c>
      <c r="I27" t="s">
        <v>39</v>
      </c>
      <c r="J27" t="s">
        <v>26</v>
      </c>
      <c r="K27" t="s">
        <v>60</v>
      </c>
      <c r="L27" s="9">
        <v>45522</v>
      </c>
    </row>
    <row r="28" spans="1:12">
      <c r="A28" t="s">
        <v>137</v>
      </c>
      <c r="B28" t="s">
        <v>138</v>
      </c>
      <c r="C28" t="s">
        <v>139</v>
      </c>
      <c r="D28" t="s">
        <v>140</v>
      </c>
      <c r="E28" t="s">
        <v>32</v>
      </c>
      <c r="F28" t="s">
        <v>25</v>
      </c>
      <c r="G28" t="str">
        <f>_xlfn.XLOOKUP(E28,lookup_table!A:A,lookup_table!B:B, "N/A")</f>
        <v>KwaZulu-Natal</v>
      </c>
      <c r="H28" t="str">
        <f t="shared" si="0"/>
        <v>Mismatch</v>
      </c>
      <c r="I28">
        <v>36</v>
      </c>
      <c r="J28" t="s">
        <v>120</v>
      </c>
      <c r="K28" t="s">
        <v>33</v>
      </c>
      <c r="L28" s="9">
        <v>46082</v>
      </c>
    </row>
    <row r="29" spans="1:12">
      <c r="A29" t="s">
        <v>141</v>
      </c>
      <c r="B29" t="s">
        <v>142</v>
      </c>
      <c r="C29" t="s">
        <v>143</v>
      </c>
      <c r="D29" t="s">
        <v>144</v>
      </c>
      <c r="E29" t="s">
        <v>16</v>
      </c>
      <c r="F29" t="s">
        <v>54</v>
      </c>
      <c r="G29" t="str">
        <f>_xlfn.XLOOKUP(E29,lookup_table!A:A,lookup_table!B:B, "N/A")</f>
        <v>Gauteng</v>
      </c>
      <c r="H29" t="str">
        <f t="shared" si="0"/>
        <v>Mismatch</v>
      </c>
      <c r="I29" t="s">
        <v>39</v>
      </c>
      <c r="J29" t="s">
        <v>26</v>
      </c>
      <c r="K29" t="s">
        <v>19</v>
      </c>
      <c r="L29" s="9">
        <v>44937</v>
      </c>
    </row>
    <row r="30" spans="1:12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25</v>
      </c>
      <c r="G30" t="str">
        <f>_xlfn.XLOOKUP(E30,lookup_table!A:A,lookup_table!B:B, "N/A")</f>
        <v>Free State</v>
      </c>
      <c r="H30" t="str">
        <f t="shared" si="0"/>
        <v>Match</v>
      </c>
      <c r="I30">
        <v>42</v>
      </c>
      <c r="J30" t="s">
        <v>18</v>
      </c>
      <c r="K30" t="s">
        <v>55</v>
      </c>
      <c r="L30" s="9">
        <v>44935</v>
      </c>
    </row>
    <row r="31" spans="1:12">
      <c r="A31" t="s">
        <v>150</v>
      </c>
      <c r="B31" t="s">
        <v>151</v>
      </c>
      <c r="C31" t="s">
        <v>152</v>
      </c>
      <c r="D31" t="s">
        <v>153</v>
      </c>
      <c r="E31" t="s">
        <v>24</v>
      </c>
      <c r="F31" t="s">
        <v>154</v>
      </c>
      <c r="G31" t="str">
        <f>_xlfn.XLOOKUP(E31,lookup_table!A:A,lookup_table!B:B, "N/A")</f>
        <v>Limpopo</v>
      </c>
      <c r="H31" t="str">
        <f t="shared" si="0"/>
        <v>Match</v>
      </c>
      <c r="I31">
        <v>48</v>
      </c>
      <c r="J31" t="s">
        <v>66</v>
      </c>
      <c r="K31" t="s">
        <v>23</v>
      </c>
      <c r="L31" s="9">
        <v>45238</v>
      </c>
    </row>
    <row r="32" spans="1:12">
      <c r="A32" t="s">
        <v>155</v>
      </c>
      <c r="B32" t="s">
        <v>156</v>
      </c>
      <c r="C32" t="s">
        <v>157</v>
      </c>
      <c r="D32" t="s">
        <v>158</v>
      </c>
      <c r="E32" t="s">
        <v>70</v>
      </c>
      <c r="F32" t="s">
        <v>154</v>
      </c>
      <c r="G32" t="str">
        <f>_xlfn.XLOOKUP(E32,lookup_table!A:A,lookup_table!B:B, "N/A")</f>
        <v>Eastern Cape</v>
      </c>
      <c r="H32" t="str">
        <f t="shared" si="0"/>
        <v>Mismatch</v>
      </c>
      <c r="I32">
        <v>35</v>
      </c>
      <c r="J32" t="s">
        <v>23</v>
      </c>
      <c r="K32" t="s">
        <v>33</v>
      </c>
      <c r="L32" s="9">
        <v>46136</v>
      </c>
    </row>
    <row r="33" spans="1:12">
      <c r="A33" t="s">
        <v>159</v>
      </c>
      <c r="B33" t="s">
        <v>160</v>
      </c>
      <c r="C33" t="s">
        <v>161</v>
      </c>
      <c r="D33" t="s">
        <v>162</v>
      </c>
      <c r="E33" t="s">
        <v>24</v>
      </c>
      <c r="F33" t="s">
        <v>17</v>
      </c>
      <c r="G33" t="str">
        <f>_xlfn.XLOOKUP(E33,lookup_table!A:A,lookup_table!B:B, "N/A")</f>
        <v>Limpopo</v>
      </c>
      <c r="H33" t="str">
        <f t="shared" si="0"/>
        <v>Mismatch</v>
      </c>
      <c r="I33">
        <v>47</v>
      </c>
      <c r="J33" t="s">
        <v>23</v>
      </c>
      <c r="K33" t="s">
        <v>60</v>
      </c>
      <c r="L33" s="9">
        <v>46130</v>
      </c>
    </row>
    <row r="34" spans="1:12">
      <c r="A34" t="s">
        <v>163</v>
      </c>
      <c r="B34" t="s">
        <v>164</v>
      </c>
      <c r="C34" t="s">
        <v>165</v>
      </c>
      <c r="D34" t="s">
        <v>166</v>
      </c>
      <c r="E34" t="s">
        <v>32</v>
      </c>
      <c r="F34" t="s">
        <v>54</v>
      </c>
      <c r="G34" t="str">
        <f>_xlfn.XLOOKUP(E34,lookup_table!A:A,lookup_table!B:B, "N/A")</f>
        <v>KwaZulu-Natal</v>
      </c>
      <c r="H34" t="str">
        <f t="shared" si="0"/>
        <v>Mismatch</v>
      </c>
      <c r="I34">
        <v>48</v>
      </c>
      <c r="J34" t="s">
        <v>66</v>
      </c>
      <c r="K34" t="s">
        <v>84</v>
      </c>
      <c r="L34" s="9">
        <v>45554</v>
      </c>
    </row>
    <row r="35" spans="1:12">
      <c r="A35" t="s">
        <v>167</v>
      </c>
      <c r="B35" t="s">
        <v>168</v>
      </c>
      <c r="C35" t="s">
        <v>23</v>
      </c>
      <c r="D35" t="s">
        <v>169</v>
      </c>
      <c r="E35" t="s">
        <v>16</v>
      </c>
      <c r="F35" t="s">
        <v>25</v>
      </c>
      <c r="G35" t="str">
        <f>_xlfn.XLOOKUP(E35,lookup_table!A:A,lookup_table!B:B, "N/A")</f>
        <v>Gauteng</v>
      </c>
      <c r="H35" t="str">
        <f t="shared" si="0"/>
        <v>Mismatch</v>
      </c>
      <c r="I35">
        <v>33</v>
      </c>
      <c r="J35" t="s">
        <v>26</v>
      </c>
      <c r="K35" t="s">
        <v>106</v>
      </c>
      <c r="L35" s="9">
        <v>45553</v>
      </c>
    </row>
    <row r="36" spans="1:12">
      <c r="A36" t="s">
        <v>170</v>
      </c>
      <c r="B36" t="s">
        <v>171</v>
      </c>
      <c r="C36" t="s">
        <v>172</v>
      </c>
      <c r="D36" t="s">
        <v>173</v>
      </c>
      <c r="E36" t="s">
        <v>16</v>
      </c>
      <c r="F36" t="s">
        <v>17</v>
      </c>
      <c r="G36" t="str">
        <f>_xlfn.XLOOKUP(E36,lookup_table!A:A,lookup_table!B:B, "N/A")</f>
        <v>Gauteng</v>
      </c>
      <c r="H36" t="str">
        <f t="shared" si="0"/>
        <v>Mismatch</v>
      </c>
      <c r="I36">
        <v>45</v>
      </c>
      <c r="J36" t="s">
        <v>120</v>
      </c>
      <c r="K36" t="s">
        <v>33</v>
      </c>
      <c r="L36" s="9">
        <v>45447</v>
      </c>
    </row>
    <row r="37" spans="1:12">
      <c r="A37" t="s">
        <v>174</v>
      </c>
      <c r="B37" t="s">
        <v>175</v>
      </c>
      <c r="C37" t="s">
        <v>176</v>
      </c>
      <c r="D37" t="s">
        <v>23</v>
      </c>
      <c r="E37" t="s">
        <v>24</v>
      </c>
      <c r="F37" t="s">
        <v>154</v>
      </c>
      <c r="G37" t="str">
        <f>_xlfn.XLOOKUP(E37,lookup_table!A:A,lookup_table!B:B, "N/A")</f>
        <v>Limpopo</v>
      </c>
      <c r="H37" t="str">
        <f t="shared" si="0"/>
        <v>Match</v>
      </c>
      <c r="I37">
        <v>42</v>
      </c>
      <c r="J37" t="s">
        <v>23</v>
      </c>
      <c r="K37" t="s">
        <v>60</v>
      </c>
      <c r="L37" s="9">
        <v>45989</v>
      </c>
    </row>
    <row r="38" spans="1:12">
      <c r="A38" t="s">
        <v>177</v>
      </c>
      <c r="B38" t="s">
        <v>178</v>
      </c>
      <c r="C38" t="s">
        <v>23</v>
      </c>
      <c r="D38" t="s">
        <v>179</v>
      </c>
      <c r="E38" t="s">
        <v>38</v>
      </c>
      <c r="F38" t="s">
        <v>180</v>
      </c>
      <c r="G38" t="str">
        <f>_xlfn.XLOOKUP(E38,lookup_table!A:A,lookup_table!B:B, "N/A")</f>
        <v>Western Cape</v>
      </c>
      <c r="H38" t="str">
        <f t="shared" si="0"/>
        <v>Mismatch</v>
      </c>
      <c r="I38">
        <v>45</v>
      </c>
      <c r="J38" t="s">
        <v>18</v>
      </c>
      <c r="K38" t="s">
        <v>33</v>
      </c>
      <c r="L38" s="9">
        <v>46157</v>
      </c>
    </row>
    <row r="39" spans="1:12">
      <c r="A39" t="s">
        <v>181</v>
      </c>
      <c r="B39" t="s">
        <v>182</v>
      </c>
      <c r="C39" t="s">
        <v>23</v>
      </c>
      <c r="D39" t="s">
        <v>183</v>
      </c>
      <c r="E39" t="s">
        <v>32</v>
      </c>
      <c r="F39" t="s">
        <v>89</v>
      </c>
      <c r="G39" t="str">
        <f>_xlfn.XLOOKUP(E39,lookup_table!A:A,lookup_table!B:B, "N/A")</f>
        <v>KwaZulu-Natal</v>
      </c>
      <c r="H39" t="str">
        <f t="shared" si="0"/>
        <v>Mismatch</v>
      </c>
      <c r="I39" t="s">
        <v>39</v>
      </c>
      <c r="J39" t="s">
        <v>120</v>
      </c>
      <c r="K39" t="s">
        <v>55</v>
      </c>
      <c r="L39" s="9">
        <v>45244</v>
      </c>
    </row>
    <row r="40" spans="1:12">
      <c r="A40" t="s">
        <v>184</v>
      </c>
      <c r="B40" t="s">
        <v>185</v>
      </c>
      <c r="C40" t="s">
        <v>186</v>
      </c>
      <c r="D40" t="s">
        <v>187</v>
      </c>
      <c r="E40" t="s">
        <v>38</v>
      </c>
      <c r="F40" t="s">
        <v>89</v>
      </c>
      <c r="G40" t="str">
        <f>_xlfn.XLOOKUP(E40,lookup_table!A:A,lookup_table!B:B, "N/A")</f>
        <v>Western Cape</v>
      </c>
      <c r="H40" t="str">
        <f t="shared" si="0"/>
        <v>Match</v>
      </c>
      <c r="I40">
        <v>30</v>
      </c>
      <c r="J40" t="s">
        <v>18</v>
      </c>
      <c r="K40" t="s">
        <v>33</v>
      </c>
      <c r="L40" s="9">
        <v>45521</v>
      </c>
    </row>
    <row r="41" spans="1:12">
      <c r="A41" t="s">
        <v>188</v>
      </c>
      <c r="B41" t="s">
        <v>189</v>
      </c>
      <c r="C41" t="s">
        <v>190</v>
      </c>
      <c r="D41" t="s">
        <v>191</v>
      </c>
      <c r="E41" t="s">
        <v>53</v>
      </c>
      <c r="F41" t="s">
        <v>17</v>
      </c>
      <c r="G41" t="str">
        <f>_xlfn.XLOOKUP(E41,lookup_table!A:A,lookup_table!B:B, "N/A")</f>
        <v>Mpumalanga</v>
      </c>
      <c r="H41" t="str">
        <f t="shared" si="0"/>
        <v>Mismatch</v>
      </c>
      <c r="I41">
        <v>32</v>
      </c>
      <c r="J41" t="s">
        <v>26</v>
      </c>
      <c r="K41" t="s">
        <v>33</v>
      </c>
      <c r="L41" s="9">
        <v>45316</v>
      </c>
    </row>
    <row r="42" spans="1:12">
      <c r="A42" t="s">
        <v>192</v>
      </c>
      <c r="B42" t="s">
        <v>193</v>
      </c>
      <c r="C42" t="s">
        <v>194</v>
      </c>
      <c r="D42" t="s">
        <v>195</v>
      </c>
      <c r="E42" t="s">
        <v>78</v>
      </c>
      <c r="F42" t="s">
        <v>180</v>
      </c>
      <c r="G42" t="str">
        <f>_xlfn.XLOOKUP(E42,lookup_table!A:A,lookup_table!B:B, "N/A")</f>
        <v>Northern Cape</v>
      </c>
      <c r="H42" t="str">
        <f t="shared" si="0"/>
        <v>Mismatch</v>
      </c>
      <c r="I42">
        <v>28</v>
      </c>
      <c r="J42" t="s">
        <v>26</v>
      </c>
      <c r="K42" t="s">
        <v>33</v>
      </c>
      <c r="L42" s="9">
        <v>45457</v>
      </c>
    </row>
    <row r="43" spans="1:12">
      <c r="A43" t="s">
        <v>196</v>
      </c>
      <c r="B43" t="s">
        <v>197</v>
      </c>
      <c r="C43" t="s">
        <v>198</v>
      </c>
      <c r="D43" t="s">
        <v>199</v>
      </c>
      <c r="E43" t="s">
        <v>70</v>
      </c>
      <c r="F43" t="s">
        <v>154</v>
      </c>
      <c r="G43" t="str">
        <f>_xlfn.XLOOKUP(E43,lookup_table!A:A,lookup_table!B:B, "N/A")</f>
        <v>Eastern Cape</v>
      </c>
      <c r="H43" t="str">
        <f t="shared" si="0"/>
        <v>Mismatch</v>
      </c>
      <c r="I43">
        <v>42</v>
      </c>
      <c r="J43" t="s">
        <v>23</v>
      </c>
      <c r="K43" t="s">
        <v>106</v>
      </c>
      <c r="L43" s="9">
        <v>45992</v>
      </c>
    </row>
    <row r="44" spans="1:12">
      <c r="A44" t="s">
        <v>200</v>
      </c>
      <c r="B44" t="s">
        <v>201</v>
      </c>
      <c r="C44" t="s">
        <v>23</v>
      </c>
      <c r="D44" t="s">
        <v>202</v>
      </c>
      <c r="E44" t="s">
        <v>16</v>
      </c>
      <c r="F44" t="s">
        <v>25</v>
      </c>
      <c r="G44" t="str">
        <f>_xlfn.XLOOKUP(E44,lookup_table!A:A,lookup_table!B:B, "N/A")</f>
        <v>Gauteng</v>
      </c>
      <c r="H44" t="str">
        <f t="shared" si="0"/>
        <v>Mismatch</v>
      </c>
      <c r="I44" t="s">
        <v>39</v>
      </c>
      <c r="J44" t="s">
        <v>26</v>
      </c>
      <c r="K44" t="s">
        <v>55</v>
      </c>
      <c r="L44" s="9">
        <v>45737</v>
      </c>
    </row>
    <row r="45" spans="1:12">
      <c r="A45" t="s">
        <v>203</v>
      </c>
      <c r="B45" t="s">
        <v>204</v>
      </c>
      <c r="C45" t="s">
        <v>23</v>
      </c>
      <c r="D45" t="s">
        <v>205</v>
      </c>
      <c r="E45" t="s">
        <v>16</v>
      </c>
      <c r="F45" t="s">
        <v>180</v>
      </c>
      <c r="G45" t="str">
        <f>_xlfn.XLOOKUP(E45,lookup_table!A:A,lookup_table!B:B, "N/A")</f>
        <v>Gauteng</v>
      </c>
      <c r="H45" t="str">
        <f t="shared" si="0"/>
        <v>Mismatch</v>
      </c>
      <c r="I45">
        <v>27</v>
      </c>
      <c r="J45" t="s">
        <v>26</v>
      </c>
      <c r="K45" t="s">
        <v>55</v>
      </c>
      <c r="L45" s="9">
        <v>45263</v>
      </c>
    </row>
    <row r="46" spans="1:12">
      <c r="A46" t="s">
        <v>206</v>
      </c>
      <c r="B46" t="s">
        <v>207</v>
      </c>
      <c r="C46" t="s">
        <v>208</v>
      </c>
      <c r="D46" t="s">
        <v>23</v>
      </c>
      <c r="E46" t="s">
        <v>38</v>
      </c>
      <c r="F46" t="s">
        <v>17</v>
      </c>
      <c r="G46" t="str">
        <f>_xlfn.XLOOKUP(E46,lookup_table!A:A,lookup_table!B:B, "N/A")</f>
        <v>Western Cape</v>
      </c>
      <c r="H46" t="str">
        <f t="shared" si="0"/>
        <v>Mismatch</v>
      </c>
      <c r="I46">
        <v>31</v>
      </c>
      <c r="J46" t="s">
        <v>18</v>
      </c>
      <c r="K46" t="s">
        <v>33</v>
      </c>
      <c r="L46" s="9">
        <v>45441</v>
      </c>
    </row>
    <row r="47" spans="1:12">
      <c r="A47" t="s">
        <v>209</v>
      </c>
      <c r="B47" t="s">
        <v>210</v>
      </c>
      <c r="C47" t="s">
        <v>211</v>
      </c>
      <c r="D47" t="s">
        <v>212</v>
      </c>
      <c r="E47" t="s">
        <v>24</v>
      </c>
      <c r="F47" t="s">
        <v>25</v>
      </c>
      <c r="G47" t="str">
        <f>_xlfn.XLOOKUP(E47,lookup_table!A:A,lookup_table!B:B, "N/A")</f>
        <v>Limpopo</v>
      </c>
      <c r="H47" t="str">
        <f t="shared" si="0"/>
        <v>Mismatch</v>
      </c>
      <c r="I47" t="s">
        <v>39</v>
      </c>
      <c r="J47" t="s">
        <v>26</v>
      </c>
      <c r="K47" t="s">
        <v>55</v>
      </c>
      <c r="L47" s="9">
        <v>45344</v>
      </c>
    </row>
    <row r="48" spans="1:12">
      <c r="A48" t="s">
        <v>213</v>
      </c>
      <c r="B48" t="s">
        <v>214</v>
      </c>
      <c r="C48" t="s">
        <v>215</v>
      </c>
      <c r="D48" t="s">
        <v>216</v>
      </c>
      <c r="E48" t="s">
        <v>149</v>
      </c>
      <c r="F48" t="s">
        <v>54</v>
      </c>
      <c r="G48" t="str">
        <f>_xlfn.XLOOKUP(E48,lookup_table!A:A,lookup_table!B:B, "N/A")</f>
        <v>Free State</v>
      </c>
      <c r="H48" t="str">
        <f t="shared" si="0"/>
        <v>Mismatch</v>
      </c>
      <c r="I48" t="s">
        <v>39</v>
      </c>
      <c r="J48" t="s">
        <v>26</v>
      </c>
      <c r="K48" t="s">
        <v>43</v>
      </c>
      <c r="L48" s="9">
        <v>46079</v>
      </c>
    </row>
    <row r="49" spans="1:12">
      <c r="A49" t="s">
        <v>217</v>
      </c>
      <c r="B49" t="s">
        <v>218</v>
      </c>
      <c r="C49" t="s">
        <v>219</v>
      </c>
      <c r="D49" t="s">
        <v>220</v>
      </c>
      <c r="E49" t="s">
        <v>94</v>
      </c>
      <c r="G49" t="str">
        <f>_xlfn.XLOOKUP(E49,lookup_table!A:A,lookup_table!B:B, "N/A")</f>
        <v>Eastern Cape</v>
      </c>
      <c r="H49" t="str">
        <f t="shared" si="0"/>
        <v>Mismatch</v>
      </c>
      <c r="I49" t="s">
        <v>39</v>
      </c>
      <c r="J49" t="s">
        <v>23</v>
      </c>
      <c r="K49" t="s">
        <v>33</v>
      </c>
      <c r="L49" s="9">
        <v>45395</v>
      </c>
    </row>
    <row r="50" spans="1:12">
      <c r="A50" t="s">
        <v>221</v>
      </c>
      <c r="B50" t="s">
        <v>222</v>
      </c>
      <c r="C50" t="s">
        <v>223</v>
      </c>
      <c r="D50" t="s">
        <v>23</v>
      </c>
      <c r="E50" t="s">
        <v>94</v>
      </c>
      <c r="F50" t="s">
        <v>79</v>
      </c>
      <c r="G50" t="str">
        <f>_xlfn.XLOOKUP(E50,lookup_table!A:A,lookup_table!B:B, "N/A")</f>
        <v>Eastern Cape</v>
      </c>
      <c r="H50" t="str">
        <f t="shared" si="0"/>
        <v>Mismatch</v>
      </c>
      <c r="I50">
        <v>27</v>
      </c>
      <c r="J50" t="s">
        <v>26</v>
      </c>
      <c r="K50" t="s">
        <v>33</v>
      </c>
      <c r="L50" s="9">
        <v>45460</v>
      </c>
    </row>
    <row r="51" spans="1:12">
      <c r="A51" t="s">
        <v>224</v>
      </c>
      <c r="B51" t="s">
        <v>225</v>
      </c>
      <c r="C51" t="s">
        <v>226</v>
      </c>
      <c r="D51" t="s">
        <v>227</v>
      </c>
      <c r="E51" t="s">
        <v>32</v>
      </c>
      <c r="F51" t="s">
        <v>25</v>
      </c>
      <c r="G51" t="str">
        <f>_xlfn.XLOOKUP(E51,lookup_table!A:A,lookup_table!B:B, "N/A")</f>
        <v>KwaZulu-Natal</v>
      </c>
      <c r="H51" t="str">
        <f t="shared" si="0"/>
        <v>Mismatch</v>
      </c>
      <c r="I51">
        <v>23</v>
      </c>
      <c r="J51" t="s">
        <v>23</v>
      </c>
      <c r="K51" t="s">
        <v>55</v>
      </c>
      <c r="L51" s="9">
        <v>46093</v>
      </c>
    </row>
    <row r="52" spans="1:12">
      <c r="A52" t="s">
        <v>228</v>
      </c>
      <c r="B52" t="s">
        <v>229</v>
      </c>
      <c r="C52" t="s">
        <v>23</v>
      </c>
      <c r="D52" t="s">
        <v>230</v>
      </c>
      <c r="E52" t="s">
        <v>78</v>
      </c>
      <c r="F52" t="s">
        <v>65</v>
      </c>
      <c r="G52" t="str">
        <f>_xlfn.XLOOKUP(E52,lookup_table!A:A,lookup_table!B:B, "N/A")</f>
        <v>Northern Cape</v>
      </c>
      <c r="H52" t="str">
        <f t="shared" si="0"/>
        <v>Mismatch</v>
      </c>
      <c r="I52">
        <v>32</v>
      </c>
      <c r="J52" t="s">
        <v>18</v>
      </c>
      <c r="K52" t="s">
        <v>27</v>
      </c>
      <c r="L52" s="9">
        <v>44933</v>
      </c>
    </row>
    <row r="53" spans="1:12">
      <c r="A53" t="s">
        <v>231</v>
      </c>
      <c r="B53" t="s">
        <v>232</v>
      </c>
      <c r="C53" t="s">
        <v>23</v>
      </c>
      <c r="D53" t="s">
        <v>23</v>
      </c>
      <c r="E53" t="s">
        <v>53</v>
      </c>
      <c r="F53" t="s">
        <v>17</v>
      </c>
      <c r="G53" t="str">
        <f>_xlfn.XLOOKUP(E53,lookup_table!A:A,lookup_table!B:B, "N/A")</f>
        <v>Mpumalanga</v>
      </c>
      <c r="H53" t="str">
        <f t="shared" si="0"/>
        <v>Mismatch</v>
      </c>
      <c r="I53" t="s">
        <v>39</v>
      </c>
      <c r="J53" t="s">
        <v>18</v>
      </c>
      <c r="K53" t="s">
        <v>27</v>
      </c>
      <c r="L53" s="9">
        <v>45276</v>
      </c>
    </row>
    <row r="54" spans="1:12">
      <c r="A54" t="s">
        <v>233</v>
      </c>
      <c r="B54" t="s">
        <v>234</v>
      </c>
      <c r="C54" t="s">
        <v>235</v>
      </c>
      <c r="D54" t="s">
        <v>23</v>
      </c>
      <c r="E54" t="s">
        <v>111</v>
      </c>
      <c r="F54" t="s">
        <v>25</v>
      </c>
      <c r="G54" t="str">
        <f>_xlfn.XLOOKUP(E54,lookup_table!A:A,lookup_table!B:B, "N/A")</f>
        <v>Gauteng</v>
      </c>
      <c r="H54" t="str">
        <f t="shared" si="0"/>
        <v>Mismatch</v>
      </c>
      <c r="I54" t="s">
        <v>39</v>
      </c>
      <c r="J54" t="s">
        <v>26</v>
      </c>
      <c r="K54" t="s">
        <v>27</v>
      </c>
      <c r="L54" s="9">
        <v>45193</v>
      </c>
    </row>
    <row r="55" spans="1:12">
      <c r="A55" t="s">
        <v>236</v>
      </c>
      <c r="B55" t="s">
        <v>237</v>
      </c>
      <c r="C55" t="s">
        <v>238</v>
      </c>
      <c r="D55" t="s">
        <v>23</v>
      </c>
      <c r="E55" t="s">
        <v>70</v>
      </c>
      <c r="F55" t="s">
        <v>65</v>
      </c>
      <c r="G55" t="str">
        <f>_xlfn.XLOOKUP(E55,lookup_table!A:A,lookup_table!B:B, "N/A")</f>
        <v>Eastern Cape</v>
      </c>
      <c r="H55" t="str">
        <f t="shared" si="0"/>
        <v>Mismatch</v>
      </c>
      <c r="I55">
        <v>43</v>
      </c>
      <c r="J55" t="s">
        <v>18</v>
      </c>
      <c r="K55" t="s">
        <v>23</v>
      </c>
      <c r="L55" s="9">
        <v>45736</v>
      </c>
    </row>
    <row r="56" spans="1:12">
      <c r="A56" t="s">
        <v>239</v>
      </c>
      <c r="B56" t="s">
        <v>240</v>
      </c>
      <c r="C56" t="s">
        <v>241</v>
      </c>
      <c r="D56" t="s">
        <v>23</v>
      </c>
      <c r="E56" t="s">
        <v>38</v>
      </c>
      <c r="F56" t="s">
        <v>50</v>
      </c>
      <c r="G56" t="str">
        <f>_xlfn.XLOOKUP(E56,lookup_table!A:A,lookup_table!B:B, "N/A")</f>
        <v>Western Cape</v>
      </c>
      <c r="H56" t="str">
        <f t="shared" si="0"/>
        <v>Mismatch</v>
      </c>
      <c r="I56">
        <v>27</v>
      </c>
      <c r="J56" t="s">
        <v>26</v>
      </c>
      <c r="K56" t="s">
        <v>84</v>
      </c>
      <c r="L56" s="9">
        <v>45500</v>
      </c>
    </row>
    <row r="57" spans="1:12">
      <c r="A57" t="s">
        <v>242</v>
      </c>
      <c r="B57" t="s">
        <v>243</v>
      </c>
      <c r="C57" t="s">
        <v>244</v>
      </c>
      <c r="D57" t="s">
        <v>245</v>
      </c>
      <c r="E57" t="s">
        <v>149</v>
      </c>
      <c r="F57" t="s">
        <v>65</v>
      </c>
      <c r="G57" t="str">
        <f>_xlfn.XLOOKUP(E57,lookup_table!A:A,lookup_table!B:B, "N/A")</f>
        <v>Free State</v>
      </c>
      <c r="H57" t="str">
        <f t="shared" si="0"/>
        <v>Mismatch</v>
      </c>
      <c r="I57">
        <v>34</v>
      </c>
      <c r="J57" t="s">
        <v>23</v>
      </c>
      <c r="K57" t="s">
        <v>33</v>
      </c>
      <c r="L57" s="9">
        <v>45784</v>
      </c>
    </row>
    <row r="58" spans="1:12">
      <c r="A58" t="s">
        <v>246</v>
      </c>
      <c r="B58" t="s">
        <v>247</v>
      </c>
      <c r="C58" t="s">
        <v>248</v>
      </c>
      <c r="D58" t="s">
        <v>249</v>
      </c>
      <c r="E58" t="s">
        <v>149</v>
      </c>
      <c r="F58" t="s">
        <v>180</v>
      </c>
      <c r="G58" t="str">
        <f>_xlfn.XLOOKUP(E58,lookup_table!A:A,lookup_table!B:B, "N/A")</f>
        <v>Free State</v>
      </c>
      <c r="H58" t="str">
        <f t="shared" si="0"/>
        <v>Mismatch</v>
      </c>
      <c r="I58" t="s">
        <v>39</v>
      </c>
      <c r="J58" t="s">
        <v>23</v>
      </c>
      <c r="K58" t="s">
        <v>60</v>
      </c>
      <c r="L58" s="9">
        <v>45262</v>
      </c>
    </row>
    <row r="59" spans="1:12">
      <c r="A59" t="s">
        <v>250</v>
      </c>
      <c r="B59" t="s">
        <v>251</v>
      </c>
      <c r="C59" t="s">
        <v>252</v>
      </c>
      <c r="D59" t="s">
        <v>23</v>
      </c>
      <c r="E59" t="s">
        <v>32</v>
      </c>
      <c r="F59" t="s">
        <v>79</v>
      </c>
      <c r="G59" t="str">
        <f>_xlfn.XLOOKUP(E59,lookup_table!A:A,lookup_table!B:B, "N/A")</f>
        <v>KwaZulu-Natal</v>
      </c>
      <c r="H59" t="str">
        <f t="shared" si="0"/>
        <v>Mismatch</v>
      </c>
      <c r="I59">
        <v>17</v>
      </c>
      <c r="J59" t="s">
        <v>18</v>
      </c>
      <c r="K59" t="s">
        <v>19</v>
      </c>
      <c r="L59" s="9">
        <v>45553</v>
      </c>
    </row>
    <row r="60" spans="1:12">
      <c r="A60" t="s">
        <v>253</v>
      </c>
      <c r="B60" t="s">
        <v>254</v>
      </c>
      <c r="C60" t="s">
        <v>23</v>
      </c>
      <c r="D60" t="s">
        <v>255</v>
      </c>
      <c r="E60" t="s">
        <v>111</v>
      </c>
      <c r="F60" t="s">
        <v>65</v>
      </c>
      <c r="G60" t="str">
        <f>_xlfn.XLOOKUP(E60,lookup_table!A:A,lookup_table!B:B, "N/A")</f>
        <v>Gauteng</v>
      </c>
      <c r="H60" t="str">
        <f t="shared" si="0"/>
        <v>Match</v>
      </c>
      <c r="I60" t="s">
        <v>39</v>
      </c>
      <c r="J60" t="s">
        <v>23</v>
      </c>
      <c r="K60" t="s">
        <v>43</v>
      </c>
      <c r="L60" s="9">
        <v>45865</v>
      </c>
    </row>
    <row r="61" spans="1:12">
      <c r="A61" t="s">
        <v>256</v>
      </c>
      <c r="B61" t="s">
        <v>257</v>
      </c>
      <c r="C61" t="s">
        <v>23</v>
      </c>
      <c r="D61" t="s">
        <v>23</v>
      </c>
      <c r="E61" t="s">
        <v>32</v>
      </c>
      <c r="F61" t="s">
        <v>54</v>
      </c>
      <c r="G61" t="str">
        <f>_xlfn.XLOOKUP(E61,lookup_table!A:A,lookup_table!B:B, "N/A")</f>
        <v>KwaZulu-Natal</v>
      </c>
      <c r="H61" t="str">
        <f t="shared" si="0"/>
        <v>Mismatch</v>
      </c>
      <c r="I61" t="s">
        <v>39</v>
      </c>
      <c r="J61" t="s">
        <v>18</v>
      </c>
      <c r="K61" t="s">
        <v>55</v>
      </c>
      <c r="L61" s="9">
        <v>45185</v>
      </c>
    </row>
    <row r="62" spans="1:12">
      <c r="A62" t="s">
        <v>258</v>
      </c>
      <c r="B62" t="s">
        <v>259</v>
      </c>
      <c r="C62" t="s">
        <v>260</v>
      </c>
      <c r="D62" t="s">
        <v>23</v>
      </c>
      <c r="E62" t="s">
        <v>78</v>
      </c>
      <c r="F62" t="s">
        <v>79</v>
      </c>
      <c r="G62" t="str">
        <f>_xlfn.XLOOKUP(E62,lookup_table!A:A,lookup_table!B:B, "N/A")</f>
        <v>Northern Cape</v>
      </c>
      <c r="H62" t="str">
        <f t="shared" si="0"/>
        <v>Match</v>
      </c>
      <c r="I62">
        <v>37</v>
      </c>
      <c r="J62" t="s">
        <v>18</v>
      </c>
      <c r="K62" t="s">
        <v>43</v>
      </c>
      <c r="L62" s="9">
        <v>45562</v>
      </c>
    </row>
    <row r="63" spans="1:12">
      <c r="A63" t="s">
        <v>261</v>
      </c>
      <c r="B63" t="s">
        <v>262</v>
      </c>
      <c r="C63" t="s">
        <v>23</v>
      </c>
      <c r="D63" t="s">
        <v>263</v>
      </c>
      <c r="E63" t="s">
        <v>32</v>
      </c>
      <c r="F63" t="s">
        <v>89</v>
      </c>
      <c r="G63" t="str">
        <f>_xlfn.XLOOKUP(E63,lookup_table!A:A,lookup_table!B:B, "N/A")</f>
        <v>KwaZulu-Natal</v>
      </c>
      <c r="H63" t="str">
        <f t="shared" si="0"/>
        <v>Mismatch</v>
      </c>
      <c r="I63">
        <v>25</v>
      </c>
      <c r="J63" t="s">
        <v>26</v>
      </c>
      <c r="K63" t="s">
        <v>33</v>
      </c>
      <c r="L63" s="9">
        <v>45323</v>
      </c>
    </row>
    <row r="64" spans="1:12">
      <c r="A64" t="s">
        <v>264</v>
      </c>
      <c r="B64" t="s">
        <v>265</v>
      </c>
      <c r="C64" t="s">
        <v>23</v>
      </c>
      <c r="D64" t="s">
        <v>266</v>
      </c>
      <c r="E64" t="s">
        <v>70</v>
      </c>
      <c r="F64" t="s">
        <v>89</v>
      </c>
      <c r="G64" t="str">
        <f>_xlfn.XLOOKUP(E64,lookup_table!A:A,lookup_table!B:B, "N/A")</f>
        <v>Eastern Cape</v>
      </c>
      <c r="H64" t="str">
        <f t="shared" si="0"/>
        <v>Mismatch</v>
      </c>
      <c r="I64" t="s">
        <v>39</v>
      </c>
      <c r="J64" t="s">
        <v>26</v>
      </c>
      <c r="K64" t="s">
        <v>60</v>
      </c>
      <c r="L64" s="9">
        <v>45251</v>
      </c>
    </row>
    <row r="65" spans="1:12">
      <c r="A65" t="s">
        <v>267</v>
      </c>
      <c r="B65" t="s">
        <v>268</v>
      </c>
      <c r="C65" t="s">
        <v>23</v>
      </c>
      <c r="D65" t="s">
        <v>269</v>
      </c>
      <c r="E65" t="s">
        <v>38</v>
      </c>
      <c r="F65" t="s">
        <v>79</v>
      </c>
      <c r="G65" t="str">
        <f>_xlfn.XLOOKUP(E65,lookup_table!A:A,lookup_table!B:B, "N/A")</f>
        <v>Western Cape</v>
      </c>
      <c r="H65" t="str">
        <f t="shared" si="0"/>
        <v>Mismatch</v>
      </c>
      <c r="I65">
        <v>20</v>
      </c>
      <c r="J65" t="s">
        <v>26</v>
      </c>
      <c r="K65" t="s">
        <v>23</v>
      </c>
      <c r="L65" s="9">
        <v>45399</v>
      </c>
    </row>
    <row r="66" spans="1:12">
      <c r="A66" t="s">
        <v>270</v>
      </c>
      <c r="B66" t="s">
        <v>271</v>
      </c>
      <c r="C66" t="s">
        <v>272</v>
      </c>
      <c r="D66" t="s">
        <v>273</v>
      </c>
      <c r="E66" t="s">
        <v>32</v>
      </c>
      <c r="F66" t="s">
        <v>89</v>
      </c>
      <c r="G66" t="str">
        <f>_xlfn.XLOOKUP(E66,lookup_table!A:A,lookup_table!B:B, "N/A")</f>
        <v>KwaZulu-Natal</v>
      </c>
      <c r="H66" t="str">
        <f t="shared" si="0"/>
        <v>Mismatch</v>
      </c>
      <c r="I66">
        <v>39</v>
      </c>
      <c r="J66" t="s">
        <v>66</v>
      </c>
      <c r="K66" t="s">
        <v>106</v>
      </c>
      <c r="L66" s="9">
        <v>45299</v>
      </c>
    </row>
    <row r="67" spans="1:12">
      <c r="A67" t="s">
        <v>274</v>
      </c>
      <c r="B67" t="s">
        <v>275</v>
      </c>
      <c r="C67" t="s">
        <v>276</v>
      </c>
      <c r="D67" t="s">
        <v>23</v>
      </c>
      <c r="E67" t="s">
        <v>32</v>
      </c>
      <c r="F67" t="s">
        <v>17</v>
      </c>
      <c r="G67" t="str">
        <f>_xlfn.XLOOKUP(E67,lookup_table!A:A,lookup_table!B:B, "N/A")</f>
        <v>KwaZulu-Natal</v>
      </c>
      <c r="H67" t="str">
        <f t="shared" ref="H67:H130" si="1">IF(F67=G67, "Match", "Mismatch")</f>
        <v>Mismatch</v>
      </c>
      <c r="I67">
        <v>32</v>
      </c>
      <c r="J67" t="s">
        <v>23</v>
      </c>
      <c r="K67" t="s">
        <v>55</v>
      </c>
      <c r="L67" s="9">
        <v>45364</v>
      </c>
    </row>
    <row r="68" spans="1:12">
      <c r="A68" t="s">
        <v>277</v>
      </c>
      <c r="B68" t="s">
        <v>278</v>
      </c>
      <c r="C68" t="s">
        <v>279</v>
      </c>
      <c r="D68" t="s">
        <v>280</v>
      </c>
      <c r="E68" t="s">
        <v>149</v>
      </c>
      <c r="F68" t="s">
        <v>25</v>
      </c>
      <c r="G68" t="str">
        <f>_xlfn.XLOOKUP(E68,lookup_table!A:A,lookup_table!B:B, "N/A")</f>
        <v>Free State</v>
      </c>
      <c r="H68" t="str">
        <f t="shared" si="1"/>
        <v>Match</v>
      </c>
      <c r="I68">
        <v>28</v>
      </c>
      <c r="J68" t="s">
        <v>120</v>
      </c>
      <c r="K68" t="s">
        <v>33</v>
      </c>
      <c r="L68" s="9">
        <v>46055</v>
      </c>
    </row>
    <row r="69" spans="1:12">
      <c r="A69" t="s">
        <v>281</v>
      </c>
      <c r="B69" t="s">
        <v>282</v>
      </c>
      <c r="C69" t="s">
        <v>283</v>
      </c>
      <c r="D69" t="s">
        <v>23</v>
      </c>
      <c r="E69" t="s">
        <v>94</v>
      </c>
      <c r="F69" t="s">
        <v>25</v>
      </c>
      <c r="G69" t="str">
        <f>_xlfn.XLOOKUP(E69,lookup_table!A:A,lookup_table!B:B, "N/A")</f>
        <v>Eastern Cape</v>
      </c>
      <c r="H69" t="str">
        <f t="shared" si="1"/>
        <v>Mismatch</v>
      </c>
      <c r="I69">
        <v>41</v>
      </c>
      <c r="J69" t="s">
        <v>26</v>
      </c>
      <c r="K69" t="s">
        <v>43</v>
      </c>
      <c r="L69" s="9">
        <v>45860</v>
      </c>
    </row>
    <row r="70" spans="1:12">
      <c r="A70" t="s">
        <v>284</v>
      </c>
      <c r="B70" t="s">
        <v>285</v>
      </c>
      <c r="C70" t="s">
        <v>286</v>
      </c>
      <c r="D70" t="s">
        <v>287</v>
      </c>
      <c r="E70" t="s">
        <v>38</v>
      </c>
      <c r="F70" t="s">
        <v>25</v>
      </c>
      <c r="G70" t="str">
        <f>_xlfn.XLOOKUP(E70,lookup_table!A:A,lookup_table!B:B, "N/A")</f>
        <v>Western Cape</v>
      </c>
      <c r="H70" t="str">
        <f t="shared" si="1"/>
        <v>Mismatch</v>
      </c>
      <c r="I70">
        <v>22</v>
      </c>
      <c r="J70" t="s">
        <v>26</v>
      </c>
      <c r="K70" t="s">
        <v>55</v>
      </c>
      <c r="L70" s="9">
        <v>46358</v>
      </c>
    </row>
    <row r="71" spans="1:12">
      <c r="A71" t="s">
        <v>288</v>
      </c>
      <c r="B71" t="s">
        <v>289</v>
      </c>
      <c r="C71" t="s">
        <v>290</v>
      </c>
      <c r="D71" t="s">
        <v>291</v>
      </c>
      <c r="E71" t="s">
        <v>32</v>
      </c>
      <c r="F71" t="s">
        <v>54</v>
      </c>
      <c r="G71" t="str">
        <f>_xlfn.XLOOKUP(E71,lookup_table!A:A,lookup_table!B:B, "N/A")</f>
        <v>KwaZulu-Natal</v>
      </c>
      <c r="H71" t="str">
        <f t="shared" si="1"/>
        <v>Mismatch</v>
      </c>
      <c r="I71" t="s">
        <v>39</v>
      </c>
      <c r="J71" t="s">
        <v>26</v>
      </c>
      <c r="K71" t="s">
        <v>60</v>
      </c>
      <c r="L71" s="9">
        <v>45704</v>
      </c>
    </row>
    <row r="72" spans="1:12">
      <c r="A72" t="s">
        <v>292</v>
      </c>
      <c r="B72" t="s">
        <v>293</v>
      </c>
      <c r="C72" t="s">
        <v>294</v>
      </c>
      <c r="D72" t="s">
        <v>295</v>
      </c>
      <c r="E72" t="s">
        <v>16</v>
      </c>
      <c r="F72" t="s">
        <v>17</v>
      </c>
      <c r="G72" t="str">
        <f>_xlfn.XLOOKUP(E72,lookup_table!A:A,lookup_table!B:B, "N/A")</f>
        <v>Gauteng</v>
      </c>
      <c r="H72" t="str">
        <f t="shared" si="1"/>
        <v>Mismatch</v>
      </c>
      <c r="I72">
        <v>51</v>
      </c>
      <c r="J72" t="s">
        <v>26</v>
      </c>
      <c r="K72" t="s">
        <v>23</v>
      </c>
      <c r="L72" s="9">
        <v>46157</v>
      </c>
    </row>
    <row r="73" spans="1:12">
      <c r="A73" t="s">
        <v>296</v>
      </c>
      <c r="B73" t="s">
        <v>297</v>
      </c>
      <c r="C73" t="s">
        <v>298</v>
      </c>
      <c r="D73" t="s">
        <v>23</v>
      </c>
      <c r="E73" t="s">
        <v>24</v>
      </c>
      <c r="F73" t="s">
        <v>154</v>
      </c>
      <c r="G73" t="str">
        <f>_xlfn.XLOOKUP(E73,lookup_table!A:A,lookup_table!B:B, "N/A")</f>
        <v>Limpopo</v>
      </c>
      <c r="H73" t="str">
        <f t="shared" si="1"/>
        <v>Match</v>
      </c>
      <c r="I73" t="s">
        <v>39</v>
      </c>
      <c r="J73" t="s">
        <v>26</v>
      </c>
      <c r="K73" t="s">
        <v>23</v>
      </c>
      <c r="L73" s="9">
        <v>46133</v>
      </c>
    </row>
    <row r="74" spans="1:12">
      <c r="A74" t="s">
        <v>299</v>
      </c>
      <c r="B74" t="s">
        <v>300</v>
      </c>
      <c r="C74" t="s">
        <v>23</v>
      </c>
      <c r="D74" t="s">
        <v>301</v>
      </c>
      <c r="E74" t="s">
        <v>38</v>
      </c>
      <c r="F74" t="s">
        <v>50</v>
      </c>
      <c r="G74" t="str">
        <f>_xlfn.XLOOKUP(E74,lookup_table!A:A,lookup_table!B:B, "N/A")</f>
        <v>Western Cape</v>
      </c>
      <c r="H74" t="str">
        <f t="shared" si="1"/>
        <v>Mismatch</v>
      </c>
      <c r="I74">
        <v>18</v>
      </c>
      <c r="J74" t="s">
        <v>120</v>
      </c>
      <c r="K74" t="s">
        <v>84</v>
      </c>
      <c r="L74" s="9">
        <v>45796</v>
      </c>
    </row>
    <row r="75" spans="1:12">
      <c r="A75" t="s">
        <v>302</v>
      </c>
      <c r="B75" t="s">
        <v>303</v>
      </c>
      <c r="C75" t="s">
        <v>304</v>
      </c>
      <c r="D75" t="s">
        <v>23</v>
      </c>
      <c r="E75" t="s">
        <v>24</v>
      </c>
      <c r="F75" t="s">
        <v>50</v>
      </c>
      <c r="G75" t="str">
        <f>_xlfn.XLOOKUP(E75,lookup_table!A:A,lookup_table!B:B, "N/A")</f>
        <v>Limpopo</v>
      </c>
      <c r="H75" t="str">
        <f t="shared" si="1"/>
        <v>Mismatch</v>
      </c>
      <c r="I75">
        <v>22</v>
      </c>
      <c r="J75" t="s">
        <v>23</v>
      </c>
      <c r="K75" t="s">
        <v>43</v>
      </c>
      <c r="L75" s="9">
        <v>45648</v>
      </c>
    </row>
    <row r="76" spans="1:12">
      <c r="A76" t="s">
        <v>305</v>
      </c>
      <c r="B76" t="s">
        <v>306</v>
      </c>
      <c r="C76" t="s">
        <v>307</v>
      </c>
      <c r="D76" t="s">
        <v>308</v>
      </c>
      <c r="E76" t="s">
        <v>38</v>
      </c>
      <c r="F76" t="s">
        <v>154</v>
      </c>
      <c r="G76" t="str">
        <f>_xlfn.XLOOKUP(E76,lookup_table!A:A,lookup_table!B:B, "N/A")</f>
        <v>Western Cape</v>
      </c>
      <c r="H76" t="str">
        <f t="shared" si="1"/>
        <v>Mismatch</v>
      </c>
      <c r="I76">
        <v>23</v>
      </c>
      <c r="J76" t="s">
        <v>18</v>
      </c>
      <c r="K76" t="s">
        <v>60</v>
      </c>
      <c r="L76" s="9">
        <v>45184</v>
      </c>
    </row>
    <row r="77" spans="1:12">
      <c r="A77" t="s">
        <v>309</v>
      </c>
      <c r="B77" t="s">
        <v>310</v>
      </c>
      <c r="C77" t="s">
        <v>311</v>
      </c>
      <c r="D77" t="s">
        <v>312</v>
      </c>
      <c r="E77" t="s">
        <v>32</v>
      </c>
      <c r="F77" t="s">
        <v>17</v>
      </c>
      <c r="G77" t="str">
        <f>_xlfn.XLOOKUP(E77,lookup_table!A:A,lookup_table!B:B, "N/A")</f>
        <v>KwaZulu-Natal</v>
      </c>
      <c r="H77" t="str">
        <f t="shared" si="1"/>
        <v>Mismatch</v>
      </c>
      <c r="I77" t="s">
        <v>39</v>
      </c>
      <c r="J77" t="s">
        <v>18</v>
      </c>
      <c r="K77" t="s">
        <v>55</v>
      </c>
      <c r="L77" s="9">
        <v>45159</v>
      </c>
    </row>
    <row r="78" spans="1:12">
      <c r="A78" t="s">
        <v>313</v>
      </c>
      <c r="B78" t="s">
        <v>314</v>
      </c>
      <c r="C78" t="s">
        <v>315</v>
      </c>
      <c r="D78" t="s">
        <v>23</v>
      </c>
      <c r="E78" t="s">
        <v>94</v>
      </c>
      <c r="F78" t="s">
        <v>65</v>
      </c>
      <c r="G78" t="str">
        <f>_xlfn.XLOOKUP(E78,lookup_table!A:A,lookup_table!B:B, "N/A")</f>
        <v>Eastern Cape</v>
      </c>
      <c r="H78" t="str">
        <f t="shared" si="1"/>
        <v>Mismatch</v>
      </c>
      <c r="I78" t="s">
        <v>39</v>
      </c>
      <c r="J78" t="s">
        <v>66</v>
      </c>
      <c r="K78" t="s">
        <v>27</v>
      </c>
      <c r="L78" s="9">
        <v>45395</v>
      </c>
    </row>
    <row r="79" spans="1:12">
      <c r="A79" t="s">
        <v>316</v>
      </c>
      <c r="B79" t="s">
        <v>317</v>
      </c>
      <c r="C79" t="s">
        <v>318</v>
      </c>
      <c r="D79" t="s">
        <v>319</v>
      </c>
      <c r="E79" t="s">
        <v>53</v>
      </c>
      <c r="F79" t="s">
        <v>154</v>
      </c>
      <c r="G79" t="str">
        <f>_xlfn.XLOOKUP(E79,lookup_table!A:A,lookup_table!B:B, "N/A")</f>
        <v>Mpumalanga</v>
      </c>
      <c r="H79" t="str">
        <f t="shared" si="1"/>
        <v>Mismatch</v>
      </c>
      <c r="I79">
        <v>44</v>
      </c>
      <c r="J79" t="s">
        <v>26</v>
      </c>
      <c r="K79" t="s">
        <v>84</v>
      </c>
      <c r="L79" s="9">
        <v>45276</v>
      </c>
    </row>
    <row r="80" spans="1:12">
      <c r="A80" t="s">
        <v>320</v>
      </c>
      <c r="B80" t="s">
        <v>321</v>
      </c>
      <c r="C80" t="s">
        <v>322</v>
      </c>
      <c r="D80" t="s">
        <v>323</v>
      </c>
      <c r="E80" t="s">
        <v>53</v>
      </c>
      <c r="F80" t="s">
        <v>180</v>
      </c>
      <c r="G80" t="str">
        <f>_xlfn.XLOOKUP(E80,lookup_table!A:A,lookup_table!B:B, "N/A")</f>
        <v>Mpumalanga</v>
      </c>
      <c r="H80" t="str">
        <f t="shared" si="1"/>
        <v>Match</v>
      </c>
      <c r="I80" t="s">
        <v>39</v>
      </c>
      <c r="J80" t="s">
        <v>26</v>
      </c>
      <c r="K80" t="s">
        <v>33</v>
      </c>
      <c r="L80" s="9">
        <v>46017</v>
      </c>
    </row>
    <row r="81" spans="1:12">
      <c r="A81" t="s">
        <v>324</v>
      </c>
      <c r="B81" t="s">
        <v>325</v>
      </c>
      <c r="C81" t="s">
        <v>326</v>
      </c>
      <c r="D81" t="s">
        <v>327</v>
      </c>
      <c r="E81" t="s">
        <v>78</v>
      </c>
      <c r="F81" t="s">
        <v>79</v>
      </c>
      <c r="G81" t="str">
        <f>_xlfn.XLOOKUP(E81,lookup_table!A:A,lookup_table!B:B, "N/A")</f>
        <v>Northern Cape</v>
      </c>
      <c r="H81" t="str">
        <f t="shared" si="1"/>
        <v>Match</v>
      </c>
      <c r="I81">
        <v>23</v>
      </c>
      <c r="J81" t="s">
        <v>120</v>
      </c>
      <c r="K81" t="s">
        <v>60</v>
      </c>
      <c r="L81" s="9">
        <v>45571</v>
      </c>
    </row>
    <row r="82" spans="1:12">
      <c r="A82" t="s">
        <v>328</v>
      </c>
      <c r="B82" t="s">
        <v>329</v>
      </c>
      <c r="C82" t="s">
        <v>23</v>
      </c>
      <c r="D82" t="s">
        <v>330</v>
      </c>
      <c r="E82" t="s">
        <v>24</v>
      </c>
      <c r="F82" t="s">
        <v>154</v>
      </c>
      <c r="G82" t="str">
        <f>_xlfn.XLOOKUP(E82,lookup_table!A:A,lookup_table!B:B, "N/A")</f>
        <v>Limpopo</v>
      </c>
      <c r="H82" t="str">
        <f t="shared" si="1"/>
        <v>Match</v>
      </c>
      <c r="I82">
        <v>25</v>
      </c>
      <c r="J82" t="s">
        <v>26</v>
      </c>
      <c r="K82" t="s">
        <v>27</v>
      </c>
      <c r="L82" s="9">
        <v>45214</v>
      </c>
    </row>
    <row r="83" spans="1:12">
      <c r="A83" t="s">
        <v>331</v>
      </c>
      <c r="B83" t="s">
        <v>332</v>
      </c>
      <c r="C83" t="s">
        <v>333</v>
      </c>
      <c r="D83" t="s">
        <v>334</v>
      </c>
      <c r="E83" t="s">
        <v>16</v>
      </c>
      <c r="F83" t="s">
        <v>89</v>
      </c>
      <c r="G83" t="str">
        <f>_xlfn.XLOOKUP(E83,lookup_table!A:A,lookup_table!B:B, "N/A")</f>
        <v>Gauteng</v>
      </c>
      <c r="H83" t="str">
        <f t="shared" si="1"/>
        <v>Mismatch</v>
      </c>
      <c r="I83">
        <v>23</v>
      </c>
      <c r="J83" t="s">
        <v>26</v>
      </c>
      <c r="K83" t="s">
        <v>33</v>
      </c>
      <c r="L83" s="9">
        <v>45545</v>
      </c>
    </row>
    <row r="84" spans="1:12">
      <c r="A84" t="s">
        <v>335</v>
      </c>
      <c r="B84" t="s">
        <v>336</v>
      </c>
      <c r="C84" t="s">
        <v>337</v>
      </c>
      <c r="D84" t="s">
        <v>338</v>
      </c>
      <c r="E84" t="s">
        <v>111</v>
      </c>
      <c r="F84" t="s">
        <v>154</v>
      </c>
      <c r="G84" t="str">
        <f>_xlfn.XLOOKUP(E84,lookup_table!A:A,lookup_table!B:B, "N/A")</f>
        <v>Gauteng</v>
      </c>
      <c r="H84" t="str">
        <f t="shared" si="1"/>
        <v>Mismatch</v>
      </c>
      <c r="I84">
        <v>23</v>
      </c>
      <c r="J84" t="s">
        <v>26</v>
      </c>
      <c r="K84" t="s">
        <v>60</v>
      </c>
      <c r="L84" s="9">
        <v>45892</v>
      </c>
    </row>
    <row r="85" spans="1:12">
      <c r="A85" t="s">
        <v>339</v>
      </c>
      <c r="B85" t="s">
        <v>340</v>
      </c>
      <c r="C85" t="s">
        <v>341</v>
      </c>
      <c r="D85" t="s">
        <v>342</v>
      </c>
      <c r="E85" t="s">
        <v>149</v>
      </c>
      <c r="F85" t="s">
        <v>50</v>
      </c>
      <c r="G85" t="str">
        <f>_xlfn.XLOOKUP(E85,lookup_table!A:A,lookup_table!B:B, "N/A")</f>
        <v>Free State</v>
      </c>
      <c r="H85" t="str">
        <f t="shared" si="1"/>
        <v>Mismatch</v>
      </c>
      <c r="I85">
        <v>52</v>
      </c>
      <c r="J85" t="s">
        <v>120</v>
      </c>
      <c r="K85" t="s">
        <v>84</v>
      </c>
      <c r="L85" s="9">
        <v>45545</v>
      </c>
    </row>
    <row r="86" spans="1:12">
      <c r="A86" t="s">
        <v>343</v>
      </c>
      <c r="B86" t="s">
        <v>344</v>
      </c>
      <c r="C86" t="s">
        <v>345</v>
      </c>
      <c r="D86" t="s">
        <v>346</v>
      </c>
      <c r="E86" t="s">
        <v>149</v>
      </c>
      <c r="F86" t="s">
        <v>154</v>
      </c>
      <c r="G86" t="str">
        <f>_xlfn.XLOOKUP(E86,lookup_table!A:A,lookup_table!B:B, "N/A")</f>
        <v>Free State</v>
      </c>
      <c r="H86" t="str">
        <f t="shared" si="1"/>
        <v>Mismatch</v>
      </c>
      <c r="I86">
        <v>19</v>
      </c>
      <c r="J86" t="s">
        <v>120</v>
      </c>
      <c r="K86" t="s">
        <v>84</v>
      </c>
      <c r="L86" s="9">
        <v>45431</v>
      </c>
    </row>
    <row r="87" spans="1:12">
      <c r="A87" t="s">
        <v>347</v>
      </c>
      <c r="B87" t="s">
        <v>348</v>
      </c>
      <c r="C87" t="s">
        <v>23</v>
      </c>
      <c r="D87" t="s">
        <v>349</v>
      </c>
      <c r="E87" t="s">
        <v>94</v>
      </c>
      <c r="F87" t="s">
        <v>54</v>
      </c>
      <c r="G87" t="str">
        <f>_xlfn.XLOOKUP(E87,lookup_table!A:A,lookup_table!B:B, "N/A")</f>
        <v>Eastern Cape</v>
      </c>
      <c r="H87" t="str">
        <f t="shared" si="1"/>
        <v>Mismatch</v>
      </c>
      <c r="I87">
        <v>53</v>
      </c>
      <c r="J87" t="s">
        <v>18</v>
      </c>
      <c r="K87" t="s">
        <v>27</v>
      </c>
      <c r="L87" s="9">
        <v>45622</v>
      </c>
    </row>
    <row r="88" spans="1:12">
      <c r="A88" t="s">
        <v>350</v>
      </c>
      <c r="B88" t="s">
        <v>351</v>
      </c>
      <c r="C88" t="s">
        <v>352</v>
      </c>
      <c r="D88" t="s">
        <v>353</v>
      </c>
      <c r="E88" t="s">
        <v>111</v>
      </c>
      <c r="F88" t="s">
        <v>17</v>
      </c>
      <c r="G88" t="str">
        <f>_xlfn.XLOOKUP(E88,lookup_table!A:A,lookup_table!B:B, "N/A")</f>
        <v>Gauteng</v>
      </c>
      <c r="H88" t="str">
        <f t="shared" si="1"/>
        <v>Mismatch</v>
      </c>
      <c r="I88">
        <v>16</v>
      </c>
      <c r="J88" t="s">
        <v>120</v>
      </c>
      <c r="K88" t="s">
        <v>19</v>
      </c>
      <c r="L88" s="9">
        <v>45316</v>
      </c>
    </row>
    <row r="89" spans="1:12">
      <c r="A89" t="s">
        <v>354</v>
      </c>
      <c r="B89" t="s">
        <v>355</v>
      </c>
      <c r="C89" t="s">
        <v>356</v>
      </c>
      <c r="D89" t="s">
        <v>23</v>
      </c>
      <c r="E89" t="s">
        <v>32</v>
      </c>
      <c r="F89" t="s">
        <v>154</v>
      </c>
      <c r="G89" t="str">
        <f>_xlfn.XLOOKUP(E89,lookup_table!A:A,lookup_table!B:B, "N/A")</f>
        <v>KwaZulu-Natal</v>
      </c>
      <c r="H89" t="str">
        <f t="shared" si="1"/>
        <v>Mismatch</v>
      </c>
      <c r="I89">
        <v>41</v>
      </c>
      <c r="J89" t="s">
        <v>120</v>
      </c>
      <c r="K89" t="s">
        <v>23</v>
      </c>
      <c r="L89" s="9">
        <v>45819</v>
      </c>
    </row>
    <row r="90" spans="1:12">
      <c r="A90" t="s">
        <v>357</v>
      </c>
      <c r="B90" t="s">
        <v>358</v>
      </c>
      <c r="C90" t="s">
        <v>23</v>
      </c>
      <c r="D90" t="s">
        <v>359</v>
      </c>
      <c r="E90" t="s">
        <v>16</v>
      </c>
      <c r="F90" t="s">
        <v>154</v>
      </c>
      <c r="G90" t="str">
        <f>_xlfn.XLOOKUP(E90,lookup_table!A:A,lookup_table!B:B, "N/A")</f>
        <v>Gauteng</v>
      </c>
      <c r="H90" t="str">
        <f t="shared" si="1"/>
        <v>Mismatch</v>
      </c>
      <c r="I90">
        <v>55</v>
      </c>
      <c r="J90" t="s">
        <v>120</v>
      </c>
      <c r="K90" t="s">
        <v>33</v>
      </c>
      <c r="L90" s="9">
        <v>45866</v>
      </c>
    </row>
    <row r="91" spans="1:12">
      <c r="A91" t="s">
        <v>360</v>
      </c>
      <c r="B91" t="s">
        <v>361</v>
      </c>
      <c r="C91" t="s">
        <v>23</v>
      </c>
      <c r="D91" t="s">
        <v>23</v>
      </c>
      <c r="E91" t="s">
        <v>16</v>
      </c>
      <c r="F91" t="s">
        <v>25</v>
      </c>
      <c r="G91" t="str">
        <f>_xlfn.XLOOKUP(E91,lookup_table!A:A,lookup_table!B:B, "N/A")</f>
        <v>Gauteng</v>
      </c>
      <c r="H91" t="str">
        <f t="shared" si="1"/>
        <v>Mismatch</v>
      </c>
      <c r="I91">
        <v>30</v>
      </c>
      <c r="J91" t="s">
        <v>26</v>
      </c>
      <c r="K91" t="s">
        <v>60</v>
      </c>
      <c r="L91" s="9">
        <v>45381</v>
      </c>
    </row>
    <row r="92" spans="1:12">
      <c r="A92" t="s">
        <v>362</v>
      </c>
      <c r="B92" t="s">
        <v>363</v>
      </c>
      <c r="C92" t="s">
        <v>364</v>
      </c>
      <c r="D92" t="s">
        <v>365</v>
      </c>
      <c r="E92" t="s">
        <v>32</v>
      </c>
      <c r="F92" t="s">
        <v>50</v>
      </c>
      <c r="G92" t="str">
        <f>_xlfn.XLOOKUP(E92,lookup_table!A:A,lookup_table!B:B, "N/A")</f>
        <v>KwaZulu-Natal</v>
      </c>
      <c r="H92" t="str">
        <f t="shared" si="1"/>
        <v>Match</v>
      </c>
      <c r="I92">
        <v>47</v>
      </c>
      <c r="J92" t="s">
        <v>23</v>
      </c>
      <c r="K92" t="s">
        <v>23</v>
      </c>
      <c r="L92" s="9">
        <v>46106</v>
      </c>
    </row>
    <row r="93" spans="1:12">
      <c r="A93" t="s">
        <v>366</v>
      </c>
      <c r="B93" t="s">
        <v>367</v>
      </c>
      <c r="C93" t="s">
        <v>368</v>
      </c>
      <c r="D93" t="s">
        <v>369</v>
      </c>
      <c r="E93" t="s">
        <v>32</v>
      </c>
      <c r="F93" t="s">
        <v>79</v>
      </c>
      <c r="G93" t="str">
        <f>_xlfn.XLOOKUP(E93,lookup_table!A:A,lookup_table!B:B, "N/A")</f>
        <v>KwaZulu-Natal</v>
      </c>
      <c r="H93" t="str">
        <f t="shared" si="1"/>
        <v>Mismatch</v>
      </c>
      <c r="I93">
        <v>35</v>
      </c>
      <c r="J93" t="s">
        <v>18</v>
      </c>
      <c r="K93" t="s">
        <v>60</v>
      </c>
      <c r="L93" s="9">
        <v>45889</v>
      </c>
    </row>
    <row r="94" spans="1:12">
      <c r="A94" t="s">
        <v>370</v>
      </c>
      <c r="B94" t="s">
        <v>371</v>
      </c>
      <c r="C94" t="s">
        <v>372</v>
      </c>
      <c r="D94" t="s">
        <v>373</v>
      </c>
      <c r="E94" t="s">
        <v>38</v>
      </c>
      <c r="F94" t="s">
        <v>65</v>
      </c>
      <c r="G94" t="str">
        <f>_xlfn.XLOOKUP(E94,lookup_table!A:A,lookup_table!B:B, "N/A")</f>
        <v>Western Cape</v>
      </c>
      <c r="H94" t="str">
        <f t="shared" si="1"/>
        <v>Mismatch</v>
      </c>
      <c r="I94">
        <v>18</v>
      </c>
      <c r="J94" t="s">
        <v>18</v>
      </c>
      <c r="K94" t="s">
        <v>60</v>
      </c>
      <c r="L94" s="9">
        <v>45273</v>
      </c>
    </row>
    <row r="95" spans="1:12">
      <c r="A95" t="s">
        <v>374</v>
      </c>
      <c r="B95" t="s">
        <v>375</v>
      </c>
      <c r="C95" t="s">
        <v>23</v>
      </c>
      <c r="D95" t="s">
        <v>23</v>
      </c>
      <c r="E95" t="s">
        <v>32</v>
      </c>
      <c r="F95" t="s">
        <v>79</v>
      </c>
      <c r="G95" t="str">
        <f>_xlfn.XLOOKUP(E95,lookup_table!A:A,lookup_table!B:B, "N/A")</f>
        <v>KwaZulu-Natal</v>
      </c>
      <c r="H95" t="str">
        <f t="shared" si="1"/>
        <v>Mismatch</v>
      </c>
      <c r="I95">
        <v>37</v>
      </c>
      <c r="J95" t="s">
        <v>23</v>
      </c>
      <c r="K95" t="s">
        <v>19</v>
      </c>
      <c r="L95" s="9">
        <v>45524</v>
      </c>
    </row>
    <row r="96" spans="1:12">
      <c r="A96" t="s">
        <v>376</v>
      </c>
      <c r="B96" t="s">
        <v>377</v>
      </c>
      <c r="C96" t="s">
        <v>378</v>
      </c>
      <c r="D96" t="s">
        <v>379</v>
      </c>
      <c r="E96" t="s">
        <v>94</v>
      </c>
      <c r="F96" t="s">
        <v>154</v>
      </c>
      <c r="G96" t="str">
        <f>_xlfn.XLOOKUP(E96,lookup_table!A:A,lookup_table!B:B, "N/A")</f>
        <v>Eastern Cape</v>
      </c>
      <c r="H96" t="str">
        <f t="shared" si="1"/>
        <v>Mismatch</v>
      </c>
      <c r="I96">
        <v>51</v>
      </c>
      <c r="J96" t="s">
        <v>66</v>
      </c>
      <c r="K96" t="s">
        <v>60</v>
      </c>
      <c r="L96" s="9">
        <v>45833</v>
      </c>
    </row>
    <row r="97" spans="1:12">
      <c r="A97" t="s">
        <v>380</v>
      </c>
      <c r="B97" t="s">
        <v>381</v>
      </c>
      <c r="C97" t="s">
        <v>382</v>
      </c>
      <c r="D97" t="s">
        <v>23</v>
      </c>
      <c r="E97" t="s">
        <v>38</v>
      </c>
      <c r="F97" t="s">
        <v>154</v>
      </c>
      <c r="G97" t="str">
        <f>_xlfn.XLOOKUP(E97,lookup_table!A:A,lookup_table!B:B, "N/A")</f>
        <v>Western Cape</v>
      </c>
      <c r="H97" t="str">
        <f t="shared" si="1"/>
        <v>Mismatch</v>
      </c>
      <c r="I97" t="s">
        <v>39</v>
      </c>
      <c r="J97" t="s">
        <v>26</v>
      </c>
      <c r="K97" t="s">
        <v>106</v>
      </c>
      <c r="L97" s="9">
        <v>45989</v>
      </c>
    </row>
    <row r="98" spans="1:12">
      <c r="A98" t="s">
        <v>383</v>
      </c>
      <c r="B98" t="s">
        <v>384</v>
      </c>
      <c r="C98" t="s">
        <v>385</v>
      </c>
      <c r="D98" t="s">
        <v>386</v>
      </c>
      <c r="E98" t="s">
        <v>70</v>
      </c>
      <c r="F98" t="s">
        <v>154</v>
      </c>
      <c r="G98" t="str">
        <f>_xlfn.XLOOKUP(E98,lookup_table!A:A,lookup_table!B:B, "N/A")</f>
        <v>Eastern Cape</v>
      </c>
      <c r="H98" t="str">
        <f t="shared" si="1"/>
        <v>Mismatch</v>
      </c>
      <c r="I98">
        <v>29</v>
      </c>
      <c r="J98" t="s">
        <v>26</v>
      </c>
      <c r="K98" t="s">
        <v>55</v>
      </c>
      <c r="L98" s="9">
        <v>45523</v>
      </c>
    </row>
    <row r="99" spans="1:12">
      <c r="A99" t="s">
        <v>387</v>
      </c>
      <c r="B99" t="s">
        <v>388</v>
      </c>
      <c r="C99" t="s">
        <v>389</v>
      </c>
      <c r="D99" t="s">
        <v>23</v>
      </c>
      <c r="E99" t="s">
        <v>16</v>
      </c>
      <c r="F99" t="s">
        <v>54</v>
      </c>
      <c r="G99" t="str">
        <f>_xlfn.XLOOKUP(E99,lookup_table!A:A,lookup_table!B:B, "N/A")</f>
        <v>Gauteng</v>
      </c>
      <c r="H99" t="str">
        <f t="shared" si="1"/>
        <v>Mismatch</v>
      </c>
      <c r="I99">
        <v>55</v>
      </c>
      <c r="J99" t="s">
        <v>66</v>
      </c>
      <c r="K99" t="s">
        <v>84</v>
      </c>
      <c r="L99" s="9">
        <v>45442</v>
      </c>
    </row>
    <row r="100" spans="1:12">
      <c r="A100" t="s">
        <v>390</v>
      </c>
      <c r="B100" t="s">
        <v>391</v>
      </c>
      <c r="C100" t="s">
        <v>392</v>
      </c>
      <c r="D100" t="s">
        <v>393</v>
      </c>
      <c r="E100" t="s">
        <v>149</v>
      </c>
      <c r="F100" t="s">
        <v>17</v>
      </c>
      <c r="G100" t="str">
        <f>_xlfn.XLOOKUP(E100,lookup_table!A:A,lookup_table!B:B, "N/A")</f>
        <v>Free State</v>
      </c>
      <c r="H100" t="str">
        <f t="shared" si="1"/>
        <v>Mismatch</v>
      </c>
      <c r="I100">
        <v>34</v>
      </c>
      <c r="J100" t="s">
        <v>23</v>
      </c>
      <c r="K100" t="s">
        <v>43</v>
      </c>
      <c r="L100" s="9">
        <v>45553</v>
      </c>
    </row>
    <row r="101" spans="1:12">
      <c r="A101" t="s">
        <v>394</v>
      </c>
      <c r="B101" t="s">
        <v>395</v>
      </c>
      <c r="C101" t="s">
        <v>396</v>
      </c>
      <c r="D101" t="s">
        <v>23</v>
      </c>
      <c r="E101" t="s">
        <v>53</v>
      </c>
      <c r="F101" t="s">
        <v>25</v>
      </c>
      <c r="G101" t="str">
        <f>_xlfn.XLOOKUP(E101,lookup_table!A:A,lookup_table!B:B, "N/A")</f>
        <v>Mpumalanga</v>
      </c>
      <c r="H101" t="str">
        <f t="shared" si="1"/>
        <v>Mismatch</v>
      </c>
      <c r="I101">
        <v>49</v>
      </c>
      <c r="J101" t="s">
        <v>26</v>
      </c>
      <c r="K101" t="s">
        <v>60</v>
      </c>
      <c r="L101" s="9">
        <v>45953</v>
      </c>
    </row>
    <row r="102" spans="1:12">
      <c r="A102" t="s">
        <v>397</v>
      </c>
      <c r="B102" t="s">
        <v>398</v>
      </c>
      <c r="C102" t="s">
        <v>23</v>
      </c>
      <c r="D102" t="s">
        <v>399</v>
      </c>
      <c r="E102" t="s">
        <v>70</v>
      </c>
      <c r="F102" t="s">
        <v>54</v>
      </c>
      <c r="G102" t="str">
        <f>_xlfn.XLOOKUP(E102,lookup_table!A:A,lookup_table!B:B, "N/A")</f>
        <v>Eastern Cape</v>
      </c>
      <c r="H102" t="str">
        <f t="shared" si="1"/>
        <v>Mismatch</v>
      </c>
      <c r="I102">
        <v>33</v>
      </c>
      <c r="J102" t="s">
        <v>120</v>
      </c>
      <c r="K102" t="s">
        <v>33</v>
      </c>
      <c r="L102" s="9">
        <v>46182</v>
      </c>
    </row>
    <row r="103" spans="1:12">
      <c r="A103" t="s">
        <v>400</v>
      </c>
      <c r="B103" t="s">
        <v>401</v>
      </c>
      <c r="C103" t="s">
        <v>402</v>
      </c>
      <c r="D103" t="s">
        <v>403</v>
      </c>
      <c r="E103" t="s">
        <v>38</v>
      </c>
      <c r="F103" t="s">
        <v>180</v>
      </c>
      <c r="G103" t="str">
        <f>_xlfn.XLOOKUP(E103,lookup_table!A:A,lookup_table!B:B, "N/A")</f>
        <v>Western Cape</v>
      </c>
      <c r="H103" t="str">
        <f t="shared" si="1"/>
        <v>Mismatch</v>
      </c>
      <c r="I103">
        <v>40</v>
      </c>
      <c r="J103" t="s">
        <v>26</v>
      </c>
      <c r="K103" t="s">
        <v>106</v>
      </c>
      <c r="L103" s="9">
        <v>46041</v>
      </c>
    </row>
    <row r="104" spans="1:12">
      <c r="A104" t="s">
        <v>404</v>
      </c>
      <c r="B104" t="s">
        <v>405</v>
      </c>
      <c r="C104" t="s">
        <v>406</v>
      </c>
      <c r="D104" t="s">
        <v>407</v>
      </c>
      <c r="E104" t="s">
        <v>32</v>
      </c>
      <c r="F104" t="s">
        <v>50</v>
      </c>
      <c r="G104" t="str">
        <f>_xlfn.XLOOKUP(E104,lookup_table!A:A,lookup_table!B:B, "N/A")</f>
        <v>KwaZulu-Natal</v>
      </c>
      <c r="H104" t="str">
        <f t="shared" si="1"/>
        <v>Match</v>
      </c>
      <c r="I104">
        <v>44</v>
      </c>
      <c r="J104" t="s">
        <v>66</v>
      </c>
      <c r="K104" t="s">
        <v>19</v>
      </c>
      <c r="L104" s="9">
        <v>45452</v>
      </c>
    </row>
    <row r="105" spans="1:12">
      <c r="A105" t="s">
        <v>408</v>
      </c>
      <c r="B105" t="s">
        <v>409</v>
      </c>
      <c r="C105" t="s">
        <v>23</v>
      </c>
      <c r="D105" t="s">
        <v>410</v>
      </c>
      <c r="E105" t="s">
        <v>16</v>
      </c>
      <c r="F105" t="s">
        <v>25</v>
      </c>
      <c r="G105" t="str">
        <f>_xlfn.XLOOKUP(E105,lookup_table!A:A,lookup_table!B:B, "N/A")</f>
        <v>Gauteng</v>
      </c>
      <c r="H105" t="str">
        <f t="shared" si="1"/>
        <v>Mismatch</v>
      </c>
      <c r="I105">
        <v>55</v>
      </c>
      <c r="J105" t="s">
        <v>23</v>
      </c>
      <c r="K105" t="s">
        <v>33</v>
      </c>
      <c r="L105" s="9">
        <v>45877</v>
      </c>
    </row>
    <row r="106" spans="1:12">
      <c r="A106" t="s">
        <v>411</v>
      </c>
      <c r="B106" t="s">
        <v>412</v>
      </c>
      <c r="C106" t="s">
        <v>413</v>
      </c>
      <c r="D106" t="s">
        <v>23</v>
      </c>
      <c r="E106" t="s">
        <v>78</v>
      </c>
      <c r="F106" t="s">
        <v>50</v>
      </c>
      <c r="G106" t="str">
        <f>_xlfn.XLOOKUP(E106,lookup_table!A:A,lookup_table!B:B, "N/A")</f>
        <v>Northern Cape</v>
      </c>
      <c r="H106" t="str">
        <f t="shared" si="1"/>
        <v>Mismatch</v>
      </c>
      <c r="I106">
        <v>31</v>
      </c>
      <c r="J106" t="s">
        <v>26</v>
      </c>
      <c r="K106" t="s">
        <v>33</v>
      </c>
      <c r="L106" s="9">
        <v>45859</v>
      </c>
    </row>
    <row r="107" spans="1:12">
      <c r="A107" t="s">
        <v>414</v>
      </c>
      <c r="B107" t="s">
        <v>415</v>
      </c>
      <c r="C107" t="s">
        <v>416</v>
      </c>
      <c r="D107" t="s">
        <v>417</v>
      </c>
      <c r="E107" t="s">
        <v>32</v>
      </c>
      <c r="F107" t="s">
        <v>180</v>
      </c>
      <c r="G107" t="str">
        <f>_xlfn.XLOOKUP(E107,lookup_table!A:A,lookup_table!B:B, "N/A")</f>
        <v>KwaZulu-Natal</v>
      </c>
      <c r="H107" t="str">
        <f t="shared" si="1"/>
        <v>Mismatch</v>
      </c>
      <c r="I107" t="s">
        <v>39</v>
      </c>
      <c r="J107" t="s">
        <v>26</v>
      </c>
      <c r="K107" t="s">
        <v>33</v>
      </c>
      <c r="L107" s="9">
        <v>46002</v>
      </c>
    </row>
    <row r="108" spans="1:12">
      <c r="A108" t="s">
        <v>418</v>
      </c>
      <c r="B108" t="s">
        <v>419</v>
      </c>
      <c r="C108" t="s">
        <v>420</v>
      </c>
      <c r="D108" t="s">
        <v>421</v>
      </c>
      <c r="E108" t="s">
        <v>38</v>
      </c>
      <c r="F108" t="s">
        <v>154</v>
      </c>
      <c r="G108" t="str">
        <f>_xlfn.XLOOKUP(E108,lookup_table!A:A,lookup_table!B:B, "N/A")</f>
        <v>Western Cape</v>
      </c>
      <c r="H108" t="str">
        <f t="shared" si="1"/>
        <v>Mismatch</v>
      </c>
      <c r="I108">
        <v>45</v>
      </c>
      <c r="J108" t="s">
        <v>18</v>
      </c>
      <c r="K108" t="s">
        <v>55</v>
      </c>
      <c r="L108" s="9">
        <v>45843</v>
      </c>
    </row>
    <row r="109" spans="1:12">
      <c r="A109" t="s">
        <v>422</v>
      </c>
      <c r="B109" t="s">
        <v>423</v>
      </c>
      <c r="C109" t="s">
        <v>424</v>
      </c>
      <c r="D109" t="s">
        <v>425</v>
      </c>
      <c r="E109" t="s">
        <v>38</v>
      </c>
      <c r="F109" t="s">
        <v>25</v>
      </c>
      <c r="G109" t="str">
        <f>_xlfn.XLOOKUP(E109,lookup_table!A:A,lookup_table!B:B, "N/A")</f>
        <v>Western Cape</v>
      </c>
      <c r="H109" t="str">
        <f t="shared" si="1"/>
        <v>Mismatch</v>
      </c>
      <c r="I109" t="s">
        <v>39</v>
      </c>
      <c r="J109" t="s">
        <v>26</v>
      </c>
      <c r="K109" t="s">
        <v>55</v>
      </c>
      <c r="L109" s="9">
        <v>45815</v>
      </c>
    </row>
    <row r="110" spans="1:12">
      <c r="A110" t="s">
        <v>426</v>
      </c>
      <c r="B110" t="s">
        <v>427</v>
      </c>
      <c r="C110" t="s">
        <v>428</v>
      </c>
      <c r="D110" t="s">
        <v>429</v>
      </c>
      <c r="E110" t="s">
        <v>24</v>
      </c>
      <c r="F110" t="s">
        <v>79</v>
      </c>
      <c r="G110" t="str">
        <f>_xlfn.XLOOKUP(E110,lookup_table!A:A,lookup_table!B:B, "N/A")</f>
        <v>Limpopo</v>
      </c>
      <c r="H110" t="str">
        <f t="shared" si="1"/>
        <v>Mismatch</v>
      </c>
      <c r="I110" t="s">
        <v>39</v>
      </c>
      <c r="J110" t="s">
        <v>26</v>
      </c>
      <c r="K110" t="s">
        <v>27</v>
      </c>
      <c r="L110" s="9">
        <v>45183</v>
      </c>
    </row>
    <row r="111" spans="1:12">
      <c r="A111" t="s">
        <v>430</v>
      </c>
      <c r="B111" t="s">
        <v>431</v>
      </c>
      <c r="C111" t="s">
        <v>432</v>
      </c>
      <c r="D111" t="s">
        <v>433</v>
      </c>
      <c r="E111" t="s">
        <v>78</v>
      </c>
      <c r="F111" t="s">
        <v>50</v>
      </c>
      <c r="G111" t="str">
        <f>_xlfn.XLOOKUP(E111,lookup_table!A:A,lookup_table!B:B, "N/A")</f>
        <v>Northern Cape</v>
      </c>
      <c r="H111" t="str">
        <f t="shared" si="1"/>
        <v>Mismatch</v>
      </c>
      <c r="I111" t="s">
        <v>39</v>
      </c>
      <c r="J111" t="s">
        <v>66</v>
      </c>
      <c r="K111" t="s">
        <v>84</v>
      </c>
      <c r="L111" s="9">
        <v>45898</v>
      </c>
    </row>
    <row r="112" spans="1:12">
      <c r="A112" t="s">
        <v>434</v>
      </c>
      <c r="B112" t="s">
        <v>435</v>
      </c>
      <c r="C112" t="s">
        <v>436</v>
      </c>
      <c r="D112" t="s">
        <v>437</v>
      </c>
      <c r="E112" t="s">
        <v>38</v>
      </c>
      <c r="F112" t="s">
        <v>154</v>
      </c>
      <c r="G112" t="str">
        <f>_xlfn.XLOOKUP(E112,lookup_table!A:A,lookup_table!B:B, "N/A")</f>
        <v>Western Cape</v>
      </c>
      <c r="H112" t="str">
        <f t="shared" si="1"/>
        <v>Mismatch</v>
      </c>
      <c r="I112" t="s">
        <v>39</v>
      </c>
      <c r="J112" t="s">
        <v>66</v>
      </c>
      <c r="K112" t="s">
        <v>60</v>
      </c>
      <c r="L112" s="9">
        <v>45810</v>
      </c>
    </row>
    <row r="113" spans="1:12">
      <c r="A113" t="s">
        <v>438</v>
      </c>
      <c r="B113" t="s">
        <v>439</v>
      </c>
      <c r="C113" t="s">
        <v>440</v>
      </c>
      <c r="D113" t="s">
        <v>441</v>
      </c>
      <c r="E113" t="s">
        <v>38</v>
      </c>
      <c r="F113" t="s">
        <v>17</v>
      </c>
      <c r="G113" t="str">
        <f>_xlfn.XLOOKUP(E113,lookup_table!A:A,lookup_table!B:B, "N/A")</f>
        <v>Western Cape</v>
      </c>
      <c r="H113" t="str">
        <f t="shared" si="1"/>
        <v>Mismatch</v>
      </c>
      <c r="I113">
        <v>40</v>
      </c>
      <c r="J113" t="s">
        <v>26</v>
      </c>
      <c r="K113" t="s">
        <v>84</v>
      </c>
      <c r="L113" s="9">
        <v>45483</v>
      </c>
    </row>
    <row r="114" spans="1:12">
      <c r="A114" t="s">
        <v>442</v>
      </c>
      <c r="B114" t="s">
        <v>443</v>
      </c>
      <c r="C114" t="s">
        <v>444</v>
      </c>
      <c r="D114" t="s">
        <v>23</v>
      </c>
      <c r="E114" t="s">
        <v>32</v>
      </c>
      <c r="F114" t="s">
        <v>180</v>
      </c>
      <c r="G114" t="str">
        <f>_xlfn.XLOOKUP(E114,lookup_table!A:A,lookup_table!B:B, "N/A")</f>
        <v>KwaZulu-Natal</v>
      </c>
      <c r="H114" t="str">
        <f t="shared" si="1"/>
        <v>Mismatch</v>
      </c>
      <c r="I114">
        <v>31</v>
      </c>
      <c r="J114" t="s">
        <v>26</v>
      </c>
      <c r="K114" t="s">
        <v>55</v>
      </c>
      <c r="L114" s="9">
        <v>45323</v>
      </c>
    </row>
    <row r="115" spans="1:12">
      <c r="A115" t="s">
        <v>445</v>
      </c>
      <c r="B115" t="s">
        <v>446</v>
      </c>
      <c r="C115" t="s">
        <v>447</v>
      </c>
      <c r="D115" t="s">
        <v>448</v>
      </c>
      <c r="E115" t="s">
        <v>111</v>
      </c>
      <c r="F115" t="s">
        <v>25</v>
      </c>
      <c r="G115" t="str">
        <f>_xlfn.XLOOKUP(E115,lookup_table!A:A,lookup_table!B:B, "N/A")</f>
        <v>Gauteng</v>
      </c>
      <c r="H115" t="str">
        <f t="shared" si="1"/>
        <v>Mismatch</v>
      </c>
      <c r="I115">
        <v>20</v>
      </c>
      <c r="J115" t="s">
        <v>26</v>
      </c>
      <c r="K115" t="s">
        <v>23</v>
      </c>
      <c r="L115" s="9">
        <v>46179</v>
      </c>
    </row>
    <row r="116" spans="1:12">
      <c r="A116" t="s">
        <v>449</v>
      </c>
      <c r="B116" t="s">
        <v>450</v>
      </c>
      <c r="C116" t="s">
        <v>451</v>
      </c>
      <c r="D116" t="s">
        <v>452</v>
      </c>
      <c r="E116" t="s">
        <v>16</v>
      </c>
      <c r="G116" t="str">
        <f>_xlfn.XLOOKUP(E116,lookup_table!A:A,lookup_table!B:B, "N/A")</f>
        <v>Gauteng</v>
      </c>
      <c r="H116" t="str">
        <f t="shared" si="1"/>
        <v>Mismatch</v>
      </c>
      <c r="I116" t="s">
        <v>39</v>
      </c>
      <c r="J116" t="s">
        <v>18</v>
      </c>
      <c r="K116" t="s">
        <v>106</v>
      </c>
      <c r="L116" s="9">
        <v>45385</v>
      </c>
    </row>
    <row r="117" spans="1:12">
      <c r="A117" t="s">
        <v>453</v>
      </c>
      <c r="B117" t="s">
        <v>454</v>
      </c>
      <c r="C117" t="s">
        <v>455</v>
      </c>
      <c r="D117" t="s">
        <v>456</v>
      </c>
      <c r="E117" t="s">
        <v>149</v>
      </c>
      <c r="F117" t="s">
        <v>154</v>
      </c>
      <c r="G117" t="str">
        <f>_xlfn.XLOOKUP(E117,lookup_table!A:A,lookup_table!B:B, "N/A")</f>
        <v>Free State</v>
      </c>
      <c r="H117" t="str">
        <f t="shared" si="1"/>
        <v>Mismatch</v>
      </c>
      <c r="I117">
        <v>51</v>
      </c>
      <c r="J117" t="s">
        <v>23</v>
      </c>
      <c r="K117" t="s">
        <v>19</v>
      </c>
      <c r="L117" s="9">
        <v>45402</v>
      </c>
    </row>
    <row r="118" spans="1:12">
      <c r="A118" t="s">
        <v>457</v>
      </c>
      <c r="B118" t="s">
        <v>458</v>
      </c>
      <c r="C118" t="s">
        <v>23</v>
      </c>
      <c r="D118" t="s">
        <v>459</v>
      </c>
      <c r="E118" t="s">
        <v>32</v>
      </c>
      <c r="F118" t="s">
        <v>50</v>
      </c>
      <c r="G118" t="str">
        <f>_xlfn.XLOOKUP(E118,lookup_table!A:A,lookup_table!B:B, "N/A")</f>
        <v>KwaZulu-Natal</v>
      </c>
      <c r="H118" t="str">
        <f t="shared" si="1"/>
        <v>Match</v>
      </c>
      <c r="I118" t="s">
        <v>39</v>
      </c>
      <c r="J118" t="s">
        <v>66</v>
      </c>
      <c r="K118" t="s">
        <v>106</v>
      </c>
      <c r="L118" s="9">
        <v>45365</v>
      </c>
    </row>
    <row r="119" spans="1:12">
      <c r="A119" t="s">
        <v>460</v>
      </c>
      <c r="B119" t="s">
        <v>461</v>
      </c>
      <c r="C119" t="s">
        <v>23</v>
      </c>
      <c r="D119" t="s">
        <v>23</v>
      </c>
      <c r="E119" t="s">
        <v>32</v>
      </c>
      <c r="G119" t="str">
        <f>_xlfn.XLOOKUP(E119,lookup_table!A:A,lookup_table!B:B, "N/A")</f>
        <v>KwaZulu-Natal</v>
      </c>
      <c r="H119" t="str">
        <f t="shared" si="1"/>
        <v>Mismatch</v>
      </c>
      <c r="I119" t="s">
        <v>39</v>
      </c>
      <c r="J119" t="s">
        <v>26</v>
      </c>
      <c r="K119" t="s">
        <v>33</v>
      </c>
      <c r="L119" s="9">
        <v>46142</v>
      </c>
    </row>
    <row r="120" spans="1:12">
      <c r="A120" t="s">
        <v>462</v>
      </c>
      <c r="B120" t="s">
        <v>463</v>
      </c>
      <c r="C120" t="s">
        <v>464</v>
      </c>
      <c r="D120" t="s">
        <v>465</v>
      </c>
      <c r="E120" t="s">
        <v>38</v>
      </c>
      <c r="F120" t="s">
        <v>25</v>
      </c>
      <c r="G120" t="str">
        <f>_xlfn.XLOOKUP(E120,lookup_table!A:A,lookup_table!B:B, "N/A")</f>
        <v>Western Cape</v>
      </c>
      <c r="H120" t="str">
        <f t="shared" si="1"/>
        <v>Mismatch</v>
      </c>
      <c r="I120">
        <v>55</v>
      </c>
      <c r="J120" t="s">
        <v>66</v>
      </c>
      <c r="K120" t="s">
        <v>23</v>
      </c>
      <c r="L120" s="9">
        <v>45874</v>
      </c>
    </row>
    <row r="121" spans="1:12">
      <c r="A121" t="s">
        <v>466</v>
      </c>
      <c r="B121" t="s">
        <v>467</v>
      </c>
      <c r="C121" t="s">
        <v>468</v>
      </c>
      <c r="D121" t="s">
        <v>23</v>
      </c>
      <c r="E121" t="s">
        <v>38</v>
      </c>
      <c r="F121" t="s">
        <v>89</v>
      </c>
      <c r="G121" t="str">
        <f>_xlfn.XLOOKUP(E121,lookup_table!A:A,lookup_table!B:B, "N/A")</f>
        <v>Western Cape</v>
      </c>
      <c r="H121" t="str">
        <f t="shared" si="1"/>
        <v>Match</v>
      </c>
      <c r="I121">
        <v>29</v>
      </c>
      <c r="J121" t="s">
        <v>26</v>
      </c>
      <c r="K121" t="s">
        <v>23</v>
      </c>
      <c r="L121" s="9">
        <v>45348</v>
      </c>
    </row>
    <row r="122" spans="1:12">
      <c r="A122" t="s">
        <v>469</v>
      </c>
      <c r="B122" t="s">
        <v>470</v>
      </c>
      <c r="C122" t="s">
        <v>471</v>
      </c>
      <c r="D122" t="s">
        <v>472</v>
      </c>
      <c r="E122" t="s">
        <v>111</v>
      </c>
      <c r="F122" t="s">
        <v>180</v>
      </c>
      <c r="G122" t="str">
        <f>_xlfn.XLOOKUP(E122,lookup_table!A:A,lookup_table!B:B, "N/A")</f>
        <v>Gauteng</v>
      </c>
      <c r="H122" t="str">
        <f t="shared" si="1"/>
        <v>Mismatch</v>
      </c>
      <c r="I122">
        <v>26</v>
      </c>
      <c r="J122" t="s">
        <v>26</v>
      </c>
      <c r="K122" t="s">
        <v>33</v>
      </c>
      <c r="L122" s="9">
        <v>45450</v>
      </c>
    </row>
    <row r="123" spans="1:12">
      <c r="A123" t="s">
        <v>473</v>
      </c>
      <c r="B123" t="s">
        <v>474</v>
      </c>
      <c r="C123" t="s">
        <v>475</v>
      </c>
      <c r="D123" t="s">
        <v>476</v>
      </c>
      <c r="E123" t="s">
        <v>16</v>
      </c>
      <c r="F123" t="s">
        <v>154</v>
      </c>
      <c r="G123" t="str">
        <f>_xlfn.XLOOKUP(E123,lookup_table!A:A,lookup_table!B:B, "N/A")</f>
        <v>Gauteng</v>
      </c>
      <c r="H123" t="str">
        <f t="shared" si="1"/>
        <v>Mismatch</v>
      </c>
      <c r="I123" t="s">
        <v>39</v>
      </c>
      <c r="J123" t="s">
        <v>23</v>
      </c>
      <c r="K123" t="s">
        <v>43</v>
      </c>
      <c r="L123" s="9">
        <v>45173</v>
      </c>
    </row>
    <row r="124" spans="1:12">
      <c r="A124" t="s">
        <v>477</v>
      </c>
      <c r="B124" t="s">
        <v>478</v>
      </c>
      <c r="C124" t="s">
        <v>479</v>
      </c>
      <c r="D124" t="s">
        <v>480</v>
      </c>
      <c r="E124" t="s">
        <v>94</v>
      </c>
      <c r="F124" t="s">
        <v>180</v>
      </c>
      <c r="G124" t="str">
        <f>_xlfn.XLOOKUP(E124,lookup_table!A:A,lookup_table!B:B, "N/A")</f>
        <v>Eastern Cape</v>
      </c>
      <c r="H124" t="str">
        <f t="shared" si="1"/>
        <v>Mismatch</v>
      </c>
      <c r="I124">
        <v>36</v>
      </c>
      <c r="J124" t="s">
        <v>23</v>
      </c>
      <c r="K124" t="s">
        <v>84</v>
      </c>
      <c r="L124" s="9">
        <v>45629</v>
      </c>
    </row>
    <row r="125" spans="1:12">
      <c r="A125" t="s">
        <v>481</v>
      </c>
      <c r="B125" t="s">
        <v>482</v>
      </c>
      <c r="C125" t="s">
        <v>483</v>
      </c>
      <c r="D125" t="s">
        <v>484</v>
      </c>
      <c r="E125" t="s">
        <v>38</v>
      </c>
      <c r="G125" t="str">
        <f>_xlfn.XLOOKUP(E125,lookup_table!A:A,lookup_table!B:B, "N/A")</f>
        <v>Western Cape</v>
      </c>
      <c r="H125" t="str">
        <f t="shared" si="1"/>
        <v>Mismatch</v>
      </c>
      <c r="I125" t="s">
        <v>39</v>
      </c>
      <c r="J125" t="s">
        <v>23</v>
      </c>
      <c r="K125" t="s">
        <v>55</v>
      </c>
      <c r="L125" s="9">
        <v>46140</v>
      </c>
    </row>
    <row r="126" spans="1:12">
      <c r="A126" t="s">
        <v>485</v>
      </c>
      <c r="B126" t="s">
        <v>486</v>
      </c>
      <c r="C126" t="s">
        <v>487</v>
      </c>
      <c r="D126" t="s">
        <v>488</v>
      </c>
      <c r="E126" t="s">
        <v>24</v>
      </c>
      <c r="F126" t="s">
        <v>25</v>
      </c>
      <c r="G126" t="str">
        <f>_xlfn.XLOOKUP(E126,lookup_table!A:A,lookup_table!B:B, "N/A")</f>
        <v>Limpopo</v>
      </c>
      <c r="H126" t="str">
        <f t="shared" si="1"/>
        <v>Mismatch</v>
      </c>
      <c r="I126">
        <v>39</v>
      </c>
      <c r="J126" t="s">
        <v>120</v>
      </c>
      <c r="K126" t="s">
        <v>19</v>
      </c>
      <c r="L126" s="9">
        <v>46107</v>
      </c>
    </row>
    <row r="127" spans="1:12">
      <c r="A127" t="s">
        <v>489</v>
      </c>
      <c r="B127" t="s">
        <v>490</v>
      </c>
      <c r="C127" t="s">
        <v>23</v>
      </c>
      <c r="D127" t="s">
        <v>23</v>
      </c>
      <c r="E127" t="s">
        <v>94</v>
      </c>
      <c r="F127" t="s">
        <v>65</v>
      </c>
      <c r="G127" t="str">
        <f>_xlfn.XLOOKUP(E127,lookup_table!A:A,lookup_table!B:B, "N/A")</f>
        <v>Eastern Cape</v>
      </c>
      <c r="H127" t="str">
        <f t="shared" si="1"/>
        <v>Mismatch</v>
      </c>
      <c r="I127" t="s">
        <v>39</v>
      </c>
      <c r="J127" t="s">
        <v>120</v>
      </c>
      <c r="K127" t="s">
        <v>19</v>
      </c>
      <c r="L127" s="9">
        <v>45824</v>
      </c>
    </row>
    <row r="128" spans="1:12">
      <c r="A128" t="s">
        <v>491</v>
      </c>
      <c r="B128" t="s">
        <v>492</v>
      </c>
      <c r="C128" t="s">
        <v>493</v>
      </c>
      <c r="D128" t="s">
        <v>494</v>
      </c>
      <c r="E128" t="s">
        <v>38</v>
      </c>
      <c r="F128" t="s">
        <v>154</v>
      </c>
      <c r="G128" t="str">
        <f>_xlfn.XLOOKUP(E128,lookup_table!A:A,lookup_table!B:B, "N/A")</f>
        <v>Western Cape</v>
      </c>
      <c r="H128" t="str">
        <f t="shared" si="1"/>
        <v>Mismatch</v>
      </c>
      <c r="I128">
        <v>45</v>
      </c>
      <c r="J128" t="s">
        <v>66</v>
      </c>
      <c r="K128" t="s">
        <v>27</v>
      </c>
      <c r="L128" s="9">
        <v>45952</v>
      </c>
    </row>
    <row r="129" spans="1:12">
      <c r="A129" t="s">
        <v>495</v>
      </c>
      <c r="B129" t="s">
        <v>496</v>
      </c>
      <c r="C129" t="s">
        <v>497</v>
      </c>
      <c r="D129" t="s">
        <v>23</v>
      </c>
      <c r="E129" t="s">
        <v>149</v>
      </c>
      <c r="F129" t="s">
        <v>54</v>
      </c>
      <c r="G129" t="str">
        <f>_xlfn.XLOOKUP(E129,lookup_table!A:A,lookup_table!B:B, "N/A")</f>
        <v>Free State</v>
      </c>
      <c r="H129" t="str">
        <f t="shared" si="1"/>
        <v>Mismatch</v>
      </c>
      <c r="I129" t="s">
        <v>39</v>
      </c>
      <c r="J129" t="s">
        <v>120</v>
      </c>
      <c r="K129" t="s">
        <v>33</v>
      </c>
      <c r="L129" s="9">
        <v>45605</v>
      </c>
    </row>
    <row r="130" spans="1:12">
      <c r="A130" t="s">
        <v>498</v>
      </c>
      <c r="B130" t="s">
        <v>499</v>
      </c>
      <c r="C130" t="s">
        <v>500</v>
      </c>
      <c r="D130" t="s">
        <v>501</v>
      </c>
      <c r="E130" t="s">
        <v>78</v>
      </c>
      <c r="F130" t="s">
        <v>17</v>
      </c>
      <c r="G130" t="str">
        <f>_xlfn.XLOOKUP(E130,lookup_table!A:A,lookup_table!B:B, "N/A")</f>
        <v>Northern Cape</v>
      </c>
      <c r="H130" t="str">
        <f t="shared" si="1"/>
        <v>Mismatch</v>
      </c>
      <c r="I130">
        <v>55</v>
      </c>
      <c r="J130" t="s">
        <v>18</v>
      </c>
      <c r="K130" t="s">
        <v>33</v>
      </c>
      <c r="L130" s="9">
        <v>45151</v>
      </c>
    </row>
    <row r="131" spans="1:12">
      <c r="A131" t="s">
        <v>502</v>
      </c>
      <c r="B131" t="s">
        <v>503</v>
      </c>
      <c r="C131" t="s">
        <v>504</v>
      </c>
      <c r="D131" t="s">
        <v>505</v>
      </c>
      <c r="E131" t="s">
        <v>38</v>
      </c>
      <c r="F131" t="s">
        <v>180</v>
      </c>
      <c r="G131" t="str">
        <f>_xlfn.XLOOKUP(E131,lookup_table!A:A,lookup_table!B:B, "N/A")</f>
        <v>Western Cape</v>
      </c>
      <c r="H131" t="str">
        <f t="shared" ref="H131:H194" si="2">IF(F131=G131, "Match", "Mismatch")</f>
        <v>Mismatch</v>
      </c>
      <c r="I131">
        <v>55</v>
      </c>
      <c r="J131" t="s">
        <v>18</v>
      </c>
      <c r="K131" t="s">
        <v>106</v>
      </c>
      <c r="L131" s="9">
        <v>45023</v>
      </c>
    </row>
    <row r="132" spans="1:12">
      <c r="A132" t="s">
        <v>506</v>
      </c>
      <c r="B132" t="s">
        <v>507</v>
      </c>
      <c r="C132" t="s">
        <v>508</v>
      </c>
      <c r="D132" t="s">
        <v>509</v>
      </c>
      <c r="E132" t="s">
        <v>38</v>
      </c>
      <c r="F132" t="s">
        <v>180</v>
      </c>
      <c r="G132" t="str">
        <f>_xlfn.XLOOKUP(E132,lookup_table!A:A,lookup_table!B:B, "N/A")</f>
        <v>Western Cape</v>
      </c>
      <c r="H132" t="str">
        <f t="shared" si="2"/>
        <v>Mismatch</v>
      </c>
      <c r="I132" t="s">
        <v>39</v>
      </c>
      <c r="J132" t="s">
        <v>26</v>
      </c>
      <c r="K132" t="s">
        <v>33</v>
      </c>
      <c r="L132" s="9">
        <v>45984</v>
      </c>
    </row>
    <row r="133" spans="1:12">
      <c r="A133" t="s">
        <v>510</v>
      </c>
      <c r="B133" t="s">
        <v>511</v>
      </c>
      <c r="C133" t="s">
        <v>23</v>
      </c>
      <c r="D133" t="s">
        <v>512</v>
      </c>
      <c r="E133" t="s">
        <v>111</v>
      </c>
      <c r="F133" t="s">
        <v>25</v>
      </c>
      <c r="G133" t="str">
        <f>_xlfn.XLOOKUP(E133,lookup_table!A:A,lookup_table!B:B, "N/A")</f>
        <v>Gauteng</v>
      </c>
      <c r="H133" t="str">
        <f t="shared" si="2"/>
        <v>Mismatch</v>
      </c>
      <c r="I133" t="s">
        <v>39</v>
      </c>
      <c r="J133" t="s">
        <v>26</v>
      </c>
      <c r="K133" t="s">
        <v>55</v>
      </c>
      <c r="L133" s="9">
        <v>45287</v>
      </c>
    </row>
    <row r="134" spans="1:12">
      <c r="A134" t="s">
        <v>513</v>
      </c>
      <c r="B134" t="s">
        <v>514</v>
      </c>
      <c r="C134" t="s">
        <v>515</v>
      </c>
      <c r="D134" t="s">
        <v>23</v>
      </c>
      <c r="E134" t="s">
        <v>38</v>
      </c>
      <c r="F134" t="s">
        <v>180</v>
      </c>
      <c r="G134" t="str">
        <f>_xlfn.XLOOKUP(E134,lookup_table!A:A,lookup_table!B:B, "N/A")</f>
        <v>Western Cape</v>
      </c>
      <c r="H134" t="str">
        <f t="shared" si="2"/>
        <v>Mismatch</v>
      </c>
      <c r="I134" t="s">
        <v>39</v>
      </c>
      <c r="J134" t="s">
        <v>23</v>
      </c>
      <c r="K134" t="s">
        <v>43</v>
      </c>
      <c r="L134" s="9">
        <v>46065</v>
      </c>
    </row>
    <row r="135" spans="1:12">
      <c r="A135" t="s">
        <v>516</v>
      </c>
      <c r="B135" t="s">
        <v>517</v>
      </c>
      <c r="C135" t="s">
        <v>518</v>
      </c>
      <c r="D135" t="s">
        <v>519</v>
      </c>
      <c r="E135" t="s">
        <v>70</v>
      </c>
      <c r="F135" t="s">
        <v>50</v>
      </c>
      <c r="G135" t="str">
        <f>_xlfn.XLOOKUP(E135,lookup_table!A:A,lookup_table!B:B, "N/A")</f>
        <v>Eastern Cape</v>
      </c>
      <c r="H135" t="str">
        <f t="shared" si="2"/>
        <v>Mismatch</v>
      </c>
      <c r="I135">
        <v>53</v>
      </c>
      <c r="J135" t="s">
        <v>120</v>
      </c>
      <c r="K135" t="s">
        <v>60</v>
      </c>
      <c r="L135" s="9">
        <v>45623</v>
      </c>
    </row>
    <row r="136" spans="1:12">
      <c r="A136" t="s">
        <v>520</v>
      </c>
      <c r="B136" t="s">
        <v>521</v>
      </c>
      <c r="C136" t="s">
        <v>23</v>
      </c>
      <c r="D136" t="s">
        <v>522</v>
      </c>
      <c r="E136" t="s">
        <v>38</v>
      </c>
      <c r="F136" t="s">
        <v>89</v>
      </c>
      <c r="G136" t="str">
        <f>_xlfn.XLOOKUP(E136,lookup_table!A:A,lookup_table!B:B, "N/A")</f>
        <v>Western Cape</v>
      </c>
      <c r="H136" t="str">
        <f t="shared" si="2"/>
        <v>Match</v>
      </c>
      <c r="I136" t="s">
        <v>39</v>
      </c>
      <c r="J136" t="s">
        <v>26</v>
      </c>
      <c r="K136" t="s">
        <v>23</v>
      </c>
      <c r="L136" s="9">
        <v>45162</v>
      </c>
    </row>
    <row r="137" spans="1:12">
      <c r="A137" t="s">
        <v>523</v>
      </c>
      <c r="B137" t="s">
        <v>524</v>
      </c>
      <c r="C137" t="s">
        <v>525</v>
      </c>
      <c r="D137" t="s">
        <v>526</v>
      </c>
      <c r="E137" t="s">
        <v>32</v>
      </c>
      <c r="F137" t="s">
        <v>50</v>
      </c>
      <c r="G137" t="str">
        <f>_xlfn.XLOOKUP(E137,lookup_table!A:A,lookup_table!B:B, "N/A")</f>
        <v>KwaZulu-Natal</v>
      </c>
      <c r="H137" t="str">
        <f t="shared" si="2"/>
        <v>Match</v>
      </c>
      <c r="I137">
        <v>41</v>
      </c>
      <c r="J137" t="s">
        <v>26</v>
      </c>
      <c r="K137" t="s">
        <v>60</v>
      </c>
      <c r="L137" s="9">
        <v>46025</v>
      </c>
    </row>
    <row r="138" spans="1:12">
      <c r="A138" t="s">
        <v>527</v>
      </c>
      <c r="B138" t="s">
        <v>528</v>
      </c>
      <c r="C138" t="s">
        <v>529</v>
      </c>
      <c r="D138" t="s">
        <v>530</v>
      </c>
      <c r="E138" t="s">
        <v>38</v>
      </c>
      <c r="F138" t="s">
        <v>79</v>
      </c>
      <c r="G138" t="str">
        <f>_xlfn.XLOOKUP(E138,lookup_table!A:A,lookup_table!B:B, "N/A")</f>
        <v>Western Cape</v>
      </c>
      <c r="H138" t="str">
        <f t="shared" si="2"/>
        <v>Mismatch</v>
      </c>
      <c r="I138" t="s">
        <v>39</v>
      </c>
      <c r="J138" t="s">
        <v>26</v>
      </c>
      <c r="K138" t="s">
        <v>106</v>
      </c>
      <c r="L138" s="9">
        <v>45715</v>
      </c>
    </row>
    <row r="139" spans="1:12">
      <c r="A139" t="s">
        <v>531</v>
      </c>
      <c r="B139" t="s">
        <v>532</v>
      </c>
      <c r="C139" t="s">
        <v>533</v>
      </c>
      <c r="D139" t="s">
        <v>534</v>
      </c>
      <c r="E139" t="s">
        <v>16</v>
      </c>
      <c r="F139" t="s">
        <v>17</v>
      </c>
      <c r="G139" t="str">
        <f>_xlfn.XLOOKUP(E139,lookup_table!A:A,lookup_table!B:B, "N/A")</f>
        <v>Gauteng</v>
      </c>
      <c r="H139" t="str">
        <f t="shared" si="2"/>
        <v>Mismatch</v>
      </c>
      <c r="I139" t="s">
        <v>39</v>
      </c>
      <c r="J139" t="s">
        <v>66</v>
      </c>
      <c r="K139" t="s">
        <v>106</v>
      </c>
      <c r="L139" s="9">
        <v>45621</v>
      </c>
    </row>
    <row r="140" spans="1:12">
      <c r="A140" t="s">
        <v>535</v>
      </c>
      <c r="B140" t="s">
        <v>536</v>
      </c>
      <c r="C140" t="s">
        <v>23</v>
      </c>
      <c r="D140" t="s">
        <v>537</v>
      </c>
      <c r="E140" t="s">
        <v>111</v>
      </c>
      <c r="G140" t="str">
        <f>_xlfn.XLOOKUP(E140,lookup_table!A:A,lookup_table!B:B, "N/A")</f>
        <v>Gauteng</v>
      </c>
      <c r="H140" t="str">
        <f t="shared" si="2"/>
        <v>Mismatch</v>
      </c>
      <c r="I140" t="s">
        <v>39</v>
      </c>
      <c r="J140" t="s">
        <v>26</v>
      </c>
      <c r="K140" t="s">
        <v>23</v>
      </c>
      <c r="L140" s="9">
        <v>46041</v>
      </c>
    </row>
    <row r="141" spans="1:12">
      <c r="A141" t="s">
        <v>538</v>
      </c>
      <c r="B141" t="s">
        <v>539</v>
      </c>
      <c r="C141" t="s">
        <v>540</v>
      </c>
      <c r="D141" t="s">
        <v>541</v>
      </c>
      <c r="E141" t="s">
        <v>38</v>
      </c>
      <c r="F141" t="s">
        <v>79</v>
      </c>
      <c r="G141" t="str">
        <f>_xlfn.XLOOKUP(E141,lookup_table!A:A,lookup_table!B:B, "N/A")</f>
        <v>Western Cape</v>
      </c>
      <c r="H141" t="str">
        <f t="shared" si="2"/>
        <v>Mismatch</v>
      </c>
      <c r="I141">
        <v>26</v>
      </c>
      <c r="J141" t="s">
        <v>26</v>
      </c>
      <c r="K141" t="s">
        <v>33</v>
      </c>
      <c r="L141" s="9">
        <v>45873</v>
      </c>
    </row>
    <row r="142" spans="1:12">
      <c r="A142" t="s">
        <v>542</v>
      </c>
      <c r="B142" t="s">
        <v>543</v>
      </c>
      <c r="C142" t="s">
        <v>544</v>
      </c>
      <c r="D142" t="s">
        <v>545</v>
      </c>
      <c r="E142" t="s">
        <v>53</v>
      </c>
      <c r="F142" t="s">
        <v>154</v>
      </c>
      <c r="G142" t="str">
        <f>_xlfn.XLOOKUP(E142,lookup_table!A:A,lookup_table!B:B, "N/A")</f>
        <v>Mpumalanga</v>
      </c>
      <c r="H142" t="str">
        <f t="shared" si="2"/>
        <v>Mismatch</v>
      </c>
      <c r="I142">
        <v>46</v>
      </c>
      <c r="J142" t="s">
        <v>26</v>
      </c>
      <c r="K142" t="s">
        <v>19</v>
      </c>
      <c r="L142" s="9">
        <v>45297</v>
      </c>
    </row>
    <row r="143" spans="1:12">
      <c r="A143" t="s">
        <v>546</v>
      </c>
      <c r="B143" t="s">
        <v>547</v>
      </c>
      <c r="C143" t="s">
        <v>23</v>
      </c>
      <c r="D143" t="s">
        <v>23</v>
      </c>
      <c r="E143" t="s">
        <v>16</v>
      </c>
      <c r="F143" t="s">
        <v>65</v>
      </c>
      <c r="G143" t="str">
        <f>_xlfn.XLOOKUP(E143,lookup_table!A:A,lookup_table!B:B, "N/A")</f>
        <v>Gauteng</v>
      </c>
      <c r="H143" t="str">
        <f t="shared" si="2"/>
        <v>Match</v>
      </c>
      <c r="I143">
        <v>48</v>
      </c>
      <c r="J143" t="s">
        <v>23</v>
      </c>
      <c r="K143" t="s">
        <v>33</v>
      </c>
      <c r="L143" s="9">
        <v>45998</v>
      </c>
    </row>
    <row r="144" spans="1:12">
      <c r="A144" t="s">
        <v>548</v>
      </c>
      <c r="B144" t="s">
        <v>549</v>
      </c>
      <c r="C144" t="s">
        <v>550</v>
      </c>
      <c r="D144" t="s">
        <v>23</v>
      </c>
      <c r="E144" t="s">
        <v>53</v>
      </c>
      <c r="G144" t="str">
        <f>_xlfn.XLOOKUP(E144,lookup_table!A:A,lookup_table!B:B, "N/A")</f>
        <v>Mpumalanga</v>
      </c>
      <c r="H144" t="str">
        <f t="shared" si="2"/>
        <v>Mismatch</v>
      </c>
      <c r="I144">
        <v>42</v>
      </c>
      <c r="J144" t="s">
        <v>26</v>
      </c>
      <c r="K144" t="s">
        <v>60</v>
      </c>
      <c r="L144" s="9">
        <v>45900</v>
      </c>
    </row>
    <row r="145" spans="1:12">
      <c r="A145" t="s">
        <v>551</v>
      </c>
      <c r="B145" t="s">
        <v>552</v>
      </c>
      <c r="C145" t="s">
        <v>23</v>
      </c>
      <c r="D145" t="s">
        <v>553</v>
      </c>
      <c r="E145" t="s">
        <v>32</v>
      </c>
      <c r="G145" t="str">
        <f>_xlfn.XLOOKUP(E145,lookup_table!A:A,lookup_table!B:B, "N/A")</f>
        <v>KwaZulu-Natal</v>
      </c>
      <c r="H145" t="str">
        <f t="shared" si="2"/>
        <v>Mismatch</v>
      </c>
      <c r="I145">
        <v>53</v>
      </c>
      <c r="J145" t="s">
        <v>26</v>
      </c>
      <c r="K145" t="s">
        <v>84</v>
      </c>
      <c r="L145" s="9">
        <v>46002</v>
      </c>
    </row>
    <row r="146" spans="1:12">
      <c r="A146" t="s">
        <v>554</v>
      </c>
      <c r="B146" t="s">
        <v>555</v>
      </c>
      <c r="C146" t="s">
        <v>556</v>
      </c>
      <c r="D146" t="s">
        <v>557</v>
      </c>
      <c r="E146" t="s">
        <v>24</v>
      </c>
      <c r="F146" t="s">
        <v>50</v>
      </c>
      <c r="G146" t="str">
        <f>_xlfn.XLOOKUP(E146,lookup_table!A:A,lookup_table!B:B, "N/A")</f>
        <v>Limpopo</v>
      </c>
      <c r="H146" t="str">
        <f t="shared" si="2"/>
        <v>Mismatch</v>
      </c>
      <c r="I146">
        <v>40</v>
      </c>
      <c r="J146" t="s">
        <v>66</v>
      </c>
      <c r="K146" t="s">
        <v>23</v>
      </c>
      <c r="L146" s="9">
        <v>45468</v>
      </c>
    </row>
    <row r="147" spans="1:12">
      <c r="A147" t="s">
        <v>558</v>
      </c>
      <c r="B147" t="s">
        <v>559</v>
      </c>
      <c r="C147" t="s">
        <v>560</v>
      </c>
      <c r="D147" t="s">
        <v>561</v>
      </c>
      <c r="E147" t="s">
        <v>32</v>
      </c>
      <c r="F147" t="s">
        <v>180</v>
      </c>
      <c r="G147" t="str">
        <f>_xlfn.XLOOKUP(E147,lookup_table!A:A,lookup_table!B:B, "N/A")</f>
        <v>KwaZulu-Natal</v>
      </c>
      <c r="H147" t="str">
        <f t="shared" si="2"/>
        <v>Mismatch</v>
      </c>
      <c r="I147">
        <v>35</v>
      </c>
      <c r="J147" t="s">
        <v>120</v>
      </c>
      <c r="K147" t="s">
        <v>43</v>
      </c>
      <c r="L147" s="9">
        <v>45889</v>
      </c>
    </row>
    <row r="148" spans="1:12">
      <c r="A148" t="s">
        <v>562</v>
      </c>
      <c r="B148" t="s">
        <v>563</v>
      </c>
      <c r="C148" t="s">
        <v>564</v>
      </c>
      <c r="D148" t="s">
        <v>565</v>
      </c>
      <c r="E148" t="s">
        <v>32</v>
      </c>
      <c r="F148" t="s">
        <v>65</v>
      </c>
      <c r="G148" t="str">
        <f>_xlfn.XLOOKUP(E148,lookup_table!A:A,lookup_table!B:B, "N/A")</f>
        <v>KwaZulu-Natal</v>
      </c>
      <c r="H148" t="str">
        <f t="shared" si="2"/>
        <v>Mismatch</v>
      </c>
      <c r="I148">
        <v>55</v>
      </c>
      <c r="J148" t="s">
        <v>18</v>
      </c>
      <c r="K148" t="s">
        <v>84</v>
      </c>
      <c r="L148" s="9">
        <v>45566</v>
      </c>
    </row>
    <row r="149" spans="1:12">
      <c r="A149" t="s">
        <v>566</v>
      </c>
      <c r="B149" t="s">
        <v>567</v>
      </c>
      <c r="C149" t="s">
        <v>568</v>
      </c>
      <c r="D149" t="s">
        <v>569</v>
      </c>
      <c r="E149" t="s">
        <v>16</v>
      </c>
      <c r="G149" t="str">
        <f>_xlfn.XLOOKUP(E149,lookup_table!A:A,lookup_table!B:B, "N/A")</f>
        <v>Gauteng</v>
      </c>
      <c r="H149" t="str">
        <f t="shared" si="2"/>
        <v>Mismatch</v>
      </c>
      <c r="I149">
        <v>50</v>
      </c>
      <c r="J149" t="s">
        <v>26</v>
      </c>
      <c r="K149" t="s">
        <v>33</v>
      </c>
      <c r="L149" s="9">
        <v>45614</v>
      </c>
    </row>
    <row r="150" spans="1:12">
      <c r="A150" t="s">
        <v>570</v>
      </c>
      <c r="B150" t="s">
        <v>571</v>
      </c>
      <c r="C150" t="s">
        <v>572</v>
      </c>
      <c r="D150" t="s">
        <v>573</v>
      </c>
      <c r="E150" t="s">
        <v>94</v>
      </c>
      <c r="F150" t="s">
        <v>54</v>
      </c>
      <c r="G150" t="str">
        <f>_xlfn.XLOOKUP(E150,lookup_table!A:A,lookup_table!B:B, "N/A")</f>
        <v>Eastern Cape</v>
      </c>
      <c r="H150" t="str">
        <f t="shared" si="2"/>
        <v>Mismatch</v>
      </c>
      <c r="I150">
        <v>35</v>
      </c>
      <c r="J150" t="s">
        <v>23</v>
      </c>
      <c r="K150" t="s">
        <v>60</v>
      </c>
      <c r="L150" s="9">
        <v>45386</v>
      </c>
    </row>
    <row r="151" spans="1:12">
      <c r="A151" t="s">
        <v>574</v>
      </c>
      <c r="B151" t="s">
        <v>575</v>
      </c>
      <c r="C151" t="s">
        <v>576</v>
      </c>
      <c r="D151" t="s">
        <v>577</v>
      </c>
      <c r="E151" t="s">
        <v>16</v>
      </c>
      <c r="F151" t="s">
        <v>180</v>
      </c>
      <c r="G151" t="str">
        <f>_xlfn.XLOOKUP(E151,lookup_table!A:A,lookup_table!B:B, "N/A")</f>
        <v>Gauteng</v>
      </c>
      <c r="H151" t="str">
        <f t="shared" si="2"/>
        <v>Mismatch</v>
      </c>
      <c r="I151">
        <v>50</v>
      </c>
      <c r="J151" t="s">
        <v>66</v>
      </c>
      <c r="K151" t="s">
        <v>84</v>
      </c>
      <c r="L151" s="9">
        <v>45994</v>
      </c>
    </row>
    <row r="152" spans="1:12">
      <c r="A152" t="s">
        <v>578</v>
      </c>
      <c r="B152" t="s">
        <v>579</v>
      </c>
      <c r="C152" t="s">
        <v>580</v>
      </c>
      <c r="D152" t="s">
        <v>23</v>
      </c>
      <c r="E152" t="s">
        <v>24</v>
      </c>
      <c r="F152" t="s">
        <v>54</v>
      </c>
      <c r="G152" t="str">
        <f>_xlfn.XLOOKUP(E152,lookup_table!A:A,lookup_table!B:B, "N/A")</f>
        <v>Limpopo</v>
      </c>
      <c r="H152" t="str">
        <f t="shared" si="2"/>
        <v>Mismatch</v>
      </c>
      <c r="I152">
        <v>40</v>
      </c>
      <c r="J152" t="s">
        <v>26</v>
      </c>
      <c r="K152" t="s">
        <v>19</v>
      </c>
      <c r="L152" s="9">
        <v>45695</v>
      </c>
    </row>
    <row r="153" spans="1:12">
      <c r="A153" t="s">
        <v>581</v>
      </c>
      <c r="B153" t="s">
        <v>582</v>
      </c>
      <c r="C153" t="s">
        <v>583</v>
      </c>
      <c r="D153" t="s">
        <v>584</v>
      </c>
      <c r="E153" t="s">
        <v>24</v>
      </c>
      <c r="F153" t="s">
        <v>89</v>
      </c>
      <c r="G153" t="str">
        <f>_xlfn.XLOOKUP(E153,lookup_table!A:A,lookup_table!B:B, "N/A")</f>
        <v>Limpopo</v>
      </c>
      <c r="H153" t="str">
        <f t="shared" si="2"/>
        <v>Mismatch</v>
      </c>
      <c r="I153">
        <v>53</v>
      </c>
      <c r="J153" t="s">
        <v>26</v>
      </c>
      <c r="K153" t="s">
        <v>55</v>
      </c>
      <c r="L153" s="9">
        <v>46012</v>
      </c>
    </row>
    <row r="154" spans="1:12">
      <c r="A154" t="s">
        <v>585</v>
      </c>
      <c r="B154" t="s">
        <v>586</v>
      </c>
      <c r="C154" t="s">
        <v>587</v>
      </c>
      <c r="D154" t="s">
        <v>588</v>
      </c>
      <c r="E154" t="s">
        <v>111</v>
      </c>
      <c r="F154" t="s">
        <v>65</v>
      </c>
      <c r="G154" t="str">
        <f>_xlfn.XLOOKUP(E154,lookup_table!A:A,lookup_table!B:B, "N/A")</f>
        <v>Gauteng</v>
      </c>
      <c r="H154" t="str">
        <f t="shared" si="2"/>
        <v>Match</v>
      </c>
      <c r="I154">
        <v>54</v>
      </c>
      <c r="J154" t="s">
        <v>120</v>
      </c>
      <c r="K154" t="s">
        <v>84</v>
      </c>
      <c r="L154" s="9">
        <v>45741</v>
      </c>
    </row>
    <row r="155" spans="1:12">
      <c r="A155" t="s">
        <v>589</v>
      </c>
      <c r="B155" t="s">
        <v>590</v>
      </c>
      <c r="C155" t="s">
        <v>591</v>
      </c>
      <c r="D155" t="s">
        <v>592</v>
      </c>
      <c r="E155" t="s">
        <v>94</v>
      </c>
      <c r="F155" t="s">
        <v>79</v>
      </c>
      <c r="G155" t="str">
        <f>_xlfn.XLOOKUP(E155,lookup_table!A:A,lookup_table!B:B, "N/A")</f>
        <v>Eastern Cape</v>
      </c>
      <c r="H155" t="str">
        <f t="shared" si="2"/>
        <v>Mismatch</v>
      </c>
      <c r="I155">
        <v>46</v>
      </c>
      <c r="J155" t="s">
        <v>18</v>
      </c>
      <c r="K155" t="s">
        <v>106</v>
      </c>
      <c r="L155" s="9">
        <v>46062</v>
      </c>
    </row>
    <row r="156" spans="1:12">
      <c r="A156" t="s">
        <v>593</v>
      </c>
      <c r="B156" t="s">
        <v>594</v>
      </c>
      <c r="C156" t="s">
        <v>595</v>
      </c>
      <c r="D156" t="s">
        <v>596</v>
      </c>
      <c r="E156" t="s">
        <v>70</v>
      </c>
      <c r="F156" t="s">
        <v>180</v>
      </c>
      <c r="G156" t="str">
        <f>_xlfn.XLOOKUP(E156,lookup_table!A:A,lookup_table!B:B, "N/A")</f>
        <v>Eastern Cape</v>
      </c>
      <c r="H156" t="str">
        <f t="shared" si="2"/>
        <v>Mismatch</v>
      </c>
      <c r="I156">
        <v>28</v>
      </c>
      <c r="J156" t="s">
        <v>26</v>
      </c>
      <c r="K156" t="s">
        <v>55</v>
      </c>
      <c r="L156" s="9">
        <v>45844</v>
      </c>
    </row>
    <row r="157" spans="1:12">
      <c r="A157" t="s">
        <v>597</v>
      </c>
      <c r="B157" t="s">
        <v>598</v>
      </c>
      <c r="C157" t="s">
        <v>23</v>
      </c>
      <c r="D157" t="s">
        <v>599</v>
      </c>
      <c r="E157" t="s">
        <v>53</v>
      </c>
      <c r="F157" t="s">
        <v>154</v>
      </c>
      <c r="G157" t="str">
        <f>_xlfn.XLOOKUP(E157,lookup_table!A:A,lookup_table!B:B, "N/A")</f>
        <v>Mpumalanga</v>
      </c>
      <c r="H157" t="str">
        <f t="shared" si="2"/>
        <v>Mismatch</v>
      </c>
      <c r="I157">
        <v>24</v>
      </c>
      <c r="J157" t="s">
        <v>26</v>
      </c>
      <c r="K157" t="s">
        <v>23</v>
      </c>
      <c r="L157" s="9">
        <v>46021</v>
      </c>
    </row>
    <row r="158" spans="1:12">
      <c r="A158" t="s">
        <v>600</v>
      </c>
      <c r="B158" t="s">
        <v>601</v>
      </c>
      <c r="C158" t="s">
        <v>602</v>
      </c>
      <c r="D158" t="s">
        <v>603</v>
      </c>
      <c r="E158" t="s">
        <v>24</v>
      </c>
      <c r="F158" t="s">
        <v>17</v>
      </c>
      <c r="G158" t="str">
        <f>_xlfn.XLOOKUP(E158,lookup_table!A:A,lookup_table!B:B, "N/A")</f>
        <v>Limpopo</v>
      </c>
      <c r="H158" t="str">
        <f t="shared" si="2"/>
        <v>Mismatch</v>
      </c>
      <c r="I158" t="s">
        <v>39</v>
      </c>
      <c r="J158" t="s">
        <v>23</v>
      </c>
      <c r="K158" t="s">
        <v>23</v>
      </c>
      <c r="L158" s="9">
        <v>45910</v>
      </c>
    </row>
    <row r="159" spans="1:12">
      <c r="A159" t="s">
        <v>604</v>
      </c>
      <c r="B159" t="s">
        <v>605</v>
      </c>
      <c r="C159" t="s">
        <v>23</v>
      </c>
      <c r="D159" t="s">
        <v>606</v>
      </c>
      <c r="E159" t="s">
        <v>38</v>
      </c>
      <c r="F159" t="s">
        <v>180</v>
      </c>
      <c r="G159" t="str">
        <f>_xlfn.XLOOKUP(E159,lookup_table!A:A,lookup_table!B:B, "N/A")</f>
        <v>Western Cape</v>
      </c>
      <c r="H159" t="str">
        <f t="shared" si="2"/>
        <v>Mismatch</v>
      </c>
      <c r="I159" t="s">
        <v>39</v>
      </c>
      <c r="J159" t="s">
        <v>120</v>
      </c>
      <c r="K159" t="s">
        <v>106</v>
      </c>
      <c r="L159" s="9">
        <v>46057</v>
      </c>
    </row>
    <row r="160" spans="1:12">
      <c r="A160" t="s">
        <v>607</v>
      </c>
      <c r="B160" t="s">
        <v>608</v>
      </c>
      <c r="C160" t="s">
        <v>609</v>
      </c>
      <c r="D160" t="s">
        <v>610</v>
      </c>
      <c r="E160" t="s">
        <v>70</v>
      </c>
      <c r="F160" t="s">
        <v>17</v>
      </c>
      <c r="G160" t="str">
        <f>_xlfn.XLOOKUP(E160,lookup_table!A:A,lookup_table!B:B, "N/A")</f>
        <v>Eastern Cape</v>
      </c>
      <c r="H160" t="str">
        <f t="shared" si="2"/>
        <v>Match</v>
      </c>
      <c r="I160" t="s">
        <v>39</v>
      </c>
      <c r="J160" t="s">
        <v>18</v>
      </c>
      <c r="K160" t="s">
        <v>43</v>
      </c>
      <c r="L160" s="9">
        <v>45844</v>
      </c>
    </row>
    <row r="161" spans="1:12">
      <c r="A161" t="s">
        <v>611</v>
      </c>
      <c r="B161" t="s">
        <v>612</v>
      </c>
      <c r="C161" t="s">
        <v>613</v>
      </c>
      <c r="D161" t="s">
        <v>614</v>
      </c>
      <c r="E161" t="s">
        <v>38</v>
      </c>
      <c r="F161" t="s">
        <v>89</v>
      </c>
      <c r="G161" t="str">
        <f>_xlfn.XLOOKUP(E161,lookup_table!A:A,lookup_table!B:B, "N/A")</f>
        <v>Western Cape</v>
      </c>
      <c r="H161" t="str">
        <f t="shared" si="2"/>
        <v>Match</v>
      </c>
      <c r="I161">
        <v>41</v>
      </c>
      <c r="J161" t="s">
        <v>26</v>
      </c>
      <c r="K161" t="s">
        <v>84</v>
      </c>
      <c r="L161" s="9">
        <v>45410</v>
      </c>
    </row>
    <row r="162" spans="1:12">
      <c r="A162" t="s">
        <v>615</v>
      </c>
      <c r="B162" t="s">
        <v>616</v>
      </c>
      <c r="C162" t="s">
        <v>23</v>
      </c>
      <c r="D162" t="s">
        <v>617</v>
      </c>
      <c r="E162" t="s">
        <v>78</v>
      </c>
      <c r="F162" t="s">
        <v>65</v>
      </c>
      <c r="G162" t="str">
        <f>_xlfn.XLOOKUP(E162,lookup_table!A:A,lookup_table!B:B, "N/A")</f>
        <v>Northern Cape</v>
      </c>
      <c r="H162" t="str">
        <f t="shared" si="2"/>
        <v>Mismatch</v>
      </c>
      <c r="I162">
        <v>52</v>
      </c>
      <c r="J162" t="s">
        <v>26</v>
      </c>
      <c r="K162" t="s">
        <v>19</v>
      </c>
      <c r="L162" s="9">
        <v>46097</v>
      </c>
    </row>
    <row r="163" spans="1:12">
      <c r="A163" t="s">
        <v>618</v>
      </c>
      <c r="B163" t="s">
        <v>619</v>
      </c>
      <c r="C163" t="s">
        <v>620</v>
      </c>
      <c r="D163" t="s">
        <v>621</v>
      </c>
      <c r="E163" t="s">
        <v>32</v>
      </c>
      <c r="F163" t="s">
        <v>17</v>
      </c>
      <c r="G163" t="str">
        <f>_xlfn.XLOOKUP(E163,lookup_table!A:A,lookup_table!B:B, "N/A")</f>
        <v>KwaZulu-Natal</v>
      </c>
      <c r="H163" t="str">
        <f t="shared" si="2"/>
        <v>Mismatch</v>
      </c>
      <c r="I163">
        <v>20</v>
      </c>
      <c r="J163" t="s">
        <v>26</v>
      </c>
      <c r="K163" t="s">
        <v>27</v>
      </c>
      <c r="L163" s="9">
        <v>45609</v>
      </c>
    </row>
    <row r="164" spans="1:12">
      <c r="A164" t="s">
        <v>622</v>
      </c>
      <c r="B164" t="s">
        <v>623</v>
      </c>
      <c r="C164" t="s">
        <v>624</v>
      </c>
      <c r="D164" t="s">
        <v>625</v>
      </c>
      <c r="E164" t="s">
        <v>70</v>
      </c>
      <c r="F164" t="s">
        <v>154</v>
      </c>
      <c r="G164" t="str">
        <f>_xlfn.XLOOKUP(E164,lookup_table!A:A,lookup_table!B:B, "N/A")</f>
        <v>Eastern Cape</v>
      </c>
      <c r="H164" t="str">
        <f t="shared" si="2"/>
        <v>Mismatch</v>
      </c>
      <c r="I164" t="s">
        <v>39</v>
      </c>
      <c r="J164" t="s">
        <v>120</v>
      </c>
      <c r="K164" t="s">
        <v>60</v>
      </c>
      <c r="L164" s="9">
        <v>45466</v>
      </c>
    </row>
    <row r="165" spans="1:12">
      <c r="A165" t="s">
        <v>626</v>
      </c>
      <c r="B165" t="s">
        <v>627</v>
      </c>
      <c r="C165" t="s">
        <v>628</v>
      </c>
      <c r="D165" t="s">
        <v>629</v>
      </c>
      <c r="E165" t="s">
        <v>16</v>
      </c>
      <c r="F165" t="s">
        <v>79</v>
      </c>
      <c r="G165" t="str">
        <f>_xlfn.XLOOKUP(E165,lookup_table!A:A,lookup_table!B:B, "N/A")</f>
        <v>Gauteng</v>
      </c>
      <c r="H165" t="str">
        <f t="shared" si="2"/>
        <v>Mismatch</v>
      </c>
      <c r="I165">
        <v>51</v>
      </c>
      <c r="J165" t="s">
        <v>26</v>
      </c>
      <c r="K165" t="s">
        <v>33</v>
      </c>
      <c r="L165" s="9">
        <v>45888</v>
      </c>
    </row>
    <row r="166" spans="1:12">
      <c r="A166" t="s">
        <v>630</v>
      </c>
      <c r="B166" t="s">
        <v>631</v>
      </c>
      <c r="C166" t="s">
        <v>632</v>
      </c>
      <c r="D166" t="s">
        <v>633</v>
      </c>
      <c r="E166" t="s">
        <v>16</v>
      </c>
      <c r="G166" t="str">
        <f>_xlfn.XLOOKUP(E166,lookup_table!A:A,lookup_table!B:B, "N/A")</f>
        <v>Gauteng</v>
      </c>
      <c r="H166" t="str">
        <f t="shared" si="2"/>
        <v>Mismatch</v>
      </c>
      <c r="I166">
        <v>25</v>
      </c>
      <c r="J166" t="s">
        <v>18</v>
      </c>
      <c r="K166" t="s">
        <v>55</v>
      </c>
      <c r="L166" s="9">
        <v>46091</v>
      </c>
    </row>
    <row r="167" spans="1:12">
      <c r="A167" t="s">
        <v>634</v>
      </c>
      <c r="B167" t="s">
        <v>635</v>
      </c>
      <c r="C167" t="s">
        <v>23</v>
      </c>
      <c r="D167" t="s">
        <v>636</v>
      </c>
      <c r="E167" t="s">
        <v>16</v>
      </c>
      <c r="F167" t="s">
        <v>50</v>
      </c>
      <c r="G167" t="str">
        <f>_xlfn.XLOOKUP(E167,lookup_table!A:A,lookup_table!B:B, "N/A")</f>
        <v>Gauteng</v>
      </c>
      <c r="H167" t="str">
        <f t="shared" si="2"/>
        <v>Mismatch</v>
      </c>
      <c r="I167">
        <v>51</v>
      </c>
      <c r="J167" t="s">
        <v>26</v>
      </c>
      <c r="K167" t="s">
        <v>33</v>
      </c>
      <c r="L167" s="9">
        <v>45815</v>
      </c>
    </row>
    <row r="168" spans="1:12">
      <c r="A168" t="s">
        <v>637</v>
      </c>
      <c r="B168" t="s">
        <v>638</v>
      </c>
      <c r="C168" t="s">
        <v>639</v>
      </c>
      <c r="D168" t="s">
        <v>640</v>
      </c>
      <c r="E168" t="s">
        <v>38</v>
      </c>
      <c r="F168" t="s">
        <v>180</v>
      </c>
      <c r="G168" t="str">
        <f>_xlfn.XLOOKUP(E168,lookup_table!A:A,lookup_table!B:B, "N/A")</f>
        <v>Western Cape</v>
      </c>
      <c r="H168" t="str">
        <f t="shared" si="2"/>
        <v>Mismatch</v>
      </c>
      <c r="I168">
        <v>26</v>
      </c>
      <c r="J168" t="s">
        <v>26</v>
      </c>
      <c r="K168" t="s">
        <v>84</v>
      </c>
      <c r="L168" s="9">
        <v>46047</v>
      </c>
    </row>
    <row r="169" spans="1:12">
      <c r="A169" t="s">
        <v>641</v>
      </c>
      <c r="B169" t="s">
        <v>642</v>
      </c>
      <c r="C169" t="s">
        <v>643</v>
      </c>
      <c r="D169" t="s">
        <v>644</v>
      </c>
      <c r="E169" t="s">
        <v>24</v>
      </c>
      <c r="F169" t="s">
        <v>25</v>
      </c>
      <c r="G169" t="str">
        <f>_xlfn.XLOOKUP(E169,lookup_table!A:A,lookup_table!B:B, "N/A")</f>
        <v>Limpopo</v>
      </c>
      <c r="H169" t="str">
        <f t="shared" si="2"/>
        <v>Mismatch</v>
      </c>
      <c r="I169">
        <v>31</v>
      </c>
      <c r="J169" t="s">
        <v>26</v>
      </c>
      <c r="K169" t="s">
        <v>106</v>
      </c>
      <c r="L169" s="9">
        <v>45546</v>
      </c>
    </row>
    <row r="170" spans="1:12">
      <c r="A170" t="s">
        <v>645</v>
      </c>
      <c r="B170" t="s">
        <v>646</v>
      </c>
      <c r="C170" t="s">
        <v>647</v>
      </c>
      <c r="D170" t="s">
        <v>648</v>
      </c>
      <c r="E170" t="s">
        <v>24</v>
      </c>
      <c r="F170" t="s">
        <v>180</v>
      </c>
      <c r="G170" t="str">
        <f>_xlfn.XLOOKUP(E170,lookup_table!A:A,lookup_table!B:B, "N/A")</f>
        <v>Limpopo</v>
      </c>
      <c r="H170" t="str">
        <f t="shared" si="2"/>
        <v>Mismatch</v>
      </c>
      <c r="I170">
        <v>37</v>
      </c>
      <c r="J170" t="s">
        <v>18</v>
      </c>
      <c r="K170" t="s">
        <v>84</v>
      </c>
      <c r="L170" s="9">
        <v>45932</v>
      </c>
    </row>
    <row r="171" spans="1:12">
      <c r="A171" t="s">
        <v>649</v>
      </c>
      <c r="B171" t="s">
        <v>650</v>
      </c>
      <c r="C171" t="s">
        <v>651</v>
      </c>
      <c r="D171" t="s">
        <v>652</v>
      </c>
      <c r="E171" t="s">
        <v>24</v>
      </c>
      <c r="F171" t="s">
        <v>25</v>
      </c>
      <c r="G171" t="str">
        <f>_xlfn.XLOOKUP(E171,lookup_table!A:A,lookup_table!B:B, "N/A")</f>
        <v>Limpopo</v>
      </c>
      <c r="H171" t="str">
        <f t="shared" si="2"/>
        <v>Mismatch</v>
      </c>
      <c r="I171">
        <v>33</v>
      </c>
      <c r="J171" t="s">
        <v>18</v>
      </c>
      <c r="K171" t="s">
        <v>33</v>
      </c>
      <c r="L171" s="9">
        <v>45139</v>
      </c>
    </row>
    <row r="172" spans="1:12">
      <c r="A172" t="s">
        <v>653</v>
      </c>
      <c r="B172" t="s">
        <v>654</v>
      </c>
      <c r="C172" t="s">
        <v>655</v>
      </c>
      <c r="D172" t="s">
        <v>23</v>
      </c>
      <c r="E172" t="s">
        <v>38</v>
      </c>
      <c r="F172" t="s">
        <v>79</v>
      </c>
      <c r="G172" t="str">
        <f>_xlfn.XLOOKUP(E172,lookup_table!A:A,lookup_table!B:B, "N/A")</f>
        <v>Western Cape</v>
      </c>
      <c r="H172" t="str">
        <f t="shared" si="2"/>
        <v>Mismatch</v>
      </c>
      <c r="I172">
        <v>20</v>
      </c>
      <c r="J172" t="s">
        <v>26</v>
      </c>
      <c r="K172" t="s">
        <v>43</v>
      </c>
      <c r="L172" s="9">
        <v>45518</v>
      </c>
    </row>
    <row r="173" spans="1:12">
      <c r="A173" t="s">
        <v>656</v>
      </c>
      <c r="B173" t="s">
        <v>657</v>
      </c>
      <c r="C173" t="s">
        <v>658</v>
      </c>
      <c r="D173" t="s">
        <v>659</v>
      </c>
      <c r="E173" t="s">
        <v>16</v>
      </c>
      <c r="F173" t="s">
        <v>180</v>
      </c>
      <c r="G173" t="str">
        <f>_xlfn.XLOOKUP(E173,lookup_table!A:A,lookup_table!B:B, "N/A")</f>
        <v>Gauteng</v>
      </c>
      <c r="H173" t="str">
        <f t="shared" si="2"/>
        <v>Mismatch</v>
      </c>
      <c r="I173">
        <v>41</v>
      </c>
      <c r="J173" t="s">
        <v>26</v>
      </c>
      <c r="K173" t="s">
        <v>19</v>
      </c>
      <c r="L173" s="9">
        <v>46189</v>
      </c>
    </row>
    <row r="174" spans="1:12">
      <c r="A174" t="s">
        <v>660</v>
      </c>
      <c r="B174" t="s">
        <v>661</v>
      </c>
      <c r="C174" t="s">
        <v>662</v>
      </c>
      <c r="D174" t="s">
        <v>663</v>
      </c>
      <c r="E174" t="s">
        <v>16</v>
      </c>
      <c r="F174" t="s">
        <v>154</v>
      </c>
      <c r="G174" t="str">
        <f>_xlfn.XLOOKUP(E174,lookup_table!A:A,lookup_table!B:B, "N/A")</f>
        <v>Gauteng</v>
      </c>
      <c r="H174" t="str">
        <f t="shared" si="2"/>
        <v>Mismatch</v>
      </c>
      <c r="I174" t="s">
        <v>39</v>
      </c>
      <c r="J174" t="s">
        <v>18</v>
      </c>
      <c r="K174" t="s">
        <v>33</v>
      </c>
      <c r="L174" s="9">
        <v>44968</v>
      </c>
    </row>
    <row r="175" spans="1:12">
      <c r="A175" t="s">
        <v>664</v>
      </c>
      <c r="B175" t="s">
        <v>665</v>
      </c>
      <c r="C175" t="s">
        <v>666</v>
      </c>
      <c r="D175" t="s">
        <v>667</v>
      </c>
      <c r="E175" t="s">
        <v>70</v>
      </c>
      <c r="F175" t="s">
        <v>54</v>
      </c>
      <c r="G175" t="str">
        <f>_xlfn.XLOOKUP(E175,lookup_table!A:A,lookup_table!B:B, "N/A")</f>
        <v>Eastern Cape</v>
      </c>
      <c r="H175" t="str">
        <f t="shared" si="2"/>
        <v>Mismatch</v>
      </c>
      <c r="I175">
        <v>39</v>
      </c>
      <c r="J175" t="s">
        <v>26</v>
      </c>
      <c r="K175" t="s">
        <v>55</v>
      </c>
      <c r="L175" s="9">
        <v>45573</v>
      </c>
    </row>
    <row r="176" spans="1:12">
      <c r="A176" t="s">
        <v>668</v>
      </c>
      <c r="B176" t="s">
        <v>669</v>
      </c>
      <c r="C176" t="s">
        <v>23</v>
      </c>
      <c r="D176" t="s">
        <v>670</v>
      </c>
      <c r="E176" t="s">
        <v>16</v>
      </c>
      <c r="F176" t="s">
        <v>50</v>
      </c>
      <c r="G176" t="str">
        <f>_xlfn.XLOOKUP(E176,lookup_table!A:A,lookup_table!B:B, "N/A")</f>
        <v>Gauteng</v>
      </c>
      <c r="H176" t="str">
        <f t="shared" si="2"/>
        <v>Mismatch</v>
      </c>
      <c r="I176">
        <v>29</v>
      </c>
      <c r="J176" t="s">
        <v>23</v>
      </c>
      <c r="K176" t="s">
        <v>60</v>
      </c>
      <c r="L176" s="9">
        <v>46008</v>
      </c>
    </row>
    <row r="177" spans="1:12">
      <c r="A177" t="s">
        <v>671</v>
      </c>
      <c r="B177" t="s">
        <v>672</v>
      </c>
      <c r="C177" t="s">
        <v>673</v>
      </c>
      <c r="D177" t="s">
        <v>674</v>
      </c>
      <c r="E177" t="s">
        <v>38</v>
      </c>
      <c r="F177" t="s">
        <v>65</v>
      </c>
      <c r="G177" t="str">
        <f>_xlfn.XLOOKUP(E177,lookup_table!A:A,lookup_table!B:B, "N/A")</f>
        <v>Western Cape</v>
      </c>
      <c r="H177" t="str">
        <f t="shared" si="2"/>
        <v>Mismatch</v>
      </c>
      <c r="I177">
        <v>22</v>
      </c>
      <c r="J177" t="s">
        <v>26</v>
      </c>
      <c r="K177" t="s">
        <v>19</v>
      </c>
      <c r="L177" s="9">
        <v>45490</v>
      </c>
    </row>
    <row r="178" spans="1:12">
      <c r="A178" t="s">
        <v>675</v>
      </c>
      <c r="B178" t="s">
        <v>676</v>
      </c>
      <c r="C178" t="s">
        <v>23</v>
      </c>
      <c r="D178" t="s">
        <v>677</v>
      </c>
      <c r="E178" t="s">
        <v>111</v>
      </c>
      <c r="F178" t="s">
        <v>50</v>
      </c>
      <c r="G178" t="str">
        <f>_xlfn.XLOOKUP(E178,lookup_table!A:A,lookup_table!B:B, "N/A")</f>
        <v>Gauteng</v>
      </c>
      <c r="H178" t="str">
        <f t="shared" si="2"/>
        <v>Mismatch</v>
      </c>
      <c r="I178">
        <v>41</v>
      </c>
      <c r="J178" t="s">
        <v>18</v>
      </c>
      <c r="K178" t="s">
        <v>43</v>
      </c>
      <c r="L178" s="9">
        <v>46013</v>
      </c>
    </row>
    <row r="179" spans="1:12">
      <c r="A179" t="s">
        <v>678</v>
      </c>
      <c r="B179" t="s">
        <v>679</v>
      </c>
      <c r="C179" t="s">
        <v>680</v>
      </c>
      <c r="D179" t="s">
        <v>681</v>
      </c>
      <c r="E179" t="s">
        <v>78</v>
      </c>
      <c r="F179" t="s">
        <v>54</v>
      </c>
      <c r="G179" t="str">
        <f>_xlfn.XLOOKUP(E179,lookup_table!A:A,lookup_table!B:B, "N/A")</f>
        <v>Northern Cape</v>
      </c>
      <c r="H179" t="str">
        <f t="shared" si="2"/>
        <v>Mismatch</v>
      </c>
      <c r="I179" t="s">
        <v>39</v>
      </c>
      <c r="J179" t="s">
        <v>26</v>
      </c>
      <c r="K179" t="s">
        <v>33</v>
      </c>
      <c r="L179" s="9">
        <v>45989</v>
      </c>
    </row>
    <row r="180" spans="1:12">
      <c r="A180" t="s">
        <v>682</v>
      </c>
      <c r="B180" t="s">
        <v>683</v>
      </c>
      <c r="C180" t="s">
        <v>23</v>
      </c>
      <c r="D180" t="s">
        <v>23</v>
      </c>
      <c r="E180" t="s">
        <v>24</v>
      </c>
      <c r="F180" t="s">
        <v>154</v>
      </c>
      <c r="G180" t="str">
        <f>_xlfn.XLOOKUP(E180,lookup_table!A:A,lookup_table!B:B, "N/A")</f>
        <v>Limpopo</v>
      </c>
      <c r="H180" t="str">
        <f t="shared" si="2"/>
        <v>Match</v>
      </c>
      <c r="I180">
        <v>45</v>
      </c>
      <c r="J180" t="s">
        <v>18</v>
      </c>
      <c r="K180" t="s">
        <v>55</v>
      </c>
      <c r="L180" s="9">
        <v>46144</v>
      </c>
    </row>
    <row r="181" spans="1:12">
      <c r="A181" t="s">
        <v>684</v>
      </c>
      <c r="B181" t="s">
        <v>685</v>
      </c>
      <c r="C181" t="s">
        <v>686</v>
      </c>
      <c r="D181" t="s">
        <v>687</v>
      </c>
      <c r="E181" t="s">
        <v>149</v>
      </c>
      <c r="F181" t="s">
        <v>54</v>
      </c>
      <c r="G181" t="str">
        <f>_xlfn.XLOOKUP(E181,lookup_table!A:A,lookup_table!B:B, "N/A")</f>
        <v>Free State</v>
      </c>
      <c r="H181" t="str">
        <f t="shared" si="2"/>
        <v>Mismatch</v>
      </c>
      <c r="I181">
        <v>40</v>
      </c>
      <c r="J181" t="s">
        <v>66</v>
      </c>
      <c r="K181" t="s">
        <v>19</v>
      </c>
      <c r="L181" s="9">
        <v>45221</v>
      </c>
    </row>
    <row r="182" spans="1:12">
      <c r="A182" t="s">
        <v>688</v>
      </c>
      <c r="B182" t="s">
        <v>689</v>
      </c>
      <c r="C182" t="s">
        <v>690</v>
      </c>
      <c r="D182" t="s">
        <v>691</v>
      </c>
      <c r="E182" t="s">
        <v>32</v>
      </c>
      <c r="F182" t="s">
        <v>79</v>
      </c>
      <c r="G182" t="str">
        <f>_xlfn.XLOOKUP(E182,lookup_table!A:A,lookup_table!B:B, "N/A")</f>
        <v>KwaZulu-Natal</v>
      </c>
      <c r="H182" t="str">
        <f t="shared" si="2"/>
        <v>Mismatch</v>
      </c>
      <c r="I182">
        <v>28</v>
      </c>
      <c r="J182" t="s">
        <v>23</v>
      </c>
      <c r="K182" t="s">
        <v>27</v>
      </c>
      <c r="L182" s="9">
        <v>46043</v>
      </c>
    </row>
    <row r="183" spans="1:12">
      <c r="A183" t="s">
        <v>692</v>
      </c>
      <c r="B183" t="s">
        <v>693</v>
      </c>
      <c r="C183" t="s">
        <v>23</v>
      </c>
      <c r="D183" t="s">
        <v>694</v>
      </c>
      <c r="E183" t="s">
        <v>16</v>
      </c>
      <c r="F183" t="s">
        <v>79</v>
      </c>
      <c r="G183" t="str">
        <f>_xlfn.XLOOKUP(E183,lookup_table!A:A,lookup_table!B:B, "N/A")</f>
        <v>Gauteng</v>
      </c>
      <c r="H183" t="str">
        <f t="shared" si="2"/>
        <v>Mismatch</v>
      </c>
      <c r="I183" t="s">
        <v>39</v>
      </c>
      <c r="J183" t="s">
        <v>26</v>
      </c>
      <c r="K183" t="s">
        <v>106</v>
      </c>
      <c r="L183" s="9">
        <v>45343</v>
      </c>
    </row>
    <row r="184" spans="1:12">
      <c r="A184" t="s">
        <v>695</v>
      </c>
      <c r="B184" t="s">
        <v>696</v>
      </c>
      <c r="C184" t="s">
        <v>23</v>
      </c>
      <c r="D184" t="s">
        <v>23</v>
      </c>
      <c r="E184" t="s">
        <v>16</v>
      </c>
      <c r="F184" t="s">
        <v>79</v>
      </c>
      <c r="G184" t="str">
        <f>_xlfn.XLOOKUP(E184,lookup_table!A:A,lookup_table!B:B, "N/A")</f>
        <v>Gauteng</v>
      </c>
      <c r="H184" t="str">
        <f t="shared" si="2"/>
        <v>Mismatch</v>
      </c>
      <c r="I184" t="s">
        <v>39</v>
      </c>
      <c r="J184" t="s">
        <v>23</v>
      </c>
      <c r="K184" t="s">
        <v>19</v>
      </c>
      <c r="L184" s="9">
        <v>45110</v>
      </c>
    </row>
    <row r="185" spans="1:12">
      <c r="A185" t="s">
        <v>697</v>
      </c>
      <c r="B185" t="s">
        <v>698</v>
      </c>
      <c r="C185" t="s">
        <v>699</v>
      </c>
      <c r="D185" t="s">
        <v>700</v>
      </c>
      <c r="E185" t="s">
        <v>16</v>
      </c>
      <c r="F185" t="s">
        <v>17</v>
      </c>
      <c r="G185" t="str">
        <f>_xlfn.XLOOKUP(E185,lookup_table!A:A,lookup_table!B:B, "N/A")</f>
        <v>Gauteng</v>
      </c>
      <c r="H185" t="str">
        <f t="shared" si="2"/>
        <v>Mismatch</v>
      </c>
      <c r="I185">
        <v>21</v>
      </c>
      <c r="J185" t="s">
        <v>18</v>
      </c>
      <c r="K185" t="s">
        <v>43</v>
      </c>
      <c r="L185" s="9">
        <v>45701</v>
      </c>
    </row>
    <row r="186" spans="1:12">
      <c r="A186" t="s">
        <v>701</v>
      </c>
      <c r="B186" t="s">
        <v>702</v>
      </c>
      <c r="C186" t="s">
        <v>703</v>
      </c>
      <c r="D186" t="s">
        <v>23</v>
      </c>
      <c r="E186" t="s">
        <v>38</v>
      </c>
      <c r="F186" t="s">
        <v>50</v>
      </c>
      <c r="G186" t="str">
        <f>_xlfn.XLOOKUP(E186,lookup_table!A:A,lookup_table!B:B, "N/A")</f>
        <v>Western Cape</v>
      </c>
      <c r="H186" t="str">
        <f t="shared" si="2"/>
        <v>Mismatch</v>
      </c>
      <c r="I186" t="s">
        <v>39</v>
      </c>
      <c r="J186" t="s">
        <v>26</v>
      </c>
      <c r="K186" t="s">
        <v>55</v>
      </c>
      <c r="L186" s="9">
        <v>45914</v>
      </c>
    </row>
    <row r="187" spans="1:12">
      <c r="A187" t="s">
        <v>704</v>
      </c>
      <c r="B187" t="s">
        <v>705</v>
      </c>
      <c r="C187" t="s">
        <v>706</v>
      </c>
      <c r="D187" t="s">
        <v>23</v>
      </c>
      <c r="E187" t="s">
        <v>38</v>
      </c>
      <c r="F187" t="s">
        <v>50</v>
      </c>
      <c r="G187" t="str">
        <f>_xlfn.XLOOKUP(E187,lookup_table!A:A,lookup_table!B:B, "N/A")</f>
        <v>Western Cape</v>
      </c>
      <c r="H187" t="str">
        <f t="shared" si="2"/>
        <v>Mismatch</v>
      </c>
      <c r="I187">
        <v>33</v>
      </c>
      <c r="J187" t="s">
        <v>18</v>
      </c>
      <c r="K187" t="s">
        <v>23</v>
      </c>
      <c r="L187" s="9">
        <v>45324</v>
      </c>
    </row>
    <row r="188" spans="1:12">
      <c r="A188" t="s">
        <v>707</v>
      </c>
      <c r="B188" t="s">
        <v>708</v>
      </c>
      <c r="C188" t="s">
        <v>23</v>
      </c>
      <c r="D188" t="s">
        <v>709</v>
      </c>
      <c r="E188" t="s">
        <v>32</v>
      </c>
      <c r="F188" t="s">
        <v>25</v>
      </c>
      <c r="G188" t="str">
        <f>_xlfn.XLOOKUP(E188,lookup_table!A:A,lookup_table!B:B, "N/A")</f>
        <v>KwaZulu-Natal</v>
      </c>
      <c r="H188" t="str">
        <f t="shared" si="2"/>
        <v>Mismatch</v>
      </c>
      <c r="I188">
        <v>21</v>
      </c>
      <c r="J188" t="s">
        <v>26</v>
      </c>
      <c r="K188" t="s">
        <v>84</v>
      </c>
      <c r="L188" s="9">
        <v>45204</v>
      </c>
    </row>
    <row r="189" spans="1:12">
      <c r="A189" t="s">
        <v>710</v>
      </c>
      <c r="B189" t="s">
        <v>711</v>
      </c>
      <c r="C189" t="s">
        <v>23</v>
      </c>
      <c r="D189" t="s">
        <v>712</v>
      </c>
      <c r="E189" t="s">
        <v>78</v>
      </c>
      <c r="G189" t="str">
        <f>_xlfn.XLOOKUP(E189,lookup_table!A:A,lookup_table!B:B, "N/A")</f>
        <v>Northern Cape</v>
      </c>
      <c r="H189" t="str">
        <f t="shared" si="2"/>
        <v>Mismatch</v>
      </c>
      <c r="I189">
        <v>50</v>
      </c>
      <c r="J189" t="s">
        <v>18</v>
      </c>
      <c r="K189" t="s">
        <v>84</v>
      </c>
      <c r="L189" s="9">
        <v>45215</v>
      </c>
    </row>
    <row r="190" spans="1:12">
      <c r="A190" t="s">
        <v>713</v>
      </c>
      <c r="B190" t="s">
        <v>714</v>
      </c>
      <c r="C190" t="s">
        <v>715</v>
      </c>
      <c r="D190" t="s">
        <v>716</v>
      </c>
      <c r="E190" t="s">
        <v>32</v>
      </c>
      <c r="F190" t="s">
        <v>54</v>
      </c>
      <c r="G190" t="str">
        <f>_xlfn.XLOOKUP(E190,lookup_table!A:A,lookup_table!B:B, "N/A")</f>
        <v>KwaZulu-Natal</v>
      </c>
      <c r="H190" t="str">
        <f t="shared" si="2"/>
        <v>Mismatch</v>
      </c>
      <c r="I190">
        <v>52</v>
      </c>
      <c r="J190" t="s">
        <v>23</v>
      </c>
      <c r="K190" t="s">
        <v>60</v>
      </c>
      <c r="L190" s="9">
        <v>45362</v>
      </c>
    </row>
    <row r="191" spans="1:12">
      <c r="A191" t="s">
        <v>717</v>
      </c>
      <c r="B191" t="s">
        <v>718</v>
      </c>
      <c r="C191" t="s">
        <v>719</v>
      </c>
      <c r="D191" t="s">
        <v>720</v>
      </c>
      <c r="E191" t="s">
        <v>53</v>
      </c>
      <c r="F191" t="s">
        <v>180</v>
      </c>
      <c r="G191" t="str">
        <f>_xlfn.XLOOKUP(E191,lookup_table!A:A,lookup_table!B:B, "N/A")</f>
        <v>Mpumalanga</v>
      </c>
      <c r="H191" t="str">
        <f t="shared" si="2"/>
        <v>Match</v>
      </c>
      <c r="I191">
        <v>24</v>
      </c>
      <c r="J191" t="s">
        <v>26</v>
      </c>
      <c r="K191" t="s">
        <v>23</v>
      </c>
      <c r="L191" s="9">
        <v>45270</v>
      </c>
    </row>
    <row r="192" spans="1:12">
      <c r="A192" t="s">
        <v>721</v>
      </c>
      <c r="B192" t="s">
        <v>722</v>
      </c>
      <c r="C192" t="s">
        <v>723</v>
      </c>
      <c r="D192" t="s">
        <v>724</v>
      </c>
      <c r="E192" t="s">
        <v>38</v>
      </c>
      <c r="F192" t="s">
        <v>17</v>
      </c>
      <c r="G192" t="str">
        <f>_xlfn.XLOOKUP(E192,lookup_table!A:A,lookup_table!B:B, "N/A")</f>
        <v>Western Cape</v>
      </c>
      <c r="H192" t="str">
        <f t="shared" si="2"/>
        <v>Mismatch</v>
      </c>
      <c r="I192" t="s">
        <v>39</v>
      </c>
      <c r="J192" t="s">
        <v>23</v>
      </c>
      <c r="K192" t="s">
        <v>60</v>
      </c>
      <c r="L192" s="9">
        <v>45758</v>
      </c>
    </row>
    <row r="193" spans="1:12">
      <c r="A193" t="s">
        <v>725</v>
      </c>
      <c r="B193" t="s">
        <v>726</v>
      </c>
      <c r="C193" t="s">
        <v>727</v>
      </c>
      <c r="D193" t="s">
        <v>728</v>
      </c>
      <c r="E193" t="s">
        <v>32</v>
      </c>
      <c r="F193" t="s">
        <v>180</v>
      </c>
      <c r="G193" t="str">
        <f>_xlfn.XLOOKUP(E193,lookup_table!A:A,lookup_table!B:B, "N/A")</f>
        <v>KwaZulu-Natal</v>
      </c>
      <c r="H193" t="str">
        <f t="shared" si="2"/>
        <v>Mismatch</v>
      </c>
      <c r="I193">
        <v>46</v>
      </c>
      <c r="J193" t="s">
        <v>26</v>
      </c>
      <c r="K193" t="s">
        <v>106</v>
      </c>
      <c r="L193" s="9">
        <v>45858</v>
      </c>
    </row>
    <row r="194" spans="1:12">
      <c r="A194" t="s">
        <v>729</v>
      </c>
      <c r="B194" t="s">
        <v>730</v>
      </c>
      <c r="C194" t="s">
        <v>23</v>
      </c>
      <c r="D194" t="s">
        <v>731</v>
      </c>
      <c r="E194" t="s">
        <v>38</v>
      </c>
      <c r="F194" t="s">
        <v>50</v>
      </c>
      <c r="G194" t="str">
        <f>_xlfn.XLOOKUP(E194,lookup_table!A:A,lookup_table!B:B, "N/A")</f>
        <v>Western Cape</v>
      </c>
      <c r="H194" t="str">
        <f t="shared" si="2"/>
        <v>Mismatch</v>
      </c>
      <c r="I194">
        <v>52</v>
      </c>
      <c r="J194" t="s">
        <v>66</v>
      </c>
      <c r="K194" t="s">
        <v>27</v>
      </c>
      <c r="L194" s="9">
        <v>45125</v>
      </c>
    </row>
    <row r="195" spans="1:12">
      <c r="A195" t="s">
        <v>732</v>
      </c>
      <c r="B195" t="s">
        <v>733</v>
      </c>
      <c r="C195" t="s">
        <v>23</v>
      </c>
      <c r="D195" t="s">
        <v>734</v>
      </c>
      <c r="E195" t="s">
        <v>16</v>
      </c>
      <c r="F195" t="s">
        <v>50</v>
      </c>
      <c r="G195" t="str">
        <f>_xlfn.XLOOKUP(E195,lookup_table!A:A,lookup_table!B:B, "N/A")</f>
        <v>Gauteng</v>
      </c>
      <c r="H195" t="str">
        <f t="shared" ref="H195:H258" si="3">IF(F195=G195, "Match", "Mismatch")</f>
        <v>Mismatch</v>
      </c>
      <c r="I195" t="s">
        <v>39</v>
      </c>
      <c r="J195" t="s">
        <v>26</v>
      </c>
      <c r="K195" t="s">
        <v>43</v>
      </c>
      <c r="L195" s="9">
        <v>45491</v>
      </c>
    </row>
    <row r="196" spans="1:12">
      <c r="A196" t="s">
        <v>735</v>
      </c>
      <c r="B196" t="s">
        <v>736</v>
      </c>
      <c r="C196" t="s">
        <v>737</v>
      </c>
      <c r="D196" t="s">
        <v>738</v>
      </c>
      <c r="E196" t="s">
        <v>32</v>
      </c>
      <c r="F196" t="s">
        <v>25</v>
      </c>
      <c r="G196" t="str">
        <f>_xlfn.XLOOKUP(E196,lookup_table!A:A,lookup_table!B:B, "N/A")</f>
        <v>KwaZulu-Natal</v>
      </c>
      <c r="H196" t="str">
        <f t="shared" si="3"/>
        <v>Mismatch</v>
      </c>
      <c r="I196" t="s">
        <v>39</v>
      </c>
      <c r="J196" t="s">
        <v>18</v>
      </c>
      <c r="K196" t="s">
        <v>84</v>
      </c>
      <c r="L196" s="9">
        <v>46117</v>
      </c>
    </row>
    <row r="197" spans="1:12">
      <c r="A197" t="s">
        <v>739</v>
      </c>
      <c r="B197" t="s">
        <v>740</v>
      </c>
      <c r="C197" t="s">
        <v>23</v>
      </c>
      <c r="D197" t="s">
        <v>741</v>
      </c>
      <c r="E197" t="s">
        <v>111</v>
      </c>
      <c r="F197" t="s">
        <v>65</v>
      </c>
      <c r="G197" t="str">
        <f>_xlfn.XLOOKUP(E197,lookup_table!A:A,lookup_table!B:B, "N/A")</f>
        <v>Gauteng</v>
      </c>
      <c r="H197" t="str">
        <f t="shared" si="3"/>
        <v>Match</v>
      </c>
      <c r="I197">
        <v>52</v>
      </c>
      <c r="J197" t="s">
        <v>23</v>
      </c>
      <c r="K197" t="s">
        <v>33</v>
      </c>
      <c r="L197" s="9">
        <v>45948</v>
      </c>
    </row>
    <row r="198" spans="1:12">
      <c r="A198" t="s">
        <v>742</v>
      </c>
      <c r="B198" t="s">
        <v>743</v>
      </c>
      <c r="C198" t="s">
        <v>744</v>
      </c>
      <c r="D198" t="s">
        <v>23</v>
      </c>
      <c r="E198" t="s">
        <v>16</v>
      </c>
      <c r="G198" t="str">
        <f>_xlfn.XLOOKUP(E198,lookup_table!A:A,lookup_table!B:B, "N/A")</f>
        <v>Gauteng</v>
      </c>
      <c r="H198" t="str">
        <f t="shared" si="3"/>
        <v>Mismatch</v>
      </c>
      <c r="I198" t="s">
        <v>39</v>
      </c>
      <c r="J198" t="s">
        <v>120</v>
      </c>
      <c r="K198" t="s">
        <v>27</v>
      </c>
      <c r="L198" s="9">
        <v>45416</v>
      </c>
    </row>
    <row r="199" spans="1:12">
      <c r="A199" t="s">
        <v>745</v>
      </c>
      <c r="B199" t="s">
        <v>746</v>
      </c>
      <c r="C199" t="s">
        <v>23</v>
      </c>
      <c r="D199" t="s">
        <v>747</v>
      </c>
      <c r="E199" t="s">
        <v>38</v>
      </c>
      <c r="F199" t="s">
        <v>50</v>
      </c>
      <c r="G199" t="str">
        <f>_xlfn.XLOOKUP(E199,lookup_table!A:A,lookup_table!B:B, "N/A")</f>
        <v>Western Cape</v>
      </c>
      <c r="H199" t="str">
        <f t="shared" si="3"/>
        <v>Mismatch</v>
      </c>
      <c r="I199">
        <v>35</v>
      </c>
      <c r="J199" t="s">
        <v>26</v>
      </c>
      <c r="K199" t="s">
        <v>55</v>
      </c>
      <c r="L199" s="9">
        <v>45635</v>
      </c>
    </row>
    <row r="200" spans="1:12">
      <c r="A200" t="s">
        <v>748</v>
      </c>
      <c r="B200" t="s">
        <v>749</v>
      </c>
      <c r="C200" t="s">
        <v>23</v>
      </c>
      <c r="D200" t="s">
        <v>750</v>
      </c>
      <c r="E200" t="s">
        <v>38</v>
      </c>
      <c r="F200" t="s">
        <v>180</v>
      </c>
      <c r="G200" t="str">
        <f>_xlfn.XLOOKUP(E200,lookup_table!A:A,lookup_table!B:B, "N/A")</f>
        <v>Western Cape</v>
      </c>
      <c r="H200" t="str">
        <f t="shared" si="3"/>
        <v>Mismatch</v>
      </c>
      <c r="I200">
        <v>55</v>
      </c>
      <c r="J200" t="s">
        <v>18</v>
      </c>
      <c r="K200" t="s">
        <v>106</v>
      </c>
      <c r="L200" s="9">
        <v>45198</v>
      </c>
    </row>
    <row r="201" spans="1:12">
      <c r="A201" t="s">
        <v>751</v>
      </c>
      <c r="B201" t="s">
        <v>752</v>
      </c>
      <c r="C201" t="s">
        <v>23</v>
      </c>
      <c r="D201" t="s">
        <v>753</v>
      </c>
      <c r="E201" t="s">
        <v>70</v>
      </c>
      <c r="F201" t="s">
        <v>25</v>
      </c>
      <c r="G201" t="str">
        <f>_xlfn.XLOOKUP(E201,lookup_table!A:A,lookup_table!B:B, "N/A")</f>
        <v>Eastern Cape</v>
      </c>
      <c r="H201" t="str">
        <f t="shared" si="3"/>
        <v>Mismatch</v>
      </c>
      <c r="I201">
        <v>39</v>
      </c>
      <c r="J201" t="s">
        <v>120</v>
      </c>
      <c r="K201" t="s">
        <v>55</v>
      </c>
      <c r="L201" s="9">
        <v>45586</v>
      </c>
    </row>
    <row r="202" spans="1:12">
      <c r="A202" t="s">
        <v>754</v>
      </c>
      <c r="B202" t="s">
        <v>755</v>
      </c>
      <c r="C202" t="s">
        <v>756</v>
      </c>
      <c r="D202" t="s">
        <v>757</v>
      </c>
      <c r="E202" t="s">
        <v>16</v>
      </c>
      <c r="F202" t="s">
        <v>65</v>
      </c>
      <c r="G202" t="str">
        <f>_xlfn.XLOOKUP(E202,lookup_table!A:A,lookup_table!B:B, "N/A")</f>
        <v>Gauteng</v>
      </c>
      <c r="H202" t="str">
        <f t="shared" si="3"/>
        <v>Match</v>
      </c>
      <c r="I202">
        <v>48</v>
      </c>
      <c r="J202" t="s">
        <v>26</v>
      </c>
      <c r="K202" t="s">
        <v>33</v>
      </c>
      <c r="L202" s="9">
        <v>45586</v>
      </c>
    </row>
    <row r="203" spans="1:12">
      <c r="A203" t="s">
        <v>758</v>
      </c>
      <c r="B203" t="s">
        <v>759</v>
      </c>
      <c r="C203" t="s">
        <v>760</v>
      </c>
      <c r="D203" t="s">
        <v>761</v>
      </c>
      <c r="E203" t="s">
        <v>16</v>
      </c>
      <c r="F203" t="s">
        <v>89</v>
      </c>
      <c r="G203" t="str">
        <f>_xlfn.XLOOKUP(E203,lookup_table!A:A,lookup_table!B:B, "N/A")</f>
        <v>Gauteng</v>
      </c>
      <c r="H203" t="str">
        <f t="shared" si="3"/>
        <v>Mismatch</v>
      </c>
      <c r="I203">
        <v>18</v>
      </c>
      <c r="J203" t="s">
        <v>18</v>
      </c>
      <c r="K203" t="s">
        <v>19</v>
      </c>
      <c r="L203" s="9">
        <v>46045</v>
      </c>
    </row>
    <row r="204" spans="1:12">
      <c r="A204" t="s">
        <v>762</v>
      </c>
      <c r="B204" t="s">
        <v>763</v>
      </c>
      <c r="C204" t="s">
        <v>23</v>
      </c>
      <c r="D204" t="s">
        <v>764</v>
      </c>
      <c r="E204" t="s">
        <v>149</v>
      </c>
      <c r="F204" t="s">
        <v>154</v>
      </c>
      <c r="G204" t="str">
        <f>_xlfn.XLOOKUP(E204,lookup_table!A:A,lookup_table!B:B, "N/A")</f>
        <v>Free State</v>
      </c>
      <c r="H204" t="str">
        <f t="shared" si="3"/>
        <v>Mismatch</v>
      </c>
      <c r="I204">
        <v>20</v>
      </c>
      <c r="J204" t="s">
        <v>18</v>
      </c>
      <c r="K204" t="s">
        <v>27</v>
      </c>
      <c r="L204" s="9">
        <v>45293</v>
      </c>
    </row>
    <row r="205" spans="1:12">
      <c r="A205" t="s">
        <v>765</v>
      </c>
      <c r="B205" t="s">
        <v>766</v>
      </c>
      <c r="C205" t="s">
        <v>767</v>
      </c>
      <c r="D205" t="s">
        <v>768</v>
      </c>
      <c r="E205" t="s">
        <v>32</v>
      </c>
      <c r="F205" t="s">
        <v>25</v>
      </c>
      <c r="G205" t="str">
        <f>_xlfn.XLOOKUP(E205,lookup_table!A:A,lookup_table!B:B, "N/A")</f>
        <v>KwaZulu-Natal</v>
      </c>
      <c r="H205" t="str">
        <f t="shared" si="3"/>
        <v>Mismatch</v>
      </c>
      <c r="I205">
        <v>51</v>
      </c>
      <c r="J205" t="s">
        <v>18</v>
      </c>
      <c r="K205" t="s">
        <v>84</v>
      </c>
      <c r="L205" s="9">
        <v>45835</v>
      </c>
    </row>
    <row r="206" spans="1:12">
      <c r="A206" t="s">
        <v>769</v>
      </c>
      <c r="B206" t="s">
        <v>770</v>
      </c>
      <c r="C206" t="s">
        <v>771</v>
      </c>
      <c r="D206" t="s">
        <v>23</v>
      </c>
      <c r="E206" t="s">
        <v>53</v>
      </c>
      <c r="F206" t="s">
        <v>17</v>
      </c>
      <c r="G206" t="str">
        <f>_xlfn.XLOOKUP(E206,lookup_table!A:A,lookup_table!B:B, "N/A")</f>
        <v>Mpumalanga</v>
      </c>
      <c r="H206" t="str">
        <f t="shared" si="3"/>
        <v>Mismatch</v>
      </c>
      <c r="I206">
        <v>16</v>
      </c>
      <c r="J206" t="s">
        <v>18</v>
      </c>
      <c r="K206" t="s">
        <v>60</v>
      </c>
      <c r="L206" s="9">
        <v>45818</v>
      </c>
    </row>
    <row r="207" spans="1:12">
      <c r="A207" t="s">
        <v>772</v>
      </c>
      <c r="B207" t="s">
        <v>773</v>
      </c>
      <c r="C207" t="s">
        <v>774</v>
      </c>
      <c r="D207" t="s">
        <v>775</v>
      </c>
      <c r="E207" t="s">
        <v>32</v>
      </c>
      <c r="F207" t="s">
        <v>25</v>
      </c>
      <c r="G207" t="str">
        <f>_xlfn.XLOOKUP(E207,lookup_table!A:A,lookup_table!B:B, "N/A")</f>
        <v>KwaZulu-Natal</v>
      </c>
      <c r="H207" t="str">
        <f t="shared" si="3"/>
        <v>Mismatch</v>
      </c>
      <c r="I207">
        <v>42</v>
      </c>
      <c r="J207" t="s">
        <v>66</v>
      </c>
      <c r="K207" t="s">
        <v>55</v>
      </c>
      <c r="L207" s="9">
        <v>45840</v>
      </c>
    </row>
    <row r="208" spans="1:12">
      <c r="A208" t="s">
        <v>776</v>
      </c>
      <c r="B208" t="s">
        <v>777</v>
      </c>
      <c r="C208" t="s">
        <v>778</v>
      </c>
      <c r="D208" t="s">
        <v>779</v>
      </c>
      <c r="E208" t="s">
        <v>111</v>
      </c>
      <c r="F208" t="s">
        <v>54</v>
      </c>
      <c r="G208" t="str">
        <f>_xlfn.XLOOKUP(E208,lookup_table!A:A,lookup_table!B:B, "N/A")</f>
        <v>Gauteng</v>
      </c>
      <c r="H208" t="str">
        <f t="shared" si="3"/>
        <v>Mismatch</v>
      </c>
      <c r="I208">
        <v>39</v>
      </c>
      <c r="J208" t="s">
        <v>120</v>
      </c>
      <c r="K208" t="s">
        <v>33</v>
      </c>
      <c r="L208" s="9">
        <v>45431</v>
      </c>
    </row>
    <row r="209" spans="1:12">
      <c r="A209" t="s">
        <v>780</v>
      </c>
      <c r="B209" t="s">
        <v>781</v>
      </c>
      <c r="C209" t="s">
        <v>782</v>
      </c>
      <c r="D209" t="s">
        <v>783</v>
      </c>
      <c r="E209" t="s">
        <v>38</v>
      </c>
      <c r="F209" t="s">
        <v>17</v>
      </c>
      <c r="G209" t="str">
        <f>_xlfn.XLOOKUP(E209,lookup_table!A:A,lookup_table!B:B, "N/A")</f>
        <v>Western Cape</v>
      </c>
      <c r="H209" t="str">
        <f t="shared" si="3"/>
        <v>Mismatch</v>
      </c>
      <c r="I209" t="s">
        <v>39</v>
      </c>
      <c r="J209" t="s">
        <v>26</v>
      </c>
      <c r="K209" t="s">
        <v>43</v>
      </c>
      <c r="L209" s="9">
        <v>46032</v>
      </c>
    </row>
    <row r="210" spans="1:12">
      <c r="A210" t="s">
        <v>784</v>
      </c>
      <c r="B210" t="s">
        <v>785</v>
      </c>
      <c r="C210" t="s">
        <v>786</v>
      </c>
      <c r="D210" t="s">
        <v>23</v>
      </c>
      <c r="E210" t="s">
        <v>16</v>
      </c>
      <c r="F210" t="s">
        <v>50</v>
      </c>
      <c r="G210" t="str">
        <f>_xlfn.XLOOKUP(E210,lookup_table!A:A,lookup_table!B:B, "N/A")</f>
        <v>Gauteng</v>
      </c>
      <c r="H210" t="str">
        <f t="shared" si="3"/>
        <v>Mismatch</v>
      </c>
      <c r="I210" t="s">
        <v>39</v>
      </c>
      <c r="J210" t="s">
        <v>26</v>
      </c>
      <c r="K210" t="s">
        <v>84</v>
      </c>
      <c r="L210" s="9">
        <v>45207</v>
      </c>
    </row>
    <row r="211" spans="1:12">
      <c r="A211" t="s">
        <v>787</v>
      </c>
      <c r="B211" t="s">
        <v>788</v>
      </c>
      <c r="C211" t="s">
        <v>789</v>
      </c>
      <c r="D211" t="s">
        <v>790</v>
      </c>
      <c r="E211" t="s">
        <v>16</v>
      </c>
      <c r="F211" t="s">
        <v>25</v>
      </c>
      <c r="G211" t="str">
        <f>_xlfn.XLOOKUP(E211,lookup_table!A:A,lookup_table!B:B, "N/A")</f>
        <v>Gauteng</v>
      </c>
      <c r="H211" t="str">
        <f t="shared" si="3"/>
        <v>Mismatch</v>
      </c>
      <c r="I211" t="s">
        <v>39</v>
      </c>
      <c r="J211" t="s">
        <v>26</v>
      </c>
      <c r="K211" t="s">
        <v>55</v>
      </c>
      <c r="L211" s="9">
        <v>46148</v>
      </c>
    </row>
    <row r="212" spans="1:12">
      <c r="A212" t="s">
        <v>791</v>
      </c>
      <c r="B212" t="s">
        <v>792</v>
      </c>
      <c r="C212" t="s">
        <v>793</v>
      </c>
      <c r="D212" t="s">
        <v>794</v>
      </c>
      <c r="E212" t="s">
        <v>32</v>
      </c>
      <c r="F212" t="s">
        <v>54</v>
      </c>
      <c r="G212" t="str">
        <f>_xlfn.XLOOKUP(E212,lookup_table!A:A,lookup_table!B:B, "N/A")</f>
        <v>KwaZulu-Natal</v>
      </c>
      <c r="H212" t="str">
        <f t="shared" si="3"/>
        <v>Mismatch</v>
      </c>
      <c r="I212">
        <v>22</v>
      </c>
      <c r="J212" t="s">
        <v>18</v>
      </c>
      <c r="K212" t="s">
        <v>106</v>
      </c>
      <c r="L212" s="9">
        <v>45947</v>
      </c>
    </row>
    <row r="213" spans="1:12">
      <c r="A213" t="s">
        <v>795</v>
      </c>
      <c r="B213" t="s">
        <v>796</v>
      </c>
      <c r="C213" t="s">
        <v>797</v>
      </c>
      <c r="D213" t="s">
        <v>798</v>
      </c>
      <c r="E213" t="s">
        <v>38</v>
      </c>
      <c r="F213" t="s">
        <v>65</v>
      </c>
      <c r="G213" t="str">
        <f>_xlfn.XLOOKUP(E213,lookup_table!A:A,lookup_table!B:B, "N/A")</f>
        <v>Western Cape</v>
      </c>
      <c r="H213" t="str">
        <f t="shared" si="3"/>
        <v>Mismatch</v>
      </c>
      <c r="I213">
        <v>28</v>
      </c>
      <c r="J213" t="s">
        <v>26</v>
      </c>
      <c r="K213" t="s">
        <v>33</v>
      </c>
      <c r="L213" s="9">
        <v>46029</v>
      </c>
    </row>
    <row r="214" spans="1:12">
      <c r="A214" t="s">
        <v>799</v>
      </c>
      <c r="B214" t="s">
        <v>800</v>
      </c>
      <c r="C214" t="s">
        <v>801</v>
      </c>
      <c r="D214" t="s">
        <v>802</v>
      </c>
      <c r="E214" t="s">
        <v>38</v>
      </c>
      <c r="F214" t="s">
        <v>180</v>
      </c>
      <c r="G214" t="str">
        <f>_xlfn.XLOOKUP(E214,lookup_table!A:A,lookup_table!B:B, "N/A")</f>
        <v>Western Cape</v>
      </c>
      <c r="H214" t="str">
        <f t="shared" si="3"/>
        <v>Mismatch</v>
      </c>
      <c r="I214">
        <v>17</v>
      </c>
      <c r="J214" t="s">
        <v>26</v>
      </c>
      <c r="K214" t="s">
        <v>55</v>
      </c>
      <c r="L214" s="9">
        <v>45528</v>
      </c>
    </row>
    <row r="215" spans="1:12">
      <c r="A215" t="s">
        <v>803</v>
      </c>
      <c r="B215" t="s">
        <v>804</v>
      </c>
      <c r="C215" t="s">
        <v>23</v>
      </c>
      <c r="D215" t="s">
        <v>805</v>
      </c>
      <c r="E215" t="s">
        <v>38</v>
      </c>
      <c r="F215" t="s">
        <v>17</v>
      </c>
      <c r="G215" t="str">
        <f>_xlfn.XLOOKUP(E215,lookup_table!A:A,lookup_table!B:B, "N/A")</f>
        <v>Western Cape</v>
      </c>
      <c r="H215" t="str">
        <f t="shared" si="3"/>
        <v>Mismatch</v>
      </c>
      <c r="I215">
        <v>47</v>
      </c>
      <c r="J215" t="s">
        <v>120</v>
      </c>
      <c r="K215" t="s">
        <v>43</v>
      </c>
      <c r="L215" s="9">
        <v>45251</v>
      </c>
    </row>
    <row r="216" spans="1:12">
      <c r="A216" t="s">
        <v>806</v>
      </c>
      <c r="B216" t="s">
        <v>807</v>
      </c>
      <c r="C216" t="s">
        <v>808</v>
      </c>
      <c r="D216" t="s">
        <v>23</v>
      </c>
      <c r="E216" t="s">
        <v>16</v>
      </c>
      <c r="G216" t="str">
        <f>_xlfn.XLOOKUP(E216,lookup_table!A:A,lookup_table!B:B, "N/A")</f>
        <v>Gauteng</v>
      </c>
      <c r="H216" t="str">
        <f t="shared" si="3"/>
        <v>Mismatch</v>
      </c>
      <c r="I216" t="s">
        <v>39</v>
      </c>
      <c r="J216" t="s">
        <v>120</v>
      </c>
      <c r="K216" t="s">
        <v>55</v>
      </c>
      <c r="L216" s="9">
        <v>45354</v>
      </c>
    </row>
    <row r="217" spans="1:12">
      <c r="A217" t="s">
        <v>809</v>
      </c>
      <c r="B217" t="s">
        <v>810</v>
      </c>
      <c r="C217" t="s">
        <v>811</v>
      </c>
      <c r="D217" t="s">
        <v>812</v>
      </c>
      <c r="E217" t="s">
        <v>78</v>
      </c>
      <c r="F217" t="s">
        <v>25</v>
      </c>
      <c r="G217" t="str">
        <f>_xlfn.XLOOKUP(E217,lookup_table!A:A,lookup_table!B:B, "N/A")</f>
        <v>Northern Cape</v>
      </c>
      <c r="H217" t="str">
        <f t="shared" si="3"/>
        <v>Mismatch</v>
      </c>
      <c r="I217">
        <v>49</v>
      </c>
      <c r="J217" t="s">
        <v>18</v>
      </c>
      <c r="K217" t="s">
        <v>55</v>
      </c>
      <c r="L217" s="9">
        <v>45694</v>
      </c>
    </row>
    <row r="218" spans="1:12">
      <c r="A218" t="s">
        <v>813</v>
      </c>
      <c r="B218" t="s">
        <v>814</v>
      </c>
      <c r="C218" t="s">
        <v>815</v>
      </c>
      <c r="D218" t="s">
        <v>816</v>
      </c>
      <c r="E218" t="s">
        <v>78</v>
      </c>
      <c r="F218" t="s">
        <v>180</v>
      </c>
      <c r="G218" t="str">
        <f>_xlfn.XLOOKUP(E218,lookup_table!A:A,lookup_table!B:B, "N/A")</f>
        <v>Northern Cape</v>
      </c>
      <c r="H218" t="str">
        <f t="shared" si="3"/>
        <v>Mismatch</v>
      </c>
      <c r="I218" t="s">
        <v>39</v>
      </c>
      <c r="J218" t="s">
        <v>26</v>
      </c>
      <c r="K218" t="s">
        <v>33</v>
      </c>
      <c r="L218" s="9">
        <v>45631</v>
      </c>
    </row>
    <row r="219" spans="1:12">
      <c r="A219" t="s">
        <v>817</v>
      </c>
      <c r="B219" t="s">
        <v>818</v>
      </c>
      <c r="C219" t="s">
        <v>819</v>
      </c>
      <c r="D219" t="s">
        <v>820</v>
      </c>
      <c r="E219" t="s">
        <v>32</v>
      </c>
      <c r="F219" t="s">
        <v>79</v>
      </c>
      <c r="G219" t="str">
        <f>_xlfn.XLOOKUP(E219,lookup_table!A:A,lookup_table!B:B, "N/A")</f>
        <v>KwaZulu-Natal</v>
      </c>
      <c r="H219" t="str">
        <f t="shared" si="3"/>
        <v>Mismatch</v>
      </c>
      <c r="I219">
        <v>47</v>
      </c>
      <c r="J219" t="s">
        <v>23</v>
      </c>
      <c r="K219" t="s">
        <v>60</v>
      </c>
      <c r="L219" s="9">
        <v>45270</v>
      </c>
    </row>
    <row r="220" spans="1:12">
      <c r="A220" t="s">
        <v>821</v>
      </c>
      <c r="B220" t="s">
        <v>822</v>
      </c>
      <c r="C220" t="s">
        <v>823</v>
      </c>
      <c r="D220" t="s">
        <v>23</v>
      </c>
      <c r="E220" t="s">
        <v>111</v>
      </c>
      <c r="F220" t="s">
        <v>154</v>
      </c>
      <c r="G220" t="str">
        <f>_xlfn.XLOOKUP(E220,lookup_table!A:A,lookup_table!B:B, "N/A")</f>
        <v>Gauteng</v>
      </c>
      <c r="H220" t="str">
        <f t="shared" si="3"/>
        <v>Mismatch</v>
      </c>
      <c r="I220">
        <v>19</v>
      </c>
      <c r="J220" t="s">
        <v>26</v>
      </c>
      <c r="K220" t="s">
        <v>33</v>
      </c>
      <c r="L220" s="9">
        <v>45115</v>
      </c>
    </row>
    <row r="221" spans="1:12">
      <c r="A221" t="s">
        <v>824</v>
      </c>
      <c r="B221" t="s">
        <v>825</v>
      </c>
      <c r="C221" t="s">
        <v>826</v>
      </c>
      <c r="D221" t="s">
        <v>827</v>
      </c>
      <c r="E221" t="s">
        <v>78</v>
      </c>
      <c r="F221" t="s">
        <v>25</v>
      </c>
      <c r="G221" t="str">
        <f>_xlfn.XLOOKUP(E221,lookup_table!A:A,lookup_table!B:B, "N/A")</f>
        <v>Northern Cape</v>
      </c>
      <c r="H221" t="str">
        <f t="shared" si="3"/>
        <v>Mismatch</v>
      </c>
      <c r="I221">
        <v>43</v>
      </c>
      <c r="J221" t="s">
        <v>26</v>
      </c>
      <c r="K221" t="s">
        <v>43</v>
      </c>
      <c r="L221" s="9">
        <v>45796</v>
      </c>
    </row>
    <row r="222" spans="1:12">
      <c r="A222" t="s">
        <v>828</v>
      </c>
      <c r="B222" t="s">
        <v>829</v>
      </c>
      <c r="C222" t="s">
        <v>830</v>
      </c>
      <c r="D222" t="s">
        <v>831</v>
      </c>
      <c r="E222" t="s">
        <v>16</v>
      </c>
      <c r="F222" t="s">
        <v>50</v>
      </c>
      <c r="G222" t="str">
        <f>_xlfn.XLOOKUP(E222,lookup_table!A:A,lookup_table!B:B, "N/A")</f>
        <v>Gauteng</v>
      </c>
      <c r="H222" t="str">
        <f t="shared" si="3"/>
        <v>Mismatch</v>
      </c>
      <c r="I222">
        <v>16</v>
      </c>
      <c r="J222" t="s">
        <v>18</v>
      </c>
      <c r="K222" t="s">
        <v>23</v>
      </c>
      <c r="L222" s="9">
        <v>45752</v>
      </c>
    </row>
    <row r="223" spans="1:12">
      <c r="A223" t="s">
        <v>832</v>
      </c>
      <c r="B223" t="s">
        <v>833</v>
      </c>
      <c r="C223" t="s">
        <v>834</v>
      </c>
      <c r="D223" t="s">
        <v>835</v>
      </c>
      <c r="E223" t="s">
        <v>32</v>
      </c>
      <c r="F223" t="s">
        <v>65</v>
      </c>
      <c r="G223" t="str">
        <f>_xlfn.XLOOKUP(E223,lookup_table!A:A,lookup_table!B:B, "N/A")</f>
        <v>KwaZulu-Natal</v>
      </c>
      <c r="H223" t="str">
        <f t="shared" si="3"/>
        <v>Mismatch</v>
      </c>
      <c r="I223" t="s">
        <v>39</v>
      </c>
      <c r="J223" t="s">
        <v>18</v>
      </c>
      <c r="K223" t="s">
        <v>33</v>
      </c>
      <c r="L223" s="9">
        <v>45670</v>
      </c>
    </row>
    <row r="224" spans="1:12">
      <c r="A224" t="s">
        <v>836</v>
      </c>
      <c r="B224" t="s">
        <v>837</v>
      </c>
      <c r="C224" t="s">
        <v>838</v>
      </c>
      <c r="D224" t="s">
        <v>839</v>
      </c>
      <c r="E224" t="s">
        <v>16</v>
      </c>
      <c r="F224" t="s">
        <v>89</v>
      </c>
      <c r="G224" t="str">
        <f>_xlfn.XLOOKUP(E224,lookup_table!A:A,lookup_table!B:B, "N/A")</f>
        <v>Gauteng</v>
      </c>
      <c r="H224" t="str">
        <f t="shared" si="3"/>
        <v>Mismatch</v>
      </c>
      <c r="I224">
        <v>26</v>
      </c>
      <c r="J224" t="s">
        <v>120</v>
      </c>
      <c r="K224" t="s">
        <v>33</v>
      </c>
      <c r="L224" s="9">
        <v>45820</v>
      </c>
    </row>
    <row r="225" spans="1:12">
      <c r="A225" t="s">
        <v>840</v>
      </c>
      <c r="B225" t="s">
        <v>841</v>
      </c>
      <c r="C225" t="s">
        <v>23</v>
      </c>
      <c r="D225" t="s">
        <v>23</v>
      </c>
      <c r="E225" t="s">
        <v>38</v>
      </c>
      <c r="F225" t="s">
        <v>17</v>
      </c>
      <c r="G225" t="str">
        <f>_xlfn.XLOOKUP(E225,lookup_table!A:A,lookup_table!B:B, "N/A")</f>
        <v>Western Cape</v>
      </c>
      <c r="H225" t="str">
        <f t="shared" si="3"/>
        <v>Mismatch</v>
      </c>
      <c r="I225" t="s">
        <v>39</v>
      </c>
      <c r="J225" t="s">
        <v>26</v>
      </c>
      <c r="K225" t="s">
        <v>33</v>
      </c>
      <c r="L225" s="9">
        <v>45087</v>
      </c>
    </row>
    <row r="226" spans="1:12">
      <c r="A226" t="s">
        <v>842</v>
      </c>
      <c r="B226" t="s">
        <v>843</v>
      </c>
      <c r="C226" t="s">
        <v>844</v>
      </c>
      <c r="D226" t="s">
        <v>845</v>
      </c>
      <c r="E226" t="s">
        <v>24</v>
      </c>
      <c r="F226" t="s">
        <v>65</v>
      </c>
      <c r="G226" t="str">
        <f>_xlfn.XLOOKUP(E226,lookup_table!A:A,lookup_table!B:B, "N/A")</f>
        <v>Limpopo</v>
      </c>
      <c r="H226" t="str">
        <f t="shared" si="3"/>
        <v>Mismatch</v>
      </c>
      <c r="I226">
        <v>37</v>
      </c>
      <c r="J226" t="s">
        <v>120</v>
      </c>
      <c r="K226" t="s">
        <v>106</v>
      </c>
      <c r="L226" s="9">
        <v>45670</v>
      </c>
    </row>
    <row r="227" spans="1:12">
      <c r="A227" t="s">
        <v>846</v>
      </c>
      <c r="B227" t="s">
        <v>847</v>
      </c>
      <c r="C227" t="s">
        <v>848</v>
      </c>
      <c r="D227" t="s">
        <v>849</v>
      </c>
      <c r="E227" t="s">
        <v>149</v>
      </c>
      <c r="F227" t="s">
        <v>17</v>
      </c>
      <c r="G227" t="str">
        <f>_xlfn.XLOOKUP(E227,lookup_table!A:A,lookup_table!B:B, "N/A")</f>
        <v>Free State</v>
      </c>
      <c r="H227" t="str">
        <f t="shared" si="3"/>
        <v>Mismatch</v>
      </c>
      <c r="I227" t="s">
        <v>39</v>
      </c>
      <c r="J227" t="s">
        <v>23</v>
      </c>
      <c r="K227" t="s">
        <v>106</v>
      </c>
      <c r="L227" s="9">
        <v>45716</v>
      </c>
    </row>
    <row r="228" spans="1:12">
      <c r="A228" t="s">
        <v>850</v>
      </c>
      <c r="B228" t="s">
        <v>851</v>
      </c>
      <c r="C228" t="s">
        <v>852</v>
      </c>
      <c r="D228" t="s">
        <v>853</v>
      </c>
      <c r="E228" t="s">
        <v>38</v>
      </c>
      <c r="F228" t="s">
        <v>25</v>
      </c>
      <c r="G228" t="str">
        <f>_xlfn.XLOOKUP(E228,lookup_table!A:A,lookup_table!B:B, "N/A")</f>
        <v>Western Cape</v>
      </c>
      <c r="H228" t="str">
        <f t="shared" si="3"/>
        <v>Mismatch</v>
      </c>
      <c r="I228" t="s">
        <v>39</v>
      </c>
      <c r="J228" t="s">
        <v>26</v>
      </c>
      <c r="K228" t="s">
        <v>55</v>
      </c>
      <c r="L228" s="9">
        <v>45731</v>
      </c>
    </row>
    <row r="229" spans="1:12">
      <c r="A229" t="s">
        <v>854</v>
      </c>
      <c r="B229" t="s">
        <v>855</v>
      </c>
      <c r="C229" t="s">
        <v>23</v>
      </c>
      <c r="D229" t="s">
        <v>856</v>
      </c>
      <c r="E229" t="s">
        <v>53</v>
      </c>
      <c r="F229" t="s">
        <v>25</v>
      </c>
      <c r="G229" t="str">
        <f>_xlfn.XLOOKUP(E229,lookup_table!A:A,lookup_table!B:B, "N/A")</f>
        <v>Mpumalanga</v>
      </c>
      <c r="H229" t="str">
        <f t="shared" si="3"/>
        <v>Mismatch</v>
      </c>
      <c r="I229" t="s">
        <v>39</v>
      </c>
      <c r="J229" t="s">
        <v>23</v>
      </c>
      <c r="K229" t="s">
        <v>84</v>
      </c>
      <c r="L229" s="9">
        <v>45274</v>
      </c>
    </row>
    <row r="230" spans="1:12">
      <c r="A230" t="s">
        <v>857</v>
      </c>
      <c r="B230" t="s">
        <v>858</v>
      </c>
      <c r="C230" t="s">
        <v>859</v>
      </c>
      <c r="D230" t="s">
        <v>860</v>
      </c>
      <c r="E230" t="s">
        <v>32</v>
      </c>
      <c r="F230" t="s">
        <v>89</v>
      </c>
      <c r="G230" t="str">
        <f>_xlfn.XLOOKUP(E230,lookup_table!A:A,lookup_table!B:B, "N/A")</f>
        <v>KwaZulu-Natal</v>
      </c>
      <c r="H230" t="str">
        <f t="shared" si="3"/>
        <v>Mismatch</v>
      </c>
      <c r="I230">
        <v>50</v>
      </c>
      <c r="J230" t="s">
        <v>18</v>
      </c>
      <c r="K230" t="s">
        <v>27</v>
      </c>
      <c r="L230" s="9">
        <v>45892</v>
      </c>
    </row>
    <row r="231" spans="1:12">
      <c r="A231" t="s">
        <v>861</v>
      </c>
      <c r="B231" t="s">
        <v>862</v>
      </c>
      <c r="C231" t="s">
        <v>23</v>
      </c>
      <c r="D231" t="s">
        <v>23</v>
      </c>
      <c r="E231" t="s">
        <v>38</v>
      </c>
      <c r="F231" t="s">
        <v>79</v>
      </c>
      <c r="G231" t="str">
        <f>_xlfn.XLOOKUP(E231,lookup_table!A:A,lookup_table!B:B, "N/A")</f>
        <v>Western Cape</v>
      </c>
      <c r="H231" t="str">
        <f t="shared" si="3"/>
        <v>Mismatch</v>
      </c>
      <c r="I231">
        <v>35</v>
      </c>
      <c r="J231" t="s">
        <v>66</v>
      </c>
      <c r="K231" t="s">
        <v>106</v>
      </c>
      <c r="L231" s="9">
        <v>45134</v>
      </c>
    </row>
    <row r="232" spans="1:12">
      <c r="A232" t="s">
        <v>863</v>
      </c>
      <c r="B232" t="s">
        <v>864</v>
      </c>
      <c r="C232" t="s">
        <v>865</v>
      </c>
      <c r="D232" t="s">
        <v>866</v>
      </c>
      <c r="E232" t="s">
        <v>38</v>
      </c>
      <c r="F232" t="s">
        <v>180</v>
      </c>
      <c r="G232" t="str">
        <f>_xlfn.XLOOKUP(E232,lookup_table!A:A,lookup_table!B:B, "N/A")</f>
        <v>Western Cape</v>
      </c>
      <c r="H232" t="str">
        <f t="shared" si="3"/>
        <v>Mismatch</v>
      </c>
      <c r="I232">
        <v>25</v>
      </c>
      <c r="J232" t="s">
        <v>26</v>
      </c>
      <c r="K232" t="s">
        <v>55</v>
      </c>
      <c r="L232" s="9">
        <v>45740</v>
      </c>
    </row>
    <row r="233" spans="1:12">
      <c r="A233" t="s">
        <v>867</v>
      </c>
      <c r="B233" t="s">
        <v>868</v>
      </c>
      <c r="C233" t="s">
        <v>23</v>
      </c>
      <c r="D233" t="s">
        <v>869</v>
      </c>
      <c r="E233" t="s">
        <v>16</v>
      </c>
      <c r="F233" t="s">
        <v>54</v>
      </c>
      <c r="G233" t="str">
        <f>_xlfn.XLOOKUP(E233,lookup_table!A:A,lookup_table!B:B, "N/A")</f>
        <v>Gauteng</v>
      </c>
      <c r="H233" t="str">
        <f t="shared" si="3"/>
        <v>Mismatch</v>
      </c>
      <c r="I233">
        <v>23</v>
      </c>
      <c r="J233" t="s">
        <v>26</v>
      </c>
      <c r="K233" t="s">
        <v>55</v>
      </c>
      <c r="L233" s="9">
        <v>46116</v>
      </c>
    </row>
    <row r="234" spans="1:12">
      <c r="A234" t="s">
        <v>870</v>
      </c>
      <c r="B234" t="s">
        <v>871</v>
      </c>
      <c r="C234" t="s">
        <v>872</v>
      </c>
      <c r="D234" t="s">
        <v>873</v>
      </c>
      <c r="E234" t="s">
        <v>94</v>
      </c>
      <c r="F234" t="s">
        <v>79</v>
      </c>
      <c r="G234" t="str">
        <f>_xlfn.XLOOKUP(E234,lookup_table!A:A,lookup_table!B:B, "N/A")</f>
        <v>Eastern Cape</v>
      </c>
      <c r="H234" t="str">
        <f t="shared" si="3"/>
        <v>Mismatch</v>
      </c>
      <c r="I234">
        <v>25</v>
      </c>
      <c r="J234" t="s">
        <v>26</v>
      </c>
      <c r="K234" t="s">
        <v>43</v>
      </c>
      <c r="L234" s="9">
        <v>46058</v>
      </c>
    </row>
    <row r="235" spans="1:12">
      <c r="A235" t="s">
        <v>874</v>
      </c>
      <c r="B235" t="s">
        <v>875</v>
      </c>
      <c r="C235" t="s">
        <v>876</v>
      </c>
      <c r="D235" t="s">
        <v>877</v>
      </c>
      <c r="E235" t="s">
        <v>94</v>
      </c>
      <c r="F235" t="s">
        <v>89</v>
      </c>
      <c r="G235" t="str">
        <f>_xlfn.XLOOKUP(E235,lookup_table!A:A,lookup_table!B:B, "N/A")</f>
        <v>Eastern Cape</v>
      </c>
      <c r="H235" t="str">
        <f t="shared" si="3"/>
        <v>Mismatch</v>
      </c>
      <c r="I235">
        <v>35</v>
      </c>
      <c r="J235" t="s">
        <v>26</v>
      </c>
      <c r="K235" t="s">
        <v>84</v>
      </c>
      <c r="L235" s="9">
        <v>45172</v>
      </c>
    </row>
    <row r="236" spans="1:12">
      <c r="A236" t="s">
        <v>878</v>
      </c>
      <c r="B236" t="s">
        <v>879</v>
      </c>
      <c r="C236" t="s">
        <v>880</v>
      </c>
      <c r="D236" t="s">
        <v>881</v>
      </c>
      <c r="E236" t="s">
        <v>16</v>
      </c>
      <c r="F236" t="s">
        <v>65</v>
      </c>
      <c r="G236" t="str">
        <f>_xlfn.XLOOKUP(E236,lookup_table!A:A,lookup_table!B:B, "N/A")</f>
        <v>Gauteng</v>
      </c>
      <c r="H236" t="str">
        <f t="shared" si="3"/>
        <v>Match</v>
      </c>
      <c r="I236">
        <v>42</v>
      </c>
      <c r="J236" t="s">
        <v>18</v>
      </c>
      <c r="K236" t="s">
        <v>19</v>
      </c>
      <c r="L236" s="9">
        <v>45269</v>
      </c>
    </row>
    <row r="237" spans="1:12">
      <c r="A237" t="s">
        <v>882</v>
      </c>
      <c r="B237" t="s">
        <v>883</v>
      </c>
      <c r="C237" t="s">
        <v>884</v>
      </c>
      <c r="D237" t="s">
        <v>885</v>
      </c>
      <c r="E237" t="s">
        <v>16</v>
      </c>
      <c r="F237" t="s">
        <v>50</v>
      </c>
      <c r="G237" t="str">
        <f>_xlfn.XLOOKUP(E237,lookup_table!A:A,lookup_table!B:B, "N/A")</f>
        <v>Gauteng</v>
      </c>
      <c r="H237" t="str">
        <f t="shared" si="3"/>
        <v>Mismatch</v>
      </c>
      <c r="I237">
        <v>27</v>
      </c>
      <c r="J237" t="s">
        <v>26</v>
      </c>
      <c r="K237" t="s">
        <v>43</v>
      </c>
      <c r="L237" s="9">
        <v>45324</v>
      </c>
    </row>
    <row r="238" spans="1:12">
      <c r="A238" t="s">
        <v>886</v>
      </c>
      <c r="B238" t="s">
        <v>887</v>
      </c>
      <c r="C238" t="s">
        <v>888</v>
      </c>
      <c r="D238" t="s">
        <v>889</v>
      </c>
      <c r="E238" t="s">
        <v>32</v>
      </c>
      <c r="F238" t="s">
        <v>180</v>
      </c>
      <c r="G238" t="str">
        <f>_xlfn.XLOOKUP(E238,lookup_table!A:A,lookup_table!B:B, "N/A")</f>
        <v>KwaZulu-Natal</v>
      </c>
      <c r="H238" t="str">
        <f t="shared" si="3"/>
        <v>Mismatch</v>
      </c>
      <c r="I238">
        <v>54</v>
      </c>
      <c r="J238" t="s">
        <v>26</v>
      </c>
      <c r="K238" t="s">
        <v>60</v>
      </c>
      <c r="L238" s="9">
        <v>45504</v>
      </c>
    </row>
    <row r="239" spans="1:12">
      <c r="A239" t="s">
        <v>890</v>
      </c>
      <c r="B239" t="s">
        <v>891</v>
      </c>
      <c r="C239" t="s">
        <v>892</v>
      </c>
      <c r="D239" t="s">
        <v>893</v>
      </c>
      <c r="E239" t="s">
        <v>94</v>
      </c>
      <c r="G239" t="str">
        <f>_xlfn.XLOOKUP(E239,lookup_table!A:A,lookup_table!B:B, "N/A")</f>
        <v>Eastern Cape</v>
      </c>
      <c r="H239" t="str">
        <f t="shared" si="3"/>
        <v>Mismatch</v>
      </c>
      <c r="I239">
        <v>52</v>
      </c>
      <c r="J239" t="s">
        <v>26</v>
      </c>
      <c r="K239" t="s">
        <v>23</v>
      </c>
      <c r="L239" s="9">
        <v>45973</v>
      </c>
    </row>
    <row r="240" spans="1:12">
      <c r="A240" t="s">
        <v>894</v>
      </c>
      <c r="B240" t="s">
        <v>895</v>
      </c>
      <c r="C240" t="s">
        <v>23</v>
      </c>
      <c r="D240" t="s">
        <v>23</v>
      </c>
      <c r="E240" t="s">
        <v>38</v>
      </c>
      <c r="F240" t="s">
        <v>89</v>
      </c>
      <c r="G240" t="str">
        <f>_xlfn.XLOOKUP(E240,lookup_table!A:A,lookup_table!B:B, "N/A")</f>
        <v>Western Cape</v>
      </c>
      <c r="H240" t="str">
        <f t="shared" si="3"/>
        <v>Match</v>
      </c>
      <c r="I240">
        <v>27</v>
      </c>
      <c r="J240" t="s">
        <v>26</v>
      </c>
      <c r="K240" t="s">
        <v>23</v>
      </c>
      <c r="L240" s="9">
        <v>45836</v>
      </c>
    </row>
    <row r="241" spans="1:12">
      <c r="A241" t="s">
        <v>896</v>
      </c>
      <c r="B241" t="s">
        <v>897</v>
      </c>
      <c r="C241" t="s">
        <v>898</v>
      </c>
      <c r="D241" t="s">
        <v>899</v>
      </c>
      <c r="E241" t="s">
        <v>24</v>
      </c>
      <c r="F241" t="s">
        <v>79</v>
      </c>
      <c r="G241" t="str">
        <f>_xlfn.XLOOKUP(E241,lookup_table!A:A,lookup_table!B:B, "N/A")</f>
        <v>Limpopo</v>
      </c>
      <c r="H241" t="str">
        <f t="shared" si="3"/>
        <v>Mismatch</v>
      </c>
      <c r="I241">
        <v>49</v>
      </c>
      <c r="J241" t="s">
        <v>26</v>
      </c>
      <c r="K241" t="s">
        <v>19</v>
      </c>
      <c r="L241" s="9">
        <v>45474</v>
      </c>
    </row>
    <row r="242" spans="1:12">
      <c r="A242" t="s">
        <v>900</v>
      </c>
      <c r="B242" t="s">
        <v>901</v>
      </c>
      <c r="C242" t="s">
        <v>902</v>
      </c>
      <c r="D242" t="s">
        <v>903</v>
      </c>
      <c r="E242" t="s">
        <v>38</v>
      </c>
      <c r="F242" t="s">
        <v>65</v>
      </c>
      <c r="G242" t="str">
        <f>_xlfn.XLOOKUP(E242,lookup_table!A:A,lookup_table!B:B, "N/A")</f>
        <v>Western Cape</v>
      </c>
      <c r="H242" t="str">
        <f t="shared" si="3"/>
        <v>Mismatch</v>
      </c>
      <c r="I242" t="s">
        <v>39</v>
      </c>
      <c r="J242" t="s">
        <v>18</v>
      </c>
      <c r="K242" t="s">
        <v>60</v>
      </c>
      <c r="L242" s="9">
        <v>45849</v>
      </c>
    </row>
    <row r="243" spans="1:12">
      <c r="A243" t="s">
        <v>904</v>
      </c>
      <c r="B243" t="s">
        <v>905</v>
      </c>
      <c r="C243" t="s">
        <v>23</v>
      </c>
      <c r="D243" t="s">
        <v>906</v>
      </c>
      <c r="E243" t="s">
        <v>38</v>
      </c>
      <c r="F243" t="s">
        <v>89</v>
      </c>
      <c r="G243" t="str">
        <f>_xlfn.XLOOKUP(E243,lookup_table!A:A,lookup_table!B:B, "N/A")</f>
        <v>Western Cape</v>
      </c>
      <c r="H243" t="str">
        <f t="shared" si="3"/>
        <v>Match</v>
      </c>
      <c r="I243">
        <v>41</v>
      </c>
      <c r="J243" t="s">
        <v>18</v>
      </c>
      <c r="K243" t="s">
        <v>60</v>
      </c>
      <c r="L243" s="9">
        <v>45245</v>
      </c>
    </row>
    <row r="244" spans="1:12">
      <c r="A244" t="s">
        <v>907</v>
      </c>
      <c r="B244" t="s">
        <v>908</v>
      </c>
      <c r="C244" t="s">
        <v>909</v>
      </c>
      <c r="D244" t="s">
        <v>23</v>
      </c>
      <c r="E244" t="s">
        <v>38</v>
      </c>
      <c r="F244" t="s">
        <v>154</v>
      </c>
      <c r="G244" t="str">
        <f>_xlfn.XLOOKUP(E244,lookup_table!A:A,lookup_table!B:B, "N/A")</f>
        <v>Western Cape</v>
      </c>
      <c r="H244" t="str">
        <f t="shared" si="3"/>
        <v>Mismatch</v>
      </c>
      <c r="I244">
        <v>22</v>
      </c>
      <c r="J244" t="s">
        <v>66</v>
      </c>
      <c r="K244" t="s">
        <v>23</v>
      </c>
      <c r="L244" s="9">
        <v>46017</v>
      </c>
    </row>
    <row r="245" spans="1:12">
      <c r="A245" t="s">
        <v>910</v>
      </c>
      <c r="B245" t="s">
        <v>911</v>
      </c>
      <c r="C245" t="s">
        <v>912</v>
      </c>
      <c r="D245" t="s">
        <v>913</v>
      </c>
      <c r="E245" t="s">
        <v>111</v>
      </c>
      <c r="F245" t="s">
        <v>25</v>
      </c>
      <c r="G245" t="str">
        <f>_xlfn.XLOOKUP(E245,lookup_table!A:A,lookup_table!B:B, "N/A")</f>
        <v>Gauteng</v>
      </c>
      <c r="H245" t="str">
        <f t="shared" si="3"/>
        <v>Mismatch</v>
      </c>
      <c r="I245">
        <v>34</v>
      </c>
      <c r="J245" t="s">
        <v>26</v>
      </c>
      <c r="K245" t="s">
        <v>84</v>
      </c>
      <c r="L245" s="9">
        <v>46048</v>
      </c>
    </row>
    <row r="246" spans="1:12">
      <c r="A246" t="s">
        <v>914</v>
      </c>
      <c r="B246" t="s">
        <v>915</v>
      </c>
      <c r="C246" t="s">
        <v>916</v>
      </c>
      <c r="D246" t="s">
        <v>917</v>
      </c>
      <c r="E246" t="s">
        <v>32</v>
      </c>
      <c r="F246" t="s">
        <v>54</v>
      </c>
      <c r="G246" t="str">
        <f>_xlfn.XLOOKUP(E246,lookup_table!A:A,lookup_table!B:B, "N/A")</f>
        <v>KwaZulu-Natal</v>
      </c>
      <c r="H246" t="str">
        <f t="shared" si="3"/>
        <v>Mismatch</v>
      </c>
      <c r="I246">
        <v>19</v>
      </c>
      <c r="J246" t="s">
        <v>23</v>
      </c>
      <c r="K246" t="s">
        <v>106</v>
      </c>
      <c r="L246" s="9">
        <v>45412</v>
      </c>
    </row>
    <row r="247" spans="1:12">
      <c r="A247" t="s">
        <v>918</v>
      </c>
      <c r="B247" t="s">
        <v>919</v>
      </c>
      <c r="C247" t="s">
        <v>920</v>
      </c>
      <c r="D247" t="s">
        <v>921</v>
      </c>
      <c r="E247" t="s">
        <v>16</v>
      </c>
      <c r="G247" t="str">
        <f>_xlfn.XLOOKUP(E247,lookup_table!A:A,lookup_table!B:B, "N/A")</f>
        <v>Gauteng</v>
      </c>
      <c r="H247" t="str">
        <f t="shared" si="3"/>
        <v>Mismatch</v>
      </c>
      <c r="I247">
        <v>16</v>
      </c>
      <c r="J247" t="s">
        <v>66</v>
      </c>
      <c r="K247" t="s">
        <v>33</v>
      </c>
      <c r="L247" s="9">
        <v>45813</v>
      </c>
    </row>
    <row r="248" spans="1:12">
      <c r="A248" t="s">
        <v>922</v>
      </c>
      <c r="B248" t="s">
        <v>923</v>
      </c>
      <c r="C248" t="s">
        <v>924</v>
      </c>
      <c r="D248" t="s">
        <v>925</v>
      </c>
      <c r="E248" t="s">
        <v>32</v>
      </c>
      <c r="F248" t="s">
        <v>180</v>
      </c>
      <c r="G248" t="str">
        <f>_xlfn.XLOOKUP(E248,lookup_table!A:A,lookup_table!B:B, "N/A")</f>
        <v>KwaZulu-Natal</v>
      </c>
      <c r="H248" t="str">
        <f t="shared" si="3"/>
        <v>Mismatch</v>
      </c>
      <c r="I248">
        <v>46</v>
      </c>
      <c r="J248" t="s">
        <v>26</v>
      </c>
      <c r="K248" t="s">
        <v>19</v>
      </c>
      <c r="L248" s="9">
        <v>45895</v>
      </c>
    </row>
    <row r="249" spans="1:12">
      <c r="A249" t="s">
        <v>926</v>
      </c>
      <c r="B249" t="s">
        <v>927</v>
      </c>
      <c r="C249" t="s">
        <v>928</v>
      </c>
      <c r="D249" t="s">
        <v>929</v>
      </c>
      <c r="E249" t="s">
        <v>38</v>
      </c>
      <c r="F249" t="s">
        <v>17</v>
      </c>
      <c r="G249" t="str">
        <f>_xlfn.XLOOKUP(E249,lookup_table!A:A,lookup_table!B:B, "N/A")</f>
        <v>Western Cape</v>
      </c>
      <c r="H249" t="str">
        <f t="shared" si="3"/>
        <v>Mismatch</v>
      </c>
      <c r="I249" t="s">
        <v>39</v>
      </c>
      <c r="J249" t="s">
        <v>26</v>
      </c>
      <c r="K249" t="s">
        <v>55</v>
      </c>
      <c r="L249" s="9">
        <v>45936</v>
      </c>
    </row>
    <row r="250" spans="1:12">
      <c r="A250" t="s">
        <v>930</v>
      </c>
      <c r="B250" t="s">
        <v>931</v>
      </c>
      <c r="C250" t="s">
        <v>23</v>
      </c>
      <c r="D250" t="s">
        <v>23</v>
      </c>
      <c r="E250" t="s">
        <v>78</v>
      </c>
      <c r="F250" t="s">
        <v>180</v>
      </c>
      <c r="G250" t="str">
        <f>_xlfn.XLOOKUP(E250,lookup_table!A:A,lookup_table!B:B, "N/A")</f>
        <v>Northern Cape</v>
      </c>
      <c r="H250" t="str">
        <f t="shared" si="3"/>
        <v>Mismatch</v>
      </c>
      <c r="I250">
        <v>47</v>
      </c>
      <c r="J250" t="s">
        <v>120</v>
      </c>
      <c r="K250" t="s">
        <v>60</v>
      </c>
      <c r="L250" s="9">
        <v>45675</v>
      </c>
    </row>
    <row r="251" spans="1:12">
      <c r="A251" t="s">
        <v>932</v>
      </c>
      <c r="B251" t="s">
        <v>933</v>
      </c>
      <c r="C251" t="s">
        <v>934</v>
      </c>
      <c r="D251" t="s">
        <v>935</v>
      </c>
      <c r="E251" t="s">
        <v>111</v>
      </c>
      <c r="F251" t="s">
        <v>54</v>
      </c>
      <c r="G251" t="str">
        <f>_xlfn.XLOOKUP(E251,lookup_table!A:A,lookup_table!B:B, "N/A")</f>
        <v>Gauteng</v>
      </c>
      <c r="H251" t="str">
        <f t="shared" si="3"/>
        <v>Mismatch</v>
      </c>
      <c r="I251">
        <v>18</v>
      </c>
      <c r="J251" t="s">
        <v>18</v>
      </c>
      <c r="K251" t="s">
        <v>33</v>
      </c>
      <c r="L251" s="9">
        <v>45745</v>
      </c>
    </row>
    <row r="252" spans="1:12">
      <c r="A252" t="s">
        <v>936</v>
      </c>
      <c r="B252" t="s">
        <v>937</v>
      </c>
      <c r="C252" t="s">
        <v>938</v>
      </c>
      <c r="D252" t="s">
        <v>939</v>
      </c>
      <c r="E252" t="s">
        <v>38</v>
      </c>
      <c r="F252" t="s">
        <v>89</v>
      </c>
      <c r="G252" t="str">
        <f>_xlfn.XLOOKUP(E252,lookup_table!A:A,lookup_table!B:B, "N/A")</f>
        <v>Western Cape</v>
      </c>
      <c r="H252" t="str">
        <f t="shared" si="3"/>
        <v>Match</v>
      </c>
      <c r="I252" t="s">
        <v>39</v>
      </c>
      <c r="J252" t="s">
        <v>18</v>
      </c>
      <c r="K252" t="s">
        <v>55</v>
      </c>
      <c r="L252" s="9">
        <v>45549</v>
      </c>
    </row>
    <row r="253" spans="1:12">
      <c r="A253" t="s">
        <v>940</v>
      </c>
      <c r="B253" t="s">
        <v>941</v>
      </c>
      <c r="C253" t="s">
        <v>23</v>
      </c>
      <c r="D253" t="s">
        <v>942</v>
      </c>
      <c r="E253" t="s">
        <v>38</v>
      </c>
      <c r="F253" t="s">
        <v>50</v>
      </c>
      <c r="G253" t="str">
        <f>_xlfn.XLOOKUP(E253,lookup_table!A:A,lookup_table!B:B, "N/A")</f>
        <v>Western Cape</v>
      </c>
      <c r="H253" t="str">
        <f t="shared" si="3"/>
        <v>Mismatch</v>
      </c>
      <c r="I253" t="s">
        <v>39</v>
      </c>
      <c r="J253" t="s">
        <v>18</v>
      </c>
      <c r="K253" t="s">
        <v>33</v>
      </c>
      <c r="L253" s="9">
        <v>45108</v>
      </c>
    </row>
    <row r="254" spans="1:12">
      <c r="A254" t="s">
        <v>943</v>
      </c>
      <c r="B254" t="s">
        <v>944</v>
      </c>
      <c r="C254" t="s">
        <v>945</v>
      </c>
      <c r="D254" t="s">
        <v>23</v>
      </c>
      <c r="E254" t="s">
        <v>111</v>
      </c>
      <c r="F254" t="s">
        <v>180</v>
      </c>
      <c r="G254" t="str">
        <f>_xlfn.XLOOKUP(E254,lookup_table!A:A,lookup_table!B:B, "N/A")</f>
        <v>Gauteng</v>
      </c>
      <c r="H254" t="str">
        <f t="shared" si="3"/>
        <v>Mismatch</v>
      </c>
      <c r="I254">
        <v>29</v>
      </c>
      <c r="J254" t="s">
        <v>26</v>
      </c>
      <c r="K254" t="s">
        <v>33</v>
      </c>
      <c r="L254" s="9">
        <v>45881</v>
      </c>
    </row>
    <row r="255" spans="1:12">
      <c r="A255" t="s">
        <v>946</v>
      </c>
      <c r="B255" t="s">
        <v>947</v>
      </c>
      <c r="C255" t="s">
        <v>23</v>
      </c>
      <c r="D255" t="s">
        <v>948</v>
      </c>
      <c r="E255" t="s">
        <v>16</v>
      </c>
      <c r="F255" t="s">
        <v>65</v>
      </c>
      <c r="G255" t="str">
        <f>_xlfn.XLOOKUP(E255,lookup_table!A:A,lookup_table!B:B, "N/A")</f>
        <v>Gauteng</v>
      </c>
      <c r="H255" t="str">
        <f t="shared" si="3"/>
        <v>Match</v>
      </c>
      <c r="I255" t="s">
        <v>39</v>
      </c>
      <c r="J255" t="s">
        <v>66</v>
      </c>
      <c r="K255" t="s">
        <v>60</v>
      </c>
      <c r="L255" s="9">
        <v>45304</v>
      </c>
    </row>
    <row r="256" spans="1:12">
      <c r="A256" t="s">
        <v>949</v>
      </c>
      <c r="B256" t="s">
        <v>950</v>
      </c>
      <c r="C256" t="s">
        <v>951</v>
      </c>
      <c r="D256" t="s">
        <v>952</v>
      </c>
      <c r="E256" t="s">
        <v>16</v>
      </c>
      <c r="F256" t="s">
        <v>180</v>
      </c>
      <c r="G256" t="str">
        <f>_xlfn.XLOOKUP(E256,lookup_table!A:A,lookup_table!B:B, "N/A")</f>
        <v>Gauteng</v>
      </c>
      <c r="H256" t="str">
        <f t="shared" si="3"/>
        <v>Mismatch</v>
      </c>
      <c r="I256">
        <v>18</v>
      </c>
      <c r="J256" t="s">
        <v>26</v>
      </c>
      <c r="K256" t="s">
        <v>84</v>
      </c>
      <c r="L256" s="9">
        <v>45264</v>
      </c>
    </row>
    <row r="257" spans="1:12">
      <c r="A257" t="s">
        <v>953</v>
      </c>
      <c r="B257" t="s">
        <v>954</v>
      </c>
      <c r="C257" t="s">
        <v>955</v>
      </c>
      <c r="D257" t="s">
        <v>956</v>
      </c>
      <c r="E257" t="s">
        <v>149</v>
      </c>
      <c r="F257" t="s">
        <v>50</v>
      </c>
      <c r="G257" t="str">
        <f>_xlfn.XLOOKUP(E257,lookup_table!A:A,lookup_table!B:B, "N/A")</f>
        <v>Free State</v>
      </c>
      <c r="H257" t="str">
        <f t="shared" si="3"/>
        <v>Mismatch</v>
      </c>
      <c r="I257">
        <v>33</v>
      </c>
      <c r="J257" t="s">
        <v>120</v>
      </c>
      <c r="K257" t="s">
        <v>23</v>
      </c>
      <c r="L257" s="9">
        <v>45472</v>
      </c>
    </row>
    <row r="258" spans="1:12">
      <c r="A258" t="s">
        <v>957</v>
      </c>
      <c r="B258" t="s">
        <v>958</v>
      </c>
      <c r="C258" t="s">
        <v>959</v>
      </c>
      <c r="D258" t="s">
        <v>960</v>
      </c>
      <c r="E258" t="s">
        <v>16</v>
      </c>
      <c r="F258" t="s">
        <v>50</v>
      </c>
      <c r="G258" t="str">
        <f>_xlfn.XLOOKUP(E258,lookup_table!A:A,lookup_table!B:B, "N/A")</f>
        <v>Gauteng</v>
      </c>
      <c r="H258" t="str">
        <f t="shared" si="3"/>
        <v>Mismatch</v>
      </c>
      <c r="I258">
        <v>52</v>
      </c>
      <c r="J258" t="s">
        <v>26</v>
      </c>
      <c r="K258" t="s">
        <v>33</v>
      </c>
      <c r="L258" s="9">
        <v>45297</v>
      </c>
    </row>
    <row r="259" spans="1:12">
      <c r="A259" t="s">
        <v>961</v>
      </c>
      <c r="B259" t="s">
        <v>962</v>
      </c>
      <c r="C259" t="s">
        <v>963</v>
      </c>
      <c r="D259" t="s">
        <v>964</v>
      </c>
      <c r="E259" t="s">
        <v>53</v>
      </c>
      <c r="F259" t="s">
        <v>65</v>
      </c>
      <c r="G259" t="str">
        <f>_xlfn.XLOOKUP(E259,lookup_table!A:A,lookup_table!B:B, "N/A")</f>
        <v>Mpumalanga</v>
      </c>
      <c r="H259" t="str">
        <f t="shared" ref="H259:H322" si="4">IF(F259=G259, "Match", "Mismatch")</f>
        <v>Mismatch</v>
      </c>
      <c r="I259">
        <v>44</v>
      </c>
      <c r="J259" t="s">
        <v>18</v>
      </c>
      <c r="K259" t="s">
        <v>23</v>
      </c>
      <c r="L259" s="9">
        <v>45616</v>
      </c>
    </row>
    <row r="260" spans="1:12">
      <c r="A260" t="s">
        <v>965</v>
      </c>
      <c r="B260" t="s">
        <v>966</v>
      </c>
      <c r="C260" t="s">
        <v>967</v>
      </c>
      <c r="D260" t="s">
        <v>23</v>
      </c>
      <c r="E260" t="s">
        <v>70</v>
      </c>
      <c r="F260" t="s">
        <v>65</v>
      </c>
      <c r="G260" t="str">
        <f>_xlfn.XLOOKUP(E260,lookup_table!A:A,lookup_table!B:B, "N/A")</f>
        <v>Eastern Cape</v>
      </c>
      <c r="H260" t="str">
        <f t="shared" si="4"/>
        <v>Mismatch</v>
      </c>
      <c r="I260">
        <v>46</v>
      </c>
      <c r="J260" t="s">
        <v>18</v>
      </c>
      <c r="K260" t="s">
        <v>60</v>
      </c>
      <c r="L260" s="9">
        <v>46164</v>
      </c>
    </row>
    <row r="261" spans="1:12">
      <c r="A261" t="s">
        <v>968</v>
      </c>
      <c r="B261" t="s">
        <v>969</v>
      </c>
      <c r="C261" t="s">
        <v>970</v>
      </c>
      <c r="D261" t="s">
        <v>971</v>
      </c>
      <c r="E261" t="s">
        <v>32</v>
      </c>
      <c r="F261" t="s">
        <v>50</v>
      </c>
      <c r="G261" t="str">
        <f>_xlfn.XLOOKUP(E261,lookup_table!A:A,lookup_table!B:B, "N/A")</f>
        <v>KwaZulu-Natal</v>
      </c>
      <c r="H261" t="str">
        <f t="shared" si="4"/>
        <v>Match</v>
      </c>
      <c r="I261">
        <v>47</v>
      </c>
      <c r="J261" t="s">
        <v>120</v>
      </c>
      <c r="K261" t="s">
        <v>27</v>
      </c>
      <c r="L261" s="9">
        <v>45852</v>
      </c>
    </row>
    <row r="262" spans="1:12">
      <c r="A262" t="s">
        <v>972</v>
      </c>
      <c r="B262" t="s">
        <v>973</v>
      </c>
      <c r="C262" t="s">
        <v>974</v>
      </c>
      <c r="D262" t="s">
        <v>975</v>
      </c>
      <c r="E262" t="s">
        <v>53</v>
      </c>
      <c r="F262" t="s">
        <v>79</v>
      </c>
      <c r="G262" t="str">
        <f>_xlfn.XLOOKUP(E262,lookup_table!A:A,lookup_table!B:B, "N/A")</f>
        <v>Mpumalanga</v>
      </c>
      <c r="H262" t="str">
        <f t="shared" si="4"/>
        <v>Mismatch</v>
      </c>
      <c r="I262">
        <v>47</v>
      </c>
      <c r="J262" t="s">
        <v>18</v>
      </c>
      <c r="K262" t="s">
        <v>33</v>
      </c>
      <c r="L262" s="9">
        <v>45965</v>
      </c>
    </row>
    <row r="263" spans="1:12">
      <c r="A263" t="s">
        <v>976</v>
      </c>
      <c r="B263" t="s">
        <v>977</v>
      </c>
      <c r="C263" t="s">
        <v>978</v>
      </c>
      <c r="D263" t="s">
        <v>23</v>
      </c>
      <c r="E263" t="s">
        <v>70</v>
      </c>
      <c r="F263" t="s">
        <v>79</v>
      </c>
      <c r="G263" t="str">
        <f>_xlfn.XLOOKUP(E263,lookup_table!A:A,lookup_table!B:B, "N/A")</f>
        <v>Eastern Cape</v>
      </c>
      <c r="H263" t="str">
        <f t="shared" si="4"/>
        <v>Mismatch</v>
      </c>
      <c r="I263" t="s">
        <v>39</v>
      </c>
      <c r="J263" t="s">
        <v>23</v>
      </c>
      <c r="K263" t="s">
        <v>23</v>
      </c>
      <c r="L263" s="9">
        <v>45629</v>
      </c>
    </row>
    <row r="264" spans="1:12">
      <c r="A264" t="s">
        <v>979</v>
      </c>
      <c r="B264" t="s">
        <v>980</v>
      </c>
      <c r="C264" t="s">
        <v>981</v>
      </c>
      <c r="D264" t="s">
        <v>982</v>
      </c>
      <c r="E264" t="s">
        <v>16</v>
      </c>
      <c r="G264" t="str">
        <f>_xlfn.XLOOKUP(E264,lookup_table!A:A,lookup_table!B:B, "N/A")</f>
        <v>Gauteng</v>
      </c>
      <c r="H264" t="str">
        <f t="shared" si="4"/>
        <v>Mismatch</v>
      </c>
      <c r="I264" t="s">
        <v>39</v>
      </c>
      <c r="J264" t="s">
        <v>66</v>
      </c>
      <c r="K264" t="s">
        <v>84</v>
      </c>
      <c r="L264" s="9">
        <v>46100</v>
      </c>
    </row>
    <row r="265" spans="1:12">
      <c r="A265" t="s">
        <v>983</v>
      </c>
      <c r="B265" t="s">
        <v>984</v>
      </c>
      <c r="C265" t="s">
        <v>985</v>
      </c>
      <c r="D265" t="s">
        <v>986</v>
      </c>
      <c r="E265" t="s">
        <v>16</v>
      </c>
      <c r="F265" t="s">
        <v>17</v>
      </c>
      <c r="G265" t="str">
        <f>_xlfn.XLOOKUP(E265,lookup_table!A:A,lookup_table!B:B, "N/A")</f>
        <v>Gauteng</v>
      </c>
      <c r="H265" t="str">
        <f t="shared" si="4"/>
        <v>Mismatch</v>
      </c>
      <c r="I265" t="s">
        <v>39</v>
      </c>
      <c r="J265" t="s">
        <v>26</v>
      </c>
      <c r="K265" t="s">
        <v>84</v>
      </c>
      <c r="L265" s="9">
        <v>46358</v>
      </c>
    </row>
    <row r="266" spans="1:12">
      <c r="A266" t="s">
        <v>987</v>
      </c>
      <c r="B266" t="s">
        <v>988</v>
      </c>
      <c r="C266" t="s">
        <v>23</v>
      </c>
      <c r="D266" t="s">
        <v>23</v>
      </c>
      <c r="E266" t="s">
        <v>70</v>
      </c>
      <c r="F266" t="s">
        <v>79</v>
      </c>
      <c r="G266" t="str">
        <f>_xlfn.XLOOKUP(E266,lookup_table!A:A,lookup_table!B:B, "N/A")</f>
        <v>Eastern Cape</v>
      </c>
      <c r="H266" t="str">
        <f t="shared" si="4"/>
        <v>Mismatch</v>
      </c>
      <c r="I266">
        <v>43</v>
      </c>
      <c r="J266" t="s">
        <v>66</v>
      </c>
      <c r="K266" t="s">
        <v>33</v>
      </c>
      <c r="L266" s="9">
        <v>45451</v>
      </c>
    </row>
    <row r="267" spans="1:12">
      <c r="A267" t="s">
        <v>989</v>
      </c>
      <c r="B267" t="s">
        <v>990</v>
      </c>
      <c r="C267" t="s">
        <v>991</v>
      </c>
      <c r="D267" t="s">
        <v>992</v>
      </c>
      <c r="E267" t="s">
        <v>16</v>
      </c>
      <c r="F267" t="s">
        <v>154</v>
      </c>
      <c r="G267" t="str">
        <f>_xlfn.XLOOKUP(E267,lookup_table!A:A,lookup_table!B:B, "N/A")</f>
        <v>Gauteng</v>
      </c>
      <c r="H267" t="str">
        <f t="shared" si="4"/>
        <v>Mismatch</v>
      </c>
      <c r="I267" t="s">
        <v>39</v>
      </c>
      <c r="J267" t="s">
        <v>26</v>
      </c>
      <c r="K267" t="s">
        <v>84</v>
      </c>
      <c r="L267" s="9">
        <v>45132</v>
      </c>
    </row>
    <row r="268" spans="1:12">
      <c r="A268" t="s">
        <v>993</v>
      </c>
      <c r="B268" t="s">
        <v>994</v>
      </c>
      <c r="C268" t="s">
        <v>995</v>
      </c>
      <c r="D268" t="s">
        <v>996</v>
      </c>
      <c r="E268" t="s">
        <v>78</v>
      </c>
      <c r="F268" t="s">
        <v>54</v>
      </c>
      <c r="G268" t="str">
        <f>_xlfn.XLOOKUP(E268,lookup_table!A:A,lookup_table!B:B, "N/A")</f>
        <v>Northern Cape</v>
      </c>
      <c r="H268" t="str">
        <f t="shared" si="4"/>
        <v>Mismatch</v>
      </c>
      <c r="I268">
        <v>36</v>
      </c>
      <c r="J268" t="s">
        <v>26</v>
      </c>
      <c r="K268" t="s">
        <v>23</v>
      </c>
      <c r="L268" s="9">
        <v>46115</v>
      </c>
    </row>
    <row r="269" spans="1:12">
      <c r="A269" t="s">
        <v>997</v>
      </c>
      <c r="B269" t="s">
        <v>998</v>
      </c>
      <c r="C269" t="s">
        <v>999</v>
      </c>
      <c r="D269" t="s">
        <v>1000</v>
      </c>
      <c r="E269" t="s">
        <v>16</v>
      </c>
      <c r="F269" t="s">
        <v>50</v>
      </c>
      <c r="G269" t="str">
        <f>_xlfn.XLOOKUP(E269,lookup_table!A:A,lookup_table!B:B, "N/A")</f>
        <v>Gauteng</v>
      </c>
      <c r="H269" t="str">
        <f t="shared" si="4"/>
        <v>Mismatch</v>
      </c>
      <c r="I269">
        <v>53</v>
      </c>
      <c r="J269" t="s">
        <v>26</v>
      </c>
      <c r="K269" t="s">
        <v>27</v>
      </c>
      <c r="L269" s="9">
        <v>45183</v>
      </c>
    </row>
    <row r="270" spans="1:12">
      <c r="A270" t="s">
        <v>1001</v>
      </c>
      <c r="B270" t="s">
        <v>1002</v>
      </c>
      <c r="C270" t="s">
        <v>1003</v>
      </c>
      <c r="D270" t="s">
        <v>23</v>
      </c>
      <c r="E270" t="s">
        <v>16</v>
      </c>
      <c r="G270" t="str">
        <f>_xlfn.XLOOKUP(E270,lookup_table!A:A,lookup_table!B:B, "N/A")</f>
        <v>Gauteng</v>
      </c>
      <c r="H270" t="str">
        <f t="shared" si="4"/>
        <v>Mismatch</v>
      </c>
      <c r="I270" t="s">
        <v>39</v>
      </c>
      <c r="J270" t="s">
        <v>18</v>
      </c>
      <c r="K270" t="s">
        <v>55</v>
      </c>
      <c r="L270" s="9">
        <v>45919</v>
      </c>
    </row>
    <row r="271" spans="1:12">
      <c r="A271" t="s">
        <v>1004</v>
      </c>
      <c r="B271" t="s">
        <v>1005</v>
      </c>
      <c r="C271" t="s">
        <v>1006</v>
      </c>
      <c r="D271" t="s">
        <v>23</v>
      </c>
      <c r="E271" t="s">
        <v>38</v>
      </c>
      <c r="F271" t="s">
        <v>79</v>
      </c>
      <c r="G271" t="str">
        <f>_xlfn.XLOOKUP(E271,lookup_table!A:A,lookup_table!B:B, "N/A")</f>
        <v>Western Cape</v>
      </c>
      <c r="H271" t="str">
        <f t="shared" si="4"/>
        <v>Mismatch</v>
      </c>
      <c r="I271">
        <v>51</v>
      </c>
      <c r="J271" t="s">
        <v>26</v>
      </c>
      <c r="K271" t="s">
        <v>23</v>
      </c>
      <c r="L271" s="9">
        <v>45683</v>
      </c>
    </row>
    <row r="272" spans="1:12">
      <c r="A272" t="s">
        <v>1007</v>
      </c>
      <c r="B272" t="s">
        <v>1008</v>
      </c>
      <c r="C272" t="s">
        <v>1009</v>
      </c>
      <c r="D272" t="s">
        <v>1010</v>
      </c>
      <c r="E272" t="s">
        <v>24</v>
      </c>
      <c r="F272" t="s">
        <v>154</v>
      </c>
      <c r="G272" t="str">
        <f>_xlfn.XLOOKUP(E272,lookup_table!A:A,lookup_table!B:B, "N/A")</f>
        <v>Limpopo</v>
      </c>
      <c r="H272" t="str">
        <f t="shared" si="4"/>
        <v>Match</v>
      </c>
      <c r="I272">
        <v>32</v>
      </c>
      <c r="J272" t="s">
        <v>26</v>
      </c>
      <c r="K272" t="s">
        <v>33</v>
      </c>
      <c r="L272" s="9">
        <v>45509</v>
      </c>
    </row>
    <row r="273" spans="1:12">
      <c r="A273" t="s">
        <v>1011</v>
      </c>
      <c r="B273" t="s">
        <v>1012</v>
      </c>
      <c r="C273" t="s">
        <v>1013</v>
      </c>
      <c r="D273" t="s">
        <v>1014</v>
      </c>
      <c r="E273" t="s">
        <v>94</v>
      </c>
      <c r="F273" t="s">
        <v>65</v>
      </c>
      <c r="G273" t="str">
        <f>_xlfn.XLOOKUP(E273,lookup_table!A:A,lookup_table!B:B, "N/A")</f>
        <v>Eastern Cape</v>
      </c>
      <c r="H273" t="str">
        <f t="shared" si="4"/>
        <v>Mismatch</v>
      </c>
      <c r="I273">
        <v>18</v>
      </c>
      <c r="J273" t="s">
        <v>66</v>
      </c>
      <c r="K273" t="s">
        <v>33</v>
      </c>
      <c r="L273" s="9">
        <v>45427</v>
      </c>
    </row>
    <row r="274" spans="1:12">
      <c r="A274" t="s">
        <v>1015</v>
      </c>
      <c r="B274" t="s">
        <v>1016</v>
      </c>
      <c r="C274" t="s">
        <v>1017</v>
      </c>
      <c r="D274" t="s">
        <v>1018</v>
      </c>
      <c r="E274" t="s">
        <v>149</v>
      </c>
      <c r="F274" t="s">
        <v>50</v>
      </c>
      <c r="G274" t="str">
        <f>_xlfn.XLOOKUP(E274,lookup_table!A:A,lookup_table!B:B, "N/A")</f>
        <v>Free State</v>
      </c>
      <c r="H274" t="str">
        <f t="shared" si="4"/>
        <v>Mismatch</v>
      </c>
      <c r="I274" t="s">
        <v>39</v>
      </c>
      <c r="J274" t="s">
        <v>26</v>
      </c>
      <c r="K274" t="s">
        <v>33</v>
      </c>
      <c r="L274" s="9">
        <v>45487</v>
      </c>
    </row>
    <row r="275" spans="1:12">
      <c r="A275" t="s">
        <v>1019</v>
      </c>
      <c r="B275" t="s">
        <v>1020</v>
      </c>
      <c r="C275" t="s">
        <v>1021</v>
      </c>
      <c r="D275" t="s">
        <v>23</v>
      </c>
      <c r="E275" t="s">
        <v>111</v>
      </c>
      <c r="F275" t="s">
        <v>54</v>
      </c>
      <c r="G275" t="str">
        <f>_xlfn.XLOOKUP(E275,lookup_table!A:A,lookup_table!B:B, "N/A")</f>
        <v>Gauteng</v>
      </c>
      <c r="H275" t="str">
        <f t="shared" si="4"/>
        <v>Mismatch</v>
      </c>
      <c r="I275">
        <v>50</v>
      </c>
      <c r="J275" t="s">
        <v>18</v>
      </c>
      <c r="K275" t="s">
        <v>23</v>
      </c>
      <c r="L275" s="9">
        <v>45891</v>
      </c>
    </row>
    <row r="276" spans="1:12">
      <c r="A276" t="s">
        <v>1022</v>
      </c>
      <c r="B276" t="s">
        <v>1023</v>
      </c>
      <c r="C276" t="s">
        <v>1024</v>
      </c>
      <c r="D276" t="s">
        <v>1025</v>
      </c>
      <c r="E276" t="s">
        <v>149</v>
      </c>
      <c r="F276" t="s">
        <v>54</v>
      </c>
      <c r="G276" t="str">
        <f>_xlfn.XLOOKUP(E276,lookup_table!A:A,lookup_table!B:B, "N/A")</f>
        <v>Free State</v>
      </c>
      <c r="H276" t="str">
        <f t="shared" si="4"/>
        <v>Mismatch</v>
      </c>
      <c r="I276">
        <v>38</v>
      </c>
      <c r="J276" t="s">
        <v>18</v>
      </c>
      <c r="K276" t="s">
        <v>60</v>
      </c>
      <c r="L276" s="9">
        <v>46062</v>
      </c>
    </row>
    <row r="277" spans="1:12">
      <c r="A277" t="s">
        <v>1026</v>
      </c>
      <c r="B277" t="s">
        <v>1027</v>
      </c>
      <c r="C277" t="s">
        <v>1028</v>
      </c>
      <c r="D277" t="s">
        <v>1029</v>
      </c>
      <c r="E277" t="s">
        <v>16</v>
      </c>
      <c r="F277" t="s">
        <v>180</v>
      </c>
      <c r="G277" t="str">
        <f>_xlfn.XLOOKUP(E277,lookup_table!A:A,lookup_table!B:B, "N/A")</f>
        <v>Gauteng</v>
      </c>
      <c r="H277" t="str">
        <f t="shared" si="4"/>
        <v>Mismatch</v>
      </c>
      <c r="I277" t="s">
        <v>39</v>
      </c>
      <c r="J277" t="s">
        <v>23</v>
      </c>
      <c r="K277" t="s">
        <v>60</v>
      </c>
      <c r="L277" s="9">
        <v>45261</v>
      </c>
    </row>
    <row r="278" spans="1:12">
      <c r="A278" t="s">
        <v>1030</v>
      </c>
      <c r="B278" t="s">
        <v>1031</v>
      </c>
      <c r="C278" t="s">
        <v>1032</v>
      </c>
      <c r="D278" t="s">
        <v>1033</v>
      </c>
      <c r="E278" t="s">
        <v>149</v>
      </c>
      <c r="F278" t="s">
        <v>65</v>
      </c>
      <c r="G278" t="str">
        <f>_xlfn.XLOOKUP(E278,lookup_table!A:A,lookup_table!B:B, "N/A")</f>
        <v>Free State</v>
      </c>
      <c r="H278" t="str">
        <f t="shared" si="4"/>
        <v>Mismatch</v>
      </c>
      <c r="I278">
        <v>50</v>
      </c>
      <c r="J278" t="s">
        <v>18</v>
      </c>
      <c r="K278" t="s">
        <v>23</v>
      </c>
      <c r="L278" s="9">
        <v>45271</v>
      </c>
    </row>
    <row r="279" spans="1:12">
      <c r="A279" t="s">
        <v>1034</v>
      </c>
      <c r="B279" t="s">
        <v>1035</v>
      </c>
      <c r="C279" t="s">
        <v>23</v>
      </c>
      <c r="D279" t="s">
        <v>1036</v>
      </c>
      <c r="E279" t="s">
        <v>111</v>
      </c>
      <c r="F279" t="s">
        <v>180</v>
      </c>
      <c r="G279" t="str">
        <f>_xlfn.XLOOKUP(E279,lookup_table!A:A,lookup_table!B:B, "N/A")</f>
        <v>Gauteng</v>
      </c>
      <c r="H279" t="str">
        <f t="shared" si="4"/>
        <v>Mismatch</v>
      </c>
      <c r="I279">
        <v>25</v>
      </c>
      <c r="J279" t="s">
        <v>26</v>
      </c>
      <c r="K279" t="s">
        <v>19</v>
      </c>
      <c r="L279" s="9">
        <v>45710</v>
      </c>
    </row>
    <row r="280" spans="1:12">
      <c r="A280" t="s">
        <v>1037</v>
      </c>
      <c r="B280" t="s">
        <v>1038</v>
      </c>
      <c r="C280" t="s">
        <v>1039</v>
      </c>
      <c r="D280" t="s">
        <v>23</v>
      </c>
      <c r="E280" t="s">
        <v>32</v>
      </c>
      <c r="F280" t="s">
        <v>25</v>
      </c>
      <c r="G280" t="str">
        <f>_xlfn.XLOOKUP(E280,lookup_table!A:A,lookup_table!B:B, "N/A")</f>
        <v>KwaZulu-Natal</v>
      </c>
      <c r="H280" t="str">
        <f t="shared" si="4"/>
        <v>Mismatch</v>
      </c>
      <c r="I280" t="s">
        <v>39</v>
      </c>
      <c r="J280" t="s">
        <v>18</v>
      </c>
      <c r="K280" t="s">
        <v>23</v>
      </c>
      <c r="L280" s="9">
        <v>45196</v>
      </c>
    </row>
    <row r="281" spans="1:12">
      <c r="A281" t="s">
        <v>1040</v>
      </c>
      <c r="B281" t="s">
        <v>1041</v>
      </c>
      <c r="C281" t="s">
        <v>1042</v>
      </c>
      <c r="D281" t="s">
        <v>23</v>
      </c>
      <c r="E281" t="s">
        <v>38</v>
      </c>
      <c r="F281" t="s">
        <v>65</v>
      </c>
      <c r="G281" t="str">
        <f>_xlfn.XLOOKUP(E281,lookup_table!A:A,lookup_table!B:B, "N/A")</f>
        <v>Western Cape</v>
      </c>
      <c r="H281" t="str">
        <f t="shared" si="4"/>
        <v>Mismatch</v>
      </c>
      <c r="I281">
        <v>48</v>
      </c>
      <c r="J281" t="s">
        <v>120</v>
      </c>
      <c r="K281" t="s">
        <v>27</v>
      </c>
      <c r="L281" s="9">
        <v>45781</v>
      </c>
    </row>
    <row r="282" spans="1:12">
      <c r="A282" t="s">
        <v>1043</v>
      </c>
      <c r="B282" t="s">
        <v>1044</v>
      </c>
      <c r="C282" t="s">
        <v>1045</v>
      </c>
      <c r="D282" t="s">
        <v>1046</v>
      </c>
      <c r="E282" t="s">
        <v>32</v>
      </c>
      <c r="F282" t="s">
        <v>50</v>
      </c>
      <c r="G282" t="str">
        <f>_xlfn.XLOOKUP(E282,lookup_table!A:A,lookup_table!B:B, "N/A")</f>
        <v>KwaZulu-Natal</v>
      </c>
      <c r="H282" t="str">
        <f t="shared" si="4"/>
        <v>Match</v>
      </c>
      <c r="I282" t="s">
        <v>39</v>
      </c>
      <c r="J282" t="s">
        <v>26</v>
      </c>
      <c r="K282" t="s">
        <v>60</v>
      </c>
      <c r="L282" s="9">
        <v>45474</v>
      </c>
    </row>
    <row r="283" spans="1:12">
      <c r="A283" t="s">
        <v>1047</v>
      </c>
      <c r="B283" t="s">
        <v>1048</v>
      </c>
      <c r="C283" t="s">
        <v>1049</v>
      </c>
      <c r="D283" t="s">
        <v>1050</v>
      </c>
      <c r="E283" t="s">
        <v>38</v>
      </c>
      <c r="F283" t="s">
        <v>180</v>
      </c>
      <c r="G283" t="str">
        <f>_xlfn.XLOOKUP(E283,lookup_table!A:A,lookup_table!B:B, "N/A")</f>
        <v>Western Cape</v>
      </c>
      <c r="H283" t="str">
        <f t="shared" si="4"/>
        <v>Mismatch</v>
      </c>
      <c r="I283">
        <v>29</v>
      </c>
      <c r="J283" t="s">
        <v>66</v>
      </c>
      <c r="K283" t="s">
        <v>106</v>
      </c>
      <c r="L283" s="9">
        <v>45627</v>
      </c>
    </row>
    <row r="284" spans="1:12">
      <c r="A284" t="s">
        <v>1051</v>
      </c>
      <c r="B284" t="s">
        <v>1052</v>
      </c>
      <c r="C284" t="s">
        <v>1053</v>
      </c>
      <c r="D284" t="s">
        <v>23</v>
      </c>
      <c r="E284" t="s">
        <v>32</v>
      </c>
      <c r="F284" t="s">
        <v>65</v>
      </c>
      <c r="G284" t="str">
        <f>_xlfn.XLOOKUP(E284,lookup_table!A:A,lookup_table!B:B, "N/A")</f>
        <v>KwaZulu-Natal</v>
      </c>
      <c r="H284" t="str">
        <f t="shared" si="4"/>
        <v>Mismatch</v>
      </c>
      <c r="I284">
        <v>51</v>
      </c>
      <c r="J284" t="s">
        <v>26</v>
      </c>
      <c r="K284" t="s">
        <v>55</v>
      </c>
      <c r="L284" s="9">
        <v>45607</v>
      </c>
    </row>
    <row r="285" spans="1:12">
      <c r="A285" t="s">
        <v>1054</v>
      </c>
      <c r="B285" t="s">
        <v>1055</v>
      </c>
      <c r="C285" t="s">
        <v>1056</v>
      </c>
      <c r="D285" t="s">
        <v>1057</v>
      </c>
      <c r="E285" t="s">
        <v>16</v>
      </c>
      <c r="F285" t="s">
        <v>154</v>
      </c>
      <c r="G285" t="str">
        <f>_xlfn.XLOOKUP(E285,lookup_table!A:A,lookup_table!B:B, "N/A")</f>
        <v>Gauteng</v>
      </c>
      <c r="H285" t="str">
        <f t="shared" si="4"/>
        <v>Mismatch</v>
      </c>
      <c r="I285">
        <v>24</v>
      </c>
      <c r="J285" t="s">
        <v>23</v>
      </c>
      <c r="K285" t="s">
        <v>60</v>
      </c>
      <c r="L285" s="9">
        <v>45629</v>
      </c>
    </row>
    <row r="286" spans="1:12">
      <c r="A286" t="s">
        <v>1058</v>
      </c>
      <c r="B286" t="s">
        <v>1059</v>
      </c>
      <c r="C286" t="s">
        <v>1060</v>
      </c>
      <c r="D286" t="s">
        <v>23</v>
      </c>
      <c r="E286" t="s">
        <v>32</v>
      </c>
      <c r="F286" t="s">
        <v>154</v>
      </c>
      <c r="G286" t="str">
        <f>_xlfn.XLOOKUP(E286,lookup_table!A:A,lookup_table!B:B, "N/A")</f>
        <v>KwaZulu-Natal</v>
      </c>
      <c r="H286" t="str">
        <f t="shared" si="4"/>
        <v>Mismatch</v>
      </c>
      <c r="I286">
        <v>26</v>
      </c>
      <c r="J286" t="s">
        <v>120</v>
      </c>
      <c r="K286" t="s">
        <v>55</v>
      </c>
      <c r="L286" s="9">
        <v>45913</v>
      </c>
    </row>
    <row r="287" spans="1:12">
      <c r="A287" t="s">
        <v>1061</v>
      </c>
      <c r="B287" t="s">
        <v>1062</v>
      </c>
      <c r="C287" t="s">
        <v>1063</v>
      </c>
      <c r="D287" t="s">
        <v>1064</v>
      </c>
      <c r="E287" t="s">
        <v>38</v>
      </c>
      <c r="F287" t="s">
        <v>79</v>
      </c>
      <c r="G287" t="str">
        <f>_xlfn.XLOOKUP(E287,lookup_table!A:A,lookup_table!B:B, "N/A")</f>
        <v>Western Cape</v>
      </c>
      <c r="H287" t="str">
        <f t="shared" si="4"/>
        <v>Mismatch</v>
      </c>
      <c r="I287">
        <v>44</v>
      </c>
      <c r="J287" t="s">
        <v>26</v>
      </c>
      <c r="K287" t="s">
        <v>106</v>
      </c>
      <c r="L287" s="9">
        <v>45345</v>
      </c>
    </row>
    <row r="288" spans="1:12">
      <c r="A288" t="s">
        <v>1065</v>
      </c>
      <c r="B288" t="s">
        <v>1066</v>
      </c>
      <c r="C288" t="s">
        <v>1067</v>
      </c>
      <c r="D288" t="s">
        <v>1068</v>
      </c>
      <c r="E288" t="s">
        <v>16</v>
      </c>
      <c r="G288" t="str">
        <f>_xlfn.XLOOKUP(E288,lookup_table!A:A,lookup_table!B:B, "N/A")</f>
        <v>Gauteng</v>
      </c>
      <c r="H288" t="str">
        <f t="shared" si="4"/>
        <v>Mismatch</v>
      </c>
      <c r="I288">
        <v>53</v>
      </c>
      <c r="J288" t="s">
        <v>18</v>
      </c>
      <c r="K288" t="s">
        <v>19</v>
      </c>
      <c r="L288" s="9">
        <v>46095</v>
      </c>
    </row>
    <row r="289" spans="1:12">
      <c r="A289" t="s">
        <v>1069</v>
      </c>
      <c r="B289" t="s">
        <v>1070</v>
      </c>
      <c r="C289" t="s">
        <v>1071</v>
      </c>
      <c r="D289" t="s">
        <v>23</v>
      </c>
      <c r="E289" t="s">
        <v>70</v>
      </c>
      <c r="F289" t="s">
        <v>50</v>
      </c>
      <c r="G289" t="str">
        <f>_xlfn.XLOOKUP(E289,lookup_table!A:A,lookup_table!B:B, "N/A")</f>
        <v>Eastern Cape</v>
      </c>
      <c r="H289" t="str">
        <f t="shared" si="4"/>
        <v>Mismatch</v>
      </c>
      <c r="I289" t="s">
        <v>39</v>
      </c>
      <c r="J289" t="s">
        <v>26</v>
      </c>
      <c r="K289" t="s">
        <v>27</v>
      </c>
      <c r="L289" s="9">
        <v>46189</v>
      </c>
    </row>
    <row r="290" spans="1:12">
      <c r="A290" t="s">
        <v>1072</v>
      </c>
      <c r="B290" t="s">
        <v>1073</v>
      </c>
      <c r="C290" t="s">
        <v>1074</v>
      </c>
      <c r="D290" t="s">
        <v>23</v>
      </c>
      <c r="E290" t="s">
        <v>38</v>
      </c>
      <c r="F290" t="s">
        <v>50</v>
      </c>
      <c r="G290" t="str">
        <f>_xlfn.XLOOKUP(E290,lookup_table!A:A,lookup_table!B:B, "N/A")</f>
        <v>Western Cape</v>
      </c>
      <c r="H290" t="str">
        <f t="shared" si="4"/>
        <v>Mismatch</v>
      </c>
      <c r="I290">
        <v>26</v>
      </c>
      <c r="J290" t="s">
        <v>26</v>
      </c>
      <c r="K290" t="s">
        <v>60</v>
      </c>
      <c r="L290" s="9">
        <v>46270</v>
      </c>
    </row>
    <row r="291" spans="1:12">
      <c r="A291" t="s">
        <v>1075</v>
      </c>
      <c r="B291" t="s">
        <v>1076</v>
      </c>
      <c r="C291" t="s">
        <v>1077</v>
      </c>
      <c r="D291" t="s">
        <v>1078</v>
      </c>
      <c r="E291" t="s">
        <v>111</v>
      </c>
      <c r="G291" t="str">
        <f>_xlfn.XLOOKUP(E291,lookup_table!A:A,lookup_table!B:B, "N/A")</f>
        <v>Gauteng</v>
      </c>
      <c r="H291" t="str">
        <f t="shared" si="4"/>
        <v>Mismatch</v>
      </c>
      <c r="I291" t="s">
        <v>39</v>
      </c>
      <c r="J291" t="s">
        <v>18</v>
      </c>
      <c r="K291" t="s">
        <v>60</v>
      </c>
      <c r="L291" s="9">
        <v>45769</v>
      </c>
    </row>
    <row r="292" spans="1:12">
      <c r="A292" t="s">
        <v>1079</v>
      </c>
      <c r="B292" t="s">
        <v>1080</v>
      </c>
      <c r="C292" t="s">
        <v>1081</v>
      </c>
      <c r="D292" t="s">
        <v>1082</v>
      </c>
      <c r="E292" t="s">
        <v>16</v>
      </c>
      <c r="F292" t="s">
        <v>25</v>
      </c>
      <c r="G292" t="str">
        <f>_xlfn.XLOOKUP(E292,lookup_table!A:A,lookup_table!B:B, "N/A")</f>
        <v>Gauteng</v>
      </c>
      <c r="H292" t="str">
        <f t="shared" si="4"/>
        <v>Mismatch</v>
      </c>
      <c r="I292">
        <v>40</v>
      </c>
      <c r="J292" t="s">
        <v>26</v>
      </c>
      <c r="K292" t="s">
        <v>19</v>
      </c>
      <c r="L292" s="9">
        <v>45617</v>
      </c>
    </row>
    <row r="293" spans="1:12">
      <c r="A293" t="s">
        <v>1083</v>
      </c>
      <c r="B293" t="s">
        <v>1084</v>
      </c>
      <c r="C293" t="s">
        <v>1085</v>
      </c>
      <c r="D293" t="s">
        <v>1086</v>
      </c>
      <c r="E293" t="s">
        <v>111</v>
      </c>
      <c r="F293" t="s">
        <v>154</v>
      </c>
      <c r="G293" t="str">
        <f>_xlfn.XLOOKUP(E293,lookup_table!A:A,lookup_table!B:B, "N/A")</f>
        <v>Gauteng</v>
      </c>
      <c r="H293" t="str">
        <f t="shared" si="4"/>
        <v>Mismatch</v>
      </c>
      <c r="I293">
        <v>46</v>
      </c>
      <c r="J293" t="s">
        <v>26</v>
      </c>
      <c r="K293" t="s">
        <v>43</v>
      </c>
      <c r="L293" s="9">
        <v>46048</v>
      </c>
    </row>
    <row r="294" spans="1:12">
      <c r="A294" t="s">
        <v>1087</v>
      </c>
      <c r="B294" t="s">
        <v>1088</v>
      </c>
      <c r="C294" t="s">
        <v>1089</v>
      </c>
      <c r="D294" t="s">
        <v>1090</v>
      </c>
      <c r="E294" t="s">
        <v>149</v>
      </c>
      <c r="F294" t="s">
        <v>65</v>
      </c>
      <c r="G294" t="str">
        <f>_xlfn.XLOOKUP(E294,lookup_table!A:A,lookup_table!B:B, "N/A")</f>
        <v>Free State</v>
      </c>
      <c r="H294" t="str">
        <f t="shared" si="4"/>
        <v>Mismatch</v>
      </c>
      <c r="I294">
        <v>46</v>
      </c>
      <c r="J294" t="s">
        <v>120</v>
      </c>
      <c r="K294" t="s">
        <v>60</v>
      </c>
      <c r="L294" s="9">
        <v>45685</v>
      </c>
    </row>
    <row r="295" spans="1:12">
      <c r="A295" t="s">
        <v>1091</v>
      </c>
      <c r="B295" t="s">
        <v>1092</v>
      </c>
      <c r="C295" t="s">
        <v>1093</v>
      </c>
      <c r="D295" t="s">
        <v>1094</v>
      </c>
      <c r="E295" t="s">
        <v>78</v>
      </c>
      <c r="F295" t="s">
        <v>50</v>
      </c>
      <c r="G295" t="str">
        <f>_xlfn.XLOOKUP(E295,lookup_table!A:A,lookup_table!B:B, "N/A")</f>
        <v>Northern Cape</v>
      </c>
      <c r="H295" t="str">
        <f t="shared" si="4"/>
        <v>Mismatch</v>
      </c>
      <c r="I295">
        <v>25</v>
      </c>
      <c r="J295" t="s">
        <v>18</v>
      </c>
      <c r="K295" t="s">
        <v>23</v>
      </c>
      <c r="L295" s="9">
        <v>45936</v>
      </c>
    </row>
    <row r="296" spans="1:12">
      <c r="A296" t="s">
        <v>1095</v>
      </c>
      <c r="B296" t="s">
        <v>1096</v>
      </c>
      <c r="C296" t="s">
        <v>1097</v>
      </c>
      <c r="D296" t="s">
        <v>1098</v>
      </c>
      <c r="E296" t="s">
        <v>111</v>
      </c>
      <c r="F296" t="s">
        <v>79</v>
      </c>
      <c r="G296" t="str">
        <f>_xlfn.XLOOKUP(E296,lookup_table!A:A,lookup_table!B:B, "N/A")</f>
        <v>Gauteng</v>
      </c>
      <c r="H296" t="str">
        <f t="shared" si="4"/>
        <v>Mismatch</v>
      </c>
      <c r="I296">
        <v>30</v>
      </c>
      <c r="J296" t="s">
        <v>66</v>
      </c>
      <c r="K296" t="s">
        <v>33</v>
      </c>
      <c r="L296" s="9">
        <v>46088</v>
      </c>
    </row>
    <row r="297" spans="1:12">
      <c r="A297" t="s">
        <v>1099</v>
      </c>
      <c r="B297" t="s">
        <v>1100</v>
      </c>
      <c r="C297" t="s">
        <v>1101</v>
      </c>
      <c r="D297" t="s">
        <v>1102</v>
      </c>
      <c r="E297" t="s">
        <v>16</v>
      </c>
      <c r="F297" t="s">
        <v>79</v>
      </c>
      <c r="G297" t="str">
        <f>_xlfn.XLOOKUP(E297,lookup_table!A:A,lookup_table!B:B, "N/A")</f>
        <v>Gauteng</v>
      </c>
      <c r="H297" t="str">
        <f t="shared" si="4"/>
        <v>Mismatch</v>
      </c>
      <c r="I297">
        <v>30</v>
      </c>
      <c r="J297" t="s">
        <v>120</v>
      </c>
      <c r="K297" t="s">
        <v>106</v>
      </c>
      <c r="L297" s="9">
        <v>45294</v>
      </c>
    </row>
    <row r="298" spans="1:12">
      <c r="A298" t="s">
        <v>1103</v>
      </c>
      <c r="B298" t="s">
        <v>1104</v>
      </c>
      <c r="C298" t="s">
        <v>1105</v>
      </c>
      <c r="D298" t="s">
        <v>1106</v>
      </c>
      <c r="E298" t="s">
        <v>53</v>
      </c>
      <c r="F298" t="s">
        <v>89</v>
      </c>
      <c r="G298" t="str">
        <f>_xlfn.XLOOKUP(E298,lookup_table!A:A,lookup_table!B:B, "N/A")</f>
        <v>Mpumalanga</v>
      </c>
      <c r="H298" t="str">
        <f t="shared" si="4"/>
        <v>Mismatch</v>
      </c>
      <c r="I298">
        <v>21</v>
      </c>
      <c r="J298" t="s">
        <v>120</v>
      </c>
      <c r="K298" t="s">
        <v>19</v>
      </c>
      <c r="L298" s="9">
        <v>45894</v>
      </c>
    </row>
    <row r="299" spans="1:12">
      <c r="A299" t="s">
        <v>1107</v>
      </c>
      <c r="B299" t="s">
        <v>1108</v>
      </c>
      <c r="C299" t="s">
        <v>23</v>
      </c>
      <c r="D299" t="s">
        <v>1109</v>
      </c>
      <c r="E299" t="s">
        <v>32</v>
      </c>
      <c r="G299" t="str">
        <f>_xlfn.XLOOKUP(E299,lookup_table!A:A,lookup_table!B:B, "N/A")</f>
        <v>KwaZulu-Natal</v>
      </c>
      <c r="H299" t="str">
        <f t="shared" si="4"/>
        <v>Mismatch</v>
      </c>
      <c r="I299" t="s">
        <v>39</v>
      </c>
      <c r="J299" t="s">
        <v>26</v>
      </c>
      <c r="K299" t="s">
        <v>27</v>
      </c>
      <c r="L299" s="9">
        <v>45435</v>
      </c>
    </row>
    <row r="300" spans="1:12">
      <c r="A300" t="s">
        <v>1110</v>
      </c>
      <c r="B300" t="s">
        <v>1111</v>
      </c>
      <c r="C300" t="s">
        <v>1112</v>
      </c>
      <c r="D300" t="s">
        <v>1113</v>
      </c>
      <c r="E300" t="s">
        <v>16</v>
      </c>
      <c r="F300" t="s">
        <v>65</v>
      </c>
      <c r="G300" t="str">
        <f>_xlfn.XLOOKUP(E300,lookup_table!A:A,lookup_table!B:B, "N/A")</f>
        <v>Gauteng</v>
      </c>
      <c r="H300" t="str">
        <f t="shared" si="4"/>
        <v>Match</v>
      </c>
      <c r="I300">
        <v>54</v>
      </c>
      <c r="J300" t="s">
        <v>26</v>
      </c>
      <c r="K300" t="s">
        <v>19</v>
      </c>
      <c r="L300" s="9">
        <v>45982</v>
      </c>
    </row>
    <row r="301" spans="1:12">
      <c r="A301" t="s">
        <v>1114</v>
      </c>
      <c r="B301" t="s">
        <v>1115</v>
      </c>
      <c r="C301" t="s">
        <v>1116</v>
      </c>
      <c r="D301" t="s">
        <v>1117</v>
      </c>
      <c r="E301" t="s">
        <v>38</v>
      </c>
      <c r="F301" t="s">
        <v>154</v>
      </c>
      <c r="G301" t="str">
        <f>_xlfn.XLOOKUP(E301,lookup_table!A:A,lookup_table!B:B, "N/A")</f>
        <v>Western Cape</v>
      </c>
      <c r="H301" t="str">
        <f t="shared" si="4"/>
        <v>Mismatch</v>
      </c>
      <c r="I301" t="s">
        <v>39</v>
      </c>
      <c r="J301" t="s">
        <v>26</v>
      </c>
      <c r="K301" t="s">
        <v>33</v>
      </c>
      <c r="L301" s="9">
        <v>45402</v>
      </c>
    </row>
    <row r="302" spans="1:12">
      <c r="A302" t="s">
        <v>1118</v>
      </c>
      <c r="B302" t="s">
        <v>1119</v>
      </c>
      <c r="C302" t="s">
        <v>1120</v>
      </c>
      <c r="D302" t="s">
        <v>1121</v>
      </c>
      <c r="E302" t="s">
        <v>16</v>
      </c>
      <c r="F302" t="s">
        <v>54</v>
      </c>
      <c r="G302" t="str">
        <f>_xlfn.XLOOKUP(E302,lookup_table!A:A,lookup_table!B:B, "N/A")</f>
        <v>Gauteng</v>
      </c>
      <c r="H302" t="str">
        <f t="shared" si="4"/>
        <v>Mismatch</v>
      </c>
      <c r="I302" t="s">
        <v>39</v>
      </c>
      <c r="J302" t="s">
        <v>120</v>
      </c>
      <c r="K302" t="s">
        <v>106</v>
      </c>
      <c r="L302" s="9">
        <v>45151</v>
      </c>
    </row>
    <row r="303" spans="1:12">
      <c r="A303" t="s">
        <v>1122</v>
      </c>
      <c r="B303" t="s">
        <v>1123</v>
      </c>
      <c r="C303" t="s">
        <v>1124</v>
      </c>
      <c r="D303" t="s">
        <v>1125</v>
      </c>
      <c r="E303" t="s">
        <v>53</v>
      </c>
      <c r="F303" t="s">
        <v>50</v>
      </c>
      <c r="G303" t="str">
        <f>_xlfn.XLOOKUP(E303,lookup_table!A:A,lookup_table!B:B, "N/A")</f>
        <v>Mpumalanga</v>
      </c>
      <c r="H303" t="str">
        <f t="shared" si="4"/>
        <v>Mismatch</v>
      </c>
      <c r="I303">
        <v>29</v>
      </c>
      <c r="J303" t="s">
        <v>18</v>
      </c>
      <c r="K303" t="s">
        <v>33</v>
      </c>
      <c r="L303" s="9">
        <v>45940</v>
      </c>
    </row>
    <row r="304" spans="1:12">
      <c r="A304" t="s">
        <v>1126</v>
      </c>
      <c r="B304" t="s">
        <v>1127</v>
      </c>
      <c r="C304" t="s">
        <v>1128</v>
      </c>
      <c r="D304" t="s">
        <v>23</v>
      </c>
      <c r="E304" t="s">
        <v>24</v>
      </c>
      <c r="G304" t="str">
        <f>_xlfn.XLOOKUP(E304,lookup_table!A:A,lookup_table!B:B, "N/A")</f>
        <v>Limpopo</v>
      </c>
      <c r="H304" t="str">
        <f t="shared" si="4"/>
        <v>Mismatch</v>
      </c>
      <c r="I304">
        <v>18</v>
      </c>
      <c r="J304" t="s">
        <v>26</v>
      </c>
      <c r="K304" t="s">
        <v>33</v>
      </c>
      <c r="L304" s="9">
        <v>45551</v>
      </c>
    </row>
    <row r="305" spans="1:12">
      <c r="A305" t="s">
        <v>1129</v>
      </c>
      <c r="B305" t="s">
        <v>1130</v>
      </c>
      <c r="C305" t="s">
        <v>1131</v>
      </c>
      <c r="D305" t="s">
        <v>1132</v>
      </c>
      <c r="E305" t="s">
        <v>38</v>
      </c>
      <c r="F305" t="s">
        <v>89</v>
      </c>
      <c r="G305" t="str">
        <f>_xlfn.XLOOKUP(E305,lookup_table!A:A,lookup_table!B:B, "N/A")</f>
        <v>Western Cape</v>
      </c>
      <c r="H305" t="str">
        <f t="shared" si="4"/>
        <v>Match</v>
      </c>
      <c r="I305">
        <v>34</v>
      </c>
      <c r="J305" t="s">
        <v>26</v>
      </c>
      <c r="K305" t="s">
        <v>43</v>
      </c>
      <c r="L305" s="9">
        <v>45382</v>
      </c>
    </row>
    <row r="306" spans="1:12">
      <c r="A306" t="s">
        <v>1133</v>
      </c>
      <c r="B306" t="s">
        <v>1134</v>
      </c>
      <c r="C306" t="s">
        <v>1135</v>
      </c>
      <c r="D306" t="s">
        <v>1136</v>
      </c>
      <c r="E306" t="s">
        <v>16</v>
      </c>
      <c r="F306" t="s">
        <v>180</v>
      </c>
      <c r="G306" t="str">
        <f>_xlfn.XLOOKUP(E306,lookup_table!A:A,lookup_table!B:B, "N/A")</f>
        <v>Gauteng</v>
      </c>
      <c r="H306" t="str">
        <f t="shared" si="4"/>
        <v>Mismatch</v>
      </c>
      <c r="I306">
        <v>41</v>
      </c>
      <c r="J306" t="s">
        <v>26</v>
      </c>
      <c r="K306" t="s">
        <v>19</v>
      </c>
      <c r="L306" s="9">
        <v>45227</v>
      </c>
    </row>
    <row r="307" spans="1:12">
      <c r="A307" t="s">
        <v>1137</v>
      </c>
      <c r="B307" t="s">
        <v>1138</v>
      </c>
      <c r="C307" t="s">
        <v>1139</v>
      </c>
      <c r="D307" t="s">
        <v>23</v>
      </c>
      <c r="E307" t="s">
        <v>78</v>
      </c>
      <c r="F307" t="s">
        <v>25</v>
      </c>
      <c r="G307" t="str">
        <f>_xlfn.XLOOKUP(E307,lookup_table!A:A,lookup_table!B:B, "N/A")</f>
        <v>Northern Cape</v>
      </c>
      <c r="H307" t="str">
        <f t="shared" si="4"/>
        <v>Mismatch</v>
      </c>
      <c r="I307">
        <v>54</v>
      </c>
      <c r="J307" t="s">
        <v>26</v>
      </c>
      <c r="K307" t="s">
        <v>19</v>
      </c>
      <c r="L307" s="9">
        <v>45376</v>
      </c>
    </row>
    <row r="308" spans="1:12">
      <c r="A308" t="s">
        <v>1140</v>
      </c>
      <c r="B308" t="s">
        <v>1141</v>
      </c>
      <c r="C308" t="s">
        <v>1142</v>
      </c>
      <c r="D308" t="s">
        <v>23</v>
      </c>
      <c r="E308" t="s">
        <v>94</v>
      </c>
      <c r="F308" t="s">
        <v>65</v>
      </c>
      <c r="G308" t="str">
        <f>_xlfn.XLOOKUP(E308,lookup_table!A:A,lookup_table!B:B, "N/A")</f>
        <v>Eastern Cape</v>
      </c>
      <c r="H308" t="str">
        <f t="shared" si="4"/>
        <v>Mismatch</v>
      </c>
      <c r="I308">
        <v>44</v>
      </c>
      <c r="J308" t="s">
        <v>26</v>
      </c>
      <c r="K308" t="s">
        <v>84</v>
      </c>
      <c r="L308" s="9">
        <v>46009</v>
      </c>
    </row>
    <row r="309" spans="1:12">
      <c r="A309" t="s">
        <v>1143</v>
      </c>
      <c r="B309" t="s">
        <v>1144</v>
      </c>
      <c r="C309" t="s">
        <v>23</v>
      </c>
      <c r="D309" t="s">
        <v>23</v>
      </c>
      <c r="E309" t="s">
        <v>32</v>
      </c>
      <c r="G309" t="str">
        <f>_xlfn.XLOOKUP(E309,lookup_table!A:A,lookup_table!B:B, "N/A")</f>
        <v>KwaZulu-Natal</v>
      </c>
      <c r="H309" t="str">
        <f t="shared" si="4"/>
        <v>Mismatch</v>
      </c>
      <c r="I309">
        <v>20</v>
      </c>
      <c r="J309" t="s">
        <v>26</v>
      </c>
      <c r="K309" t="s">
        <v>19</v>
      </c>
      <c r="L309" s="9">
        <v>46114</v>
      </c>
    </row>
    <row r="310" spans="1:12">
      <c r="A310" t="s">
        <v>1145</v>
      </c>
      <c r="B310" t="s">
        <v>1146</v>
      </c>
      <c r="C310" t="s">
        <v>1147</v>
      </c>
      <c r="D310" t="s">
        <v>1148</v>
      </c>
      <c r="E310" t="s">
        <v>111</v>
      </c>
      <c r="F310" t="s">
        <v>180</v>
      </c>
      <c r="G310" t="str">
        <f>_xlfn.XLOOKUP(E310,lookup_table!A:A,lookup_table!B:B, "N/A")</f>
        <v>Gauteng</v>
      </c>
      <c r="H310" t="str">
        <f t="shared" si="4"/>
        <v>Mismatch</v>
      </c>
      <c r="I310" t="s">
        <v>39</v>
      </c>
      <c r="J310" t="s">
        <v>26</v>
      </c>
      <c r="K310" t="s">
        <v>106</v>
      </c>
      <c r="L310" s="9">
        <v>45405</v>
      </c>
    </row>
    <row r="311" spans="1:12">
      <c r="A311" t="s">
        <v>1149</v>
      </c>
      <c r="B311" t="s">
        <v>1150</v>
      </c>
      <c r="C311" t="s">
        <v>1151</v>
      </c>
      <c r="D311" t="s">
        <v>1152</v>
      </c>
      <c r="E311" t="s">
        <v>111</v>
      </c>
      <c r="F311" t="s">
        <v>25</v>
      </c>
      <c r="G311" t="str">
        <f>_xlfn.XLOOKUP(E311,lookup_table!A:A,lookup_table!B:B, "N/A")</f>
        <v>Gauteng</v>
      </c>
      <c r="H311" t="str">
        <f t="shared" si="4"/>
        <v>Mismatch</v>
      </c>
      <c r="I311" t="s">
        <v>39</v>
      </c>
      <c r="J311" t="s">
        <v>26</v>
      </c>
      <c r="K311" t="s">
        <v>23</v>
      </c>
      <c r="L311" s="9">
        <v>45395</v>
      </c>
    </row>
    <row r="312" spans="1:12">
      <c r="A312" t="s">
        <v>1153</v>
      </c>
      <c r="B312" t="s">
        <v>1154</v>
      </c>
      <c r="C312" t="s">
        <v>23</v>
      </c>
      <c r="D312" t="s">
        <v>23</v>
      </c>
      <c r="E312" t="s">
        <v>38</v>
      </c>
      <c r="F312" t="s">
        <v>54</v>
      </c>
      <c r="G312" t="str">
        <f>_xlfn.XLOOKUP(E312,lookup_table!A:A,lookup_table!B:B, "N/A")</f>
        <v>Western Cape</v>
      </c>
      <c r="H312" t="str">
        <f t="shared" si="4"/>
        <v>Mismatch</v>
      </c>
      <c r="I312" t="s">
        <v>39</v>
      </c>
      <c r="J312" t="s">
        <v>26</v>
      </c>
      <c r="K312" t="s">
        <v>27</v>
      </c>
      <c r="L312" s="9">
        <v>46099</v>
      </c>
    </row>
    <row r="313" spans="1:12">
      <c r="A313" t="s">
        <v>1155</v>
      </c>
      <c r="B313" t="s">
        <v>1156</v>
      </c>
      <c r="C313" t="s">
        <v>1157</v>
      </c>
      <c r="D313" t="s">
        <v>23</v>
      </c>
      <c r="E313" t="s">
        <v>32</v>
      </c>
      <c r="G313" t="str">
        <f>_xlfn.XLOOKUP(E313,lookup_table!A:A,lookup_table!B:B, "N/A")</f>
        <v>KwaZulu-Natal</v>
      </c>
      <c r="H313" t="str">
        <f t="shared" si="4"/>
        <v>Mismatch</v>
      </c>
      <c r="I313">
        <v>38</v>
      </c>
      <c r="J313" t="s">
        <v>23</v>
      </c>
      <c r="K313" t="s">
        <v>33</v>
      </c>
      <c r="L313" s="9">
        <v>45999</v>
      </c>
    </row>
    <row r="314" spans="1:12">
      <c r="A314" t="s">
        <v>1158</v>
      </c>
      <c r="B314" t="s">
        <v>1159</v>
      </c>
      <c r="C314" t="s">
        <v>23</v>
      </c>
      <c r="D314" t="s">
        <v>1160</v>
      </c>
      <c r="E314" t="s">
        <v>16</v>
      </c>
      <c r="G314" t="str">
        <f>_xlfn.XLOOKUP(E314,lookup_table!A:A,lookup_table!B:B, "N/A")</f>
        <v>Gauteng</v>
      </c>
      <c r="H314" t="str">
        <f t="shared" si="4"/>
        <v>Mismatch</v>
      </c>
      <c r="I314" t="s">
        <v>39</v>
      </c>
      <c r="J314" t="s">
        <v>26</v>
      </c>
      <c r="K314" t="s">
        <v>84</v>
      </c>
      <c r="L314" s="9">
        <v>46072</v>
      </c>
    </row>
    <row r="315" spans="1:12">
      <c r="A315" t="s">
        <v>1161</v>
      </c>
      <c r="B315" t="s">
        <v>1162</v>
      </c>
      <c r="C315" t="s">
        <v>1163</v>
      </c>
      <c r="D315" t="s">
        <v>1164</v>
      </c>
      <c r="E315" t="s">
        <v>32</v>
      </c>
      <c r="F315" t="s">
        <v>17</v>
      </c>
      <c r="G315" t="str">
        <f>_xlfn.XLOOKUP(E315,lookup_table!A:A,lookup_table!B:B, "N/A")</f>
        <v>KwaZulu-Natal</v>
      </c>
      <c r="H315" t="str">
        <f t="shared" si="4"/>
        <v>Mismatch</v>
      </c>
      <c r="I315">
        <v>33</v>
      </c>
      <c r="J315" t="s">
        <v>18</v>
      </c>
      <c r="K315" t="s">
        <v>33</v>
      </c>
      <c r="L315" s="9">
        <v>45944</v>
      </c>
    </row>
    <row r="316" spans="1:12">
      <c r="A316" t="s">
        <v>1165</v>
      </c>
      <c r="B316" t="s">
        <v>1166</v>
      </c>
      <c r="C316" t="s">
        <v>1167</v>
      </c>
      <c r="D316" t="s">
        <v>1168</v>
      </c>
      <c r="E316" t="s">
        <v>70</v>
      </c>
      <c r="F316" t="s">
        <v>180</v>
      </c>
      <c r="G316" t="str">
        <f>_xlfn.XLOOKUP(E316,lookup_table!A:A,lookup_table!B:B, "N/A")</f>
        <v>Eastern Cape</v>
      </c>
      <c r="H316" t="str">
        <f t="shared" si="4"/>
        <v>Mismatch</v>
      </c>
      <c r="I316">
        <v>25</v>
      </c>
      <c r="J316" t="s">
        <v>26</v>
      </c>
      <c r="K316" t="s">
        <v>84</v>
      </c>
      <c r="L316" s="9">
        <v>45993</v>
      </c>
    </row>
    <row r="317" spans="1:12">
      <c r="A317" t="s">
        <v>1169</v>
      </c>
      <c r="B317" t="s">
        <v>1170</v>
      </c>
      <c r="C317" t="s">
        <v>1171</v>
      </c>
      <c r="D317" t="s">
        <v>1172</v>
      </c>
      <c r="E317" t="s">
        <v>70</v>
      </c>
      <c r="F317" t="s">
        <v>89</v>
      </c>
      <c r="G317" t="str">
        <f>_xlfn.XLOOKUP(E317,lookup_table!A:A,lookup_table!B:B, "N/A")</f>
        <v>Eastern Cape</v>
      </c>
      <c r="H317" t="str">
        <f t="shared" si="4"/>
        <v>Mismatch</v>
      </c>
      <c r="I317">
        <v>32</v>
      </c>
      <c r="J317" t="s">
        <v>26</v>
      </c>
      <c r="K317" t="s">
        <v>55</v>
      </c>
      <c r="L317" s="9">
        <v>45129</v>
      </c>
    </row>
    <row r="318" spans="1:12">
      <c r="A318" t="s">
        <v>1173</v>
      </c>
      <c r="B318" t="s">
        <v>1174</v>
      </c>
      <c r="C318" t="s">
        <v>1175</v>
      </c>
      <c r="D318" t="s">
        <v>1176</v>
      </c>
      <c r="E318" t="s">
        <v>70</v>
      </c>
      <c r="F318" t="s">
        <v>25</v>
      </c>
      <c r="G318" t="str">
        <f>_xlfn.XLOOKUP(E318,lookup_table!A:A,lookup_table!B:B, "N/A")</f>
        <v>Eastern Cape</v>
      </c>
      <c r="H318" t="str">
        <f t="shared" si="4"/>
        <v>Mismatch</v>
      </c>
      <c r="I318">
        <v>42</v>
      </c>
      <c r="J318" t="s">
        <v>66</v>
      </c>
      <c r="K318" t="s">
        <v>55</v>
      </c>
      <c r="L318" s="9">
        <v>45462</v>
      </c>
    </row>
    <row r="319" spans="1:12">
      <c r="A319" t="s">
        <v>1177</v>
      </c>
      <c r="B319" t="s">
        <v>1178</v>
      </c>
      <c r="C319" t="s">
        <v>1179</v>
      </c>
      <c r="D319" t="s">
        <v>1180</v>
      </c>
      <c r="E319" t="s">
        <v>38</v>
      </c>
      <c r="F319" t="s">
        <v>79</v>
      </c>
      <c r="G319" t="str">
        <f>_xlfn.XLOOKUP(E319,lookup_table!A:A,lookup_table!B:B, "N/A")</f>
        <v>Western Cape</v>
      </c>
      <c r="H319" t="str">
        <f t="shared" si="4"/>
        <v>Mismatch</v>
      </c>
      <c r="I319">
        <v>55</v>
      </c>
      <c r="J319" t="s">
        <v>120</v>
      </c>
      <c r="K319" t="s">
        <v>23</v>
      </c>
      <c r="L319" s="9">
        <v>46136</v>
      </c>
    </row>
    <row r="320" spans="1:12">
      <c r="A320" t="s">
        <v>1181</v>
      </c>
      <c r="B320" t="s">
        <v>1182</v>
      </c>
      <c r="C320" t="s">
        <v>23</v>
      </c>
      <c r="D320" t="s">
        <v>1183</v>
      </c>
      <c r="E320" t="s">
        <v>16</v>
      </c>
      <c r="F320" t="s">
        <v>17</v>
      </c>
      <c r="G320" t="str">
        <f>_xlfn.XLOOKUP(E320,lookup_table!A:A,lookup_table!B:B, "N/A")</f>
        <v>Gauteng</v>
      </c>
      <c r="H320" t="str">
        <f t="shared" si="4"/>
        <v>Mismatch</v>
      </c>
      <c r="I320">
        <v>54</v>
      </c>
      <c r="J320" t="s">
        <v>26</v>
      </c>
      <c r="K320" t="s">
        <v>33</v>
      </c>
      <c r="L320" s="9">
        <v>45483</v>
      </c>
    </row>
    <row r="321" spans="1:12">
      <c r="A321" t="s">
        <v>1184</v>
      </c>
      <c r="B321" t="s">
        <v>1185</v>
      </c>
      <c r="C321" t="s">
        <v>23</v>
      </c>
      <c r="D321" t="s">
        <v>1186</v>
      </c>
      <c r="E321" t="s">
        <v>32</v>
      </c>
      <c r="F321" t="s">
        <v>89</v>
      </c>
      <c r="G321" t="str">
        <f>_xlfn.XLOOKUP(E321,lookup_table!A:A,lookup_table!B:B, "N/A")</f>
        <v>KwaZulu-Natal</v>
      </c>
      <c r="H321" t="str">
        <f t="shared" si="4"/>
        <v>Mismatch</v>
      </c>
      <c r="I321">
        <v>32</v>
      </c>
      <c r="J321" t="s">
        <v>26</v>
      </c>
      <c r="K321" t="s">
        <v>84</v>
      </c>
      <c r="L321" s="9">
        <v>45788</v>
      </c>
    </row>
    <row r="322" spans="1:12">
      <c r="A322" t="s">
        <v>1187</v>
      </c>
      <c r="B322" t="s">
        <v>1188</v>
      </c>
      <c r="C322" t="s">
        <v>1189</v>
      </c>
      <c r="D322" t="s">
        <v>1190</v>
      </c>
      <c r="E322" t="s">
        <v>16</v>
      </c>
      <c r="F322" t="s">
        <v>65</v>
      </c>
      <c r="G322" t="str">
        <f>_xlfn.XLOOKUP(E322,lookup_table!A:A,lookup_table!B:B, "N/A")</f>
        <v>Gauteng</v>
      </c>
      <c r="H322" t="str">
        <f t="shared" si="4"/>
        <v>Match</v>
      </c>
      <c r="I322" t="s">
        <v>39</v>
      </c>
      <c r="J322" t="s">
        <v>23</v>
      </c>
      <c r="K322" t="s">
        <v>23</v>
      </c>
      <c r="L322" s="9">
        <v>45990</v>
      </c>
    </row>
    <row r="323" spans="1:12">
      <c r="A323" t="s">
        <v>1191</v>
      </c>
      <c r="B323" t="s">
        <v>1192</v>
      </c>
      <c r="C323" t="s">
        <v>1193</v>
      </c>
      <c r="D323" t="s">
        <v>23</v>
      </c>
      <c r="E323" t="s">
        <v>32</v>
      </c>
      <c r="F323" t="s">
        <v>89</v>
      </c>
      <c r="G323" t="str">
        <f>_xlfn.XLOOKUP(E323,lookup_table!A:A,lookup_table!B:B, "N/A")</f>
        <v>KwaZulu-Natal</v>
      </c>
      <c r="H323" t="str">
        <f t="shared" ref="H323:H386" si="5">IF(F323=G323, "Match", "Mismatch")</f>
        <v>Mismatch</v>
      </c>
      <c r="I323" t="s">
        <v>39</v>
      </c>
      <c r="J323" t="s">
        <v>66</v>
      </c>
      <c r="K323" t="s">
        <v>33</v>
      </c>
      <c r="L323" s="9">
        <v>45454</v>
      </c>
    </row>
    <row r="324" spans="1:12">
      <c r="A324" t="s">
        <v>1194</v>
      </c>
      <c r="B324" t="s">
        <v>1195</v>
      </c>
      <c r="C324" t="s">
        <v>23</v>
      </c>
      <c r="D324" t="s">
        <v>23</v>
      </c>
      <c r="E324" t="s">
        <v>24</v>
      </c>
      <c r="F324" t="s">
        <v>54</v>
      </c>
      <c r="G324" t="str">
        <f>_xlfn.XLOOKUP(E324,lookup_table!A:A,lookup_table!B:B, "N/A")</f>
        <v>Limpopo</v>
      </c>
      <c r="H324" t="str">
        <f t="shared" si="5"/>
        <v>Mismatch</v>
      </c>
      <c r="I324">
        <v>21</v>
      </c>
      <c r="J324" t="s">
        <v>66</v>
      </c>
      <c r="K324" t="s">
        <v>55</v>
      </c>
      <c r="L324" s="9">
        <v>45336</v>
      </c>
    </row>
    <row r="325" spans="1:12">
      <c r="A325" t="s">
        <v>1196</v>
      </c>
      <c r="B325" t="s">
        <v>1197</v>
      </c>
      <c r="C325" t="s">
        <v>1198</v>
      </c>
      <c r="D325" t="s">
        <v>1199</v>
      </c>
      <c r="E325" t="s">
        <v>70</v>
      </c>
      <c r="F325" t="s">
        <v>50</v>
      </c>
      <c r="G325" t="str">
        <f>_xlfn.XLOOKUP(E325,lookup_table!A:A,lookup_table!B:B, "N/A")</f>
        <v>Eastern Cape</v>
      </c>
      <c r="H325" t="str">
        <f t="shared" si="5"/>
        <v>Mismatch</v>
      </c>
      <c r="I325">
        <v>47</v>
      </c>
      <c r="J325" t="s">
        <v>26</v>
      </c>
      <c r="K325" t="s">
        <v>33</v>
      </c>
      <c r="L325" s="9">
        <v>45844</v>
      </c>
    </row>
    <row r="326" spans="1:12">
      <c r="A326" t="s">
        <v>1200</v>
      </c>
      <c r="B326" t="s">
        <v>1201</v>
      </c>
      <c r="C326" t="s">
        <v>1202</v>
      </c>
      <c r="D326" t="s">
        <v>23</v>
      </c>
      <c r="E326" t="s">
        <v>149</v>
      </c>
      <c r="F326" t="s">
        <v>54</v>
      </c>
      <c r="G326" t="str">
        <f>_xlfn.XLOOKUP(E326,lookup_table!A:A,lookup_table!B:B, "N/A")</f>
        <v>Free State</v>
      </c>
      <c r="H326" t="str">
        <f t="shared" si="5"/>
        <v>Mismatch</v>
      </c>
      <c r="I326">
        <v>40</v>
      </c>
      <c r="J326" t="s">
        <v>18</v>
      </c>
      <c r="K326" t="s">
        <v>19</v>
      </c>
      <c r="L326" s="9">
        <v>45166</v>
      </c>
    </row>
    <row r="327" spans="1:12">
      <c r="A327" t="s">
        <v>1203</v>
      </c>
      <c r="B327" t="s">
        <v>1204</v>
      </c>
      <c r="C327" t="s">
        <v>1205</v>
      </c>
      <c r="D327" t="s">
        <v>1206</v>
      </c>
      <c r="E327" t="s">
        <v>38</v>
      </c>
      <c r="F327" t="s">
        <v>25</v>
      </c>
      <c r="G327" t="str">
        <f>_xlfn.XLOOKUP(E327,lookup_table!A:A,lookup_table!B:B, "N/A")</f>
        <v>Western Cape</v>
      </c>
      <c r="H327" t="str">
        <f t="shared" si="5"/>
        <v>Mismatch</v>
      </c>
      <c r="I327">
        <v>28</v>
      </c>
      <c r="J327" t="s">
        <v>26</v>
      </c>
      <c r="K327" t="s">
        <v>33</v>
      </c>
      <c r="L327" s="9">
        <v>45516</v>
      </c>
    </row>
    <row r="328" spans="1:12">
      <c r="A328" t="s">
        <v>1207</v>
      </c>
      <c r="B328" t="s">
        <v>1208</v>
      </c>
      <c r="C328" t="s">
        <v>23</v>
      </c>
      <c r="D328" t="s">
        <v>1209</v>
      </c>
      <c r="E328" t="s">
        <v>149</v>
      </c>
      <c r="G328" t="str">
        <f>_xlfn.XLOOKUP(E328,lookup_table!A:A,lookup_table!B:B, "N/A")</f>
        <v>Free State</v>
      </c>
      <c r="H328" t="str">
        <f t="shared" si="5"/>
        <v>Mismatch</v>
      </c>
      <c r="I328" t="s">
        <v>39</v>
      </c>
      <c r="J328" t="s">
        <v>18</v>
      </c>
      <c r="K328" t="s">
        <v>43</v>
      </c>
      <c r="L328" s="9">
        <v>45176</v>
      </c>
    </row>
    <row r="329" spans="1:12">
      <c r="A329" t="s">
        <v>1210</v>
      </c>
      <c r="B329" t="s">
        <v>1211</v>
      </c>
      <c r="C329" t="s">
        <v>1212</v>
      </c>
      <c r="D329" t="s">
        <v>1213</v>
      </c>
      <c r="E329" t="s">
        <v>38</v>
      </c>
      <c r="F329" t="s">
        <v>154</v>
      </c>
      <c r="G329" t="str">
        <f>_xlfn.XLOOKUP(E329,lookup_table!A:A,lookup_table!B:B, "N/A")</f>
        <v>Western Cape</v>
      </c>
      <c r="H329" t="str">
        <f t="shared" si="5"/>
        <v>Mismatch</v>
      </c>
      <c r="I329">
        <v>35</v>
      </c>
      <c r="J329" t="s">
        <v>66</v>
      </c>
      <c r="K329" t="s">
        <v>60</v>
      </c>
      <c r="L329" s="9">
        <v>45656</v>
      </c>
    </row>
    <row r="330" spans="1:12">
      <c r="A330" t="s">
        <v>1214</v>
      </c>
      <c r="B330" t="s">
        <v>1215</v>
      </c>
      <c r="C330" t="s">
        <v>1216</v>
      </c>
      <c r="D330" t="s">
        <v>1217</v>
      </c>
      <c r="E330" t="s">
        <v>16</v>
      </c>
      <c r="F330" t="s">
        <v>50</v>
      </c>
      <c r="G330" t="str">
        <f>_xlfn.XLOOKUP(E330,lookup_table!A:A,lookup_table!B:B, "N/A")</f>
        <v>Gauteng</v>
      </c>
      <c r="H330" t="str">
        <f t="shared" si="5"/>
        <v>Mismatch</v>
      </c>
      <c r="I330">
        <v>40</v>
      </c>
      <c r="J330" t="s">
        <v>18</v>
      </c>
      <c r="K330" t="s">
        <v>60</v>
      </c>
      <c r="L330" s="9">
        <v>46026</v>
      </c>
    </row>
    <row r="331" spans="1:12">
      <c r="A331" t="s">
        <v>1218</v>
      </c>
      <c r="B331" t="s">
        <v>1219</v>
      </c>
      <c r="C331" t="s">
        <v>1220</v>
      </c>
      <c r="D331" t="s">
        <v>1221</v>
      </c>
      <c r="E331" t="s">
        <v>70</v>
      </c>
      <c r="F331" t="s">
        <v>17</v>
      </c>
      <c r="G331" t="str">
        <f>_xlfn.XLOOKUP(E331,lookup_table!A:A,lookup_table!B:B, "N/A")</f>
        <v>Eastern Cape</v>
      </c>
      <c r="H331" t="str">
        <f t="shared" si="5"/>
        <v>Match</v>
      </c>
      <c r="I331">
        <v>40</v>
      </c>
      <c r="J331" t="s">
        <v>26</v>
      </c>
      <c r="K331" t="s">
        <v>55</v>
      </c>
      <c r="L331" s="9">
        <v>45664</v>
      </c>
    </row>
    <row r="332" spans="1:12">
      <c r="A332" t="s">
        <v>1222</v>
      </c>
      <c r="B332" t="s">
        <v>1223</v>
      </c>
      <c r="C332" t="s">
        <v>23</v>
      </c>
      <c r="D332" t="s">
        <v>1224</v>
      </c>
      <c r="E332" t="s">
        <v>111</v>
      </c>
      <c r="F332" t="s">
        <v>89</v>
      </c>
      <c r="G332" t="str">
        <f>_xlfn.XLOOKUP(E332,lookup_table!A:A,lookup_table!B:B, "N/A")</f>
        <v>Gauteng</v>
      </c>
      <c r="H332" t="str">
        <f t="shared" si="5"/>
        <v>Mismatch</v>
      </c>
      <c r="I332">
        <v>23</v>
      </c>
      <c r="J332" t="s">
        <v>26</v>
      </c>
      <c r="K332" t="s">
        <v>27</v>
      </c>
      <c r="L332" s="9">
        <v>45689</v>
      </c>
    </row>
    <row r="333" spans="1:12">
      <c r="A333" t="s">
        <v>1225</v>
      </c>
      <c r="B333" t="s">
        <v>1226</v>
      </c>
      <c r="C333" t="s">
        <v>1227</v>
      </c>
      <c r="D333" t="s">
        <v>1228</v>
      </c>
      <c r="E333" t="s">
        <v>78</v>
      </c>
      <c r="F333" t="s">
        <v>79</v>
      </c>
      <c r="G333" t="str">
        <f>_xlfn.XLOOKUP(E333,lookup_table!A:A,lookup_table!B:B, "N/A")</f>
        <v>Northern Cape</v>
      </c>
      <c r="H333" t="str">
        <f t="shared" si="5"/>
        <v>Match</v>
      </c>
      <c r="I333">
        <v>39</v>
      </c>
      <c r="J333" t="s">
        <v>18</v>
      </c>
      <c r="K333" t="s">
        <v>60</v>
      </c>
      <c r="L333" s="9">
        <v>45935</v>
      </c>
    </row>
    <row r="334" spans="1:12">
      <c r="A334" t="s">
        <v>1229</v>
      </c>
      <c r="B334" t="s">
        <v>1230</v>
      </c>
      <c r="C334" t="s">
        <v>1231</v>
      </c>
      <c r="D334" t="s">
        <v>1232</v>
      </c>
      <c r="E334" t="s">
        <v>16</v>
      </c>
      <c r="F334" t="s">
        <v>65</v>
      </c>
      <c r="G334" t="str">
        <f>_xlfn.XLOOKUP(E334,lookup_table!A:A,lookup_table!B:B, "N/A")</f>
        <v>Gauteng</v>
      </c>
      <c r="H334" t="str">
        <f t="shared" si="5"/>
        <v>Match</v>
      </c>
      <c r="I334" t="s">
        <v>39</v>
      </c>
      <c r="J334" t="s">
        <v>18</v>
      </c>
      <c r="K334" t="s">
        <v>60</v>
      </c>
      <c r="L334" s="9">
        <v>45243</v>
      </c>
    </row>
    <row r="335" spans="1:12">
      <c r="A335" t="s">
        <v>1233</v>
      </c>
      <c r="B335" t="s">
        <v>1234</v>
      </c>
      <c r="C335" t="s">
        <v>23</v>
      </c>
      <c r="D335" t="s">
        <v>1235</v>
      </c>
      <c r="E335" t="s">
        <v>16</v>
      </c>
      <c r="F335" t="s">
        <v>89</v>
      </c>
      <c r="G335" t="str">
        <f>_xlfn.XLOOKUP(E335,lookup_table!A:A,lookup_table!B:B, "N/A")</f>
        <v>Gauteng</v>
      </c>
      <c r="H335" t="str">
        <f t="shared" si="5"/>
        <v>Mismatch</v>
      </c>
      <c r="I335">
        <v>51</v>
      </c>
      <c r="J335" t="s">
        <v>26</v>
      </c>
      <c r="K335" t="s">
        <v>84</v>
      </c>
      <c r="L335" s="9">
        <v>45629</v>
      </c>
    </row>
    <row r="336" spans="1:12">
      <c r="A336" t="s">
        <v>1236</v>
      </c>
      <c r="B336" t="s">
        <v>1237</v>
      </c>
      <c r="C336" t="s">
        <v>1238</v>
      </c>
      <c r="D336" t="s">
        <v>23</v>
      </c>
      <c r="E336" t="s">
        <v>32</v>
      </c>
      <c r="F336" t="s">
        <v>65</v>
      </c>
      <c r="G336" t="str">
        <f>_xlfn.XLOOKUP(E336,lookup_table!A:A,lookup_table!B:B, "N/A")</f>
        <v>KwaZulu-Natal</v>
      </c>
      <c r="H336" t="str">
        <f t="shared" si="5"/>
        <v>Mismatch</v>
      </c>
      <c r="I336" t="s">
        <v>39</v>
      </c>
      <c r="J336" t="s">
        <v>120</v>
      </c>
      <c r="K336" t="s">
        <v>106</v>
      </c>
      <c r="L336" s="9">
        <v>45697</v>
      </c>
    </row>
    <row r="337" spans="1:12">
      <c r="A337" t="s">
        <v>1239</v>
      </c>
      <c r="B337" t="s">
        <v>1240</v>
      </c>
      <c r="C337" t="s">
        <v>1241</v>
      </c>
      <c r="D337" t="s">
        <v>23</v>
      </c>
      <c r="E337" t="s">
        <v>32</v>
      </c>
      <c r="F337" t="s">
        <v>17</v>
      </c>
      <c r="G337" t="str">
        <f>_xlfn.XLOOKUP(E337,lookup_table!A:A,lookup_table!B:B, "N/A")</f>
        <v>KwaZulu-Natal</v>
      </c>
      <c r="H337" t="str">
        <f t="shared" si="5"/>
        <v>Mismatch</v>
      </c>
      <c r="I337">
        <v>28</v>
      </c>
      <c r="J337" t="s">
        <v>26</v>
      </c>
      <c r="K337" t="s">
        <v>60</v>
      </c>
      <c r="L337" s="9">
        <v>45847</v>
      </c>
    </row>
    <row r="338" spans="1:12">
      <c r="A338" t="s">
        <v>1242</v>
      </c>
      <c r="B338" t="s">
        <v>1243</v>
      </c>
      <c r="C338" t="s">
        <v>23</v>
      </c>
      <c r="D338" t="s">
        <v>1244</v>
      </c>
      <c r="E338" t="s">
        <v>16</v>
      </c>
      <c r="G338" t="str">
        <f>_xlfn.XLOOKUP(E338,lookup_table!A:A,lookup_table!B:B, "N/A")</f>
        <v>Gauteng</v>
      </c>
      <c r="H338" t="str">
        <f t="shared" si="5"/>
        <v>Mismatch</v>
      </c>
      <c r="I338">
        <v>24</v>
      </c>
      <c r="J338" t="s">
        <v>18</v>
      </c>
      <c r="K338" t="s">
        <v>33</v>
      </c>
      <c r="L338" s="9">
        <v>46103</v>
      </c>
    </row>
    <row r="339" spans="1:12">
      <c r="A339" t="s">
        <v>1245</v>
      </c>
      <c r="B339" t="s">
        <v>1246</v>
      </c>
      <c r="C339" t="s">
        <v>23</v>
      </c>
      <c r="D339" t="s">
        <v>1247</v>
      </c>
      <c r="E339" t="s">
        <v>70</v>
      </c>
      <c r="F339" t="s">
        <v>25</v>
      </c>
      <c r="G339" t="str">
        <f>_xlfn.XLOOKUP(E339,lookup_table!A:A,lookup_table!B:B, "N/A")</f>
        <v>Eastern Cape</v>
      </c>
      <c r="H339" t="str">
        <f t="shared" si="5"/>
        <v>Mismatch</v>
      </c>
      <c r="I339">
        <v>39</v>
      </c>
      <c r="J339" t="s">
        <v>23</v>
      </c>
      <c r="K339" t="s">
        <v>33</v>
      </c>
      <c r="L339" s="9">
        <v>45942</v>
      </c>
    </row>
    <row r="340" spans="1:12">
      <c r="A340" t="s">
        <v>1248</v>
      </c>
      <c r="B340" t="s">
        <v>1249</v>
      </c>
      <c r="C340" t="s">
        <v>23</v>
      </c>
      <c r="D340" t="s">
        <v>1250</v>
      </c>
      <c r="E340" t="s">
        <v>149</v>
      </c>
      <c r="F340" t="s">
        <v>180</v>
      </c>
      <c r="G340" t="str">
        <f>_xlfn.XLOOKUP(E340,lookup_table!A:A,lookup_table!B:B, "N/A")</f>
        <v>Free State</v>
      </c>
      <c r="H340" t="str">
        <f t="shared" si="5"/>
        <v>Mismatch</v>
      </c>
      <c r="I340">
        <v>19</v>
      </c>
      <c r="J340" t="s">
        <v>18</v>
      </c>
      <c r="K340" t="s">
        <v>19</v>
      </c>
      <c r="L340" s="9">
        <v>45338</v>
      </c>
    </row>
    <row r="341" spans="1:12">
      <c r="A341" t="s">
        <v>1251</v>
      </c>
      <c r="B341" t="s">
        <v>1252</v>
      </c>
      <c r="C341" t="s">
        <v>1253</v>
      </c>
      <c r="D341" t="s">
        <v>1254</v>
      </c>
      <c r="E341" t="s">
        <v>16</v>
      </c>
      <c r="F341" t="s">
        <v>180</v>
      </c>
      <c r="G341" t="str">
        <f>_xlfn.XLOOKUP(E341,lookup_table!A:A,lookup_table!B:B, "N/A")</f>
        <v>Gauteng</v>
      </c>
      <c r="H341" t="str">
        <f t="shared" si="5"/>
        <v>Mismatch</v>
      </c>
      <c r="I341">
        <v>49</v>
      </c>
      <c r="J341" t="s">
        <v>26</v>
      </c>
      <c r="K341" t="s">
        <v>23</v>
      </c>
      <c r="L341" s="9">
        <v>46036</v>
      </c>
    </row>
    <row r="342" spans="1:12">
      <c r="A342" t="s">
        <v>1255</v>
      </c>
      <c r="B342" t="s">
        <v>1256</v>
      </c>
      <c r="C342" t="s">
        <v>1257</v>
      </c>
      <c r="D342" t="s">
        <v>1258</v>
      </c>
      <c r="E342" t="s">
        <v>16</v>
      </c>
      <c r="F342" t="s">
        <v>65</v>
      </c>
      <c r="G342" t="str">
        <f>_xlfn.XLOOKUP(E342,lookup_table!A:A,lookup_table!B:B, "N/A")</f>
        <v>Gauteng</v>
      </c>
      <c r="H342" t="str">
        <f t="shared" si="5"/>
        <v>Match</v>
      </c>
      <c r="I342">
        <v>51</v>
      </c>
      <c r="J342" t="s">
        <v>26</v>
      </c>
      <c r="K342" t="s">
        <v>60</v>
      </c>
      <c r="L342" s="9">
        <v>45380</v>
      </c>
    </row>
    <row r="343" spans="1:12">
      <c r="A343" t="s">
        <v>1259</v>
      </c>
      <c r="B343" t="s">
        <v>1260</v>
      </c>
      <c r="C343" t="s">
        <v>1261</v>
      </c>
      <c r="D343" t="s">
        <v>1262</v>
      </c>
      <c r="E343" t="s">
        <v>24</v>
      </c>
      <c r="F343" t="s">
        <v>180</v>
      </c>
      <c r="G343" t="str">
        <f>_xlfn.XLOOKUP(E343,lookup_table!A:A,lookup_table!B:B, "N/A")</f>
        <v>Limpopo</v>
      </c>
      <c r="H343" t="str">
        <f t="shared" si="5"/>
        <v>Mismatch</v>
      </c>
      <c r="I343">
        <v>29</v>
      </c>
      <c r="J343" t="s">
        <v>26</v>
      </c>
      <c r="K343" t="s">
        <v>60</v>
      </c>
      <c r="L343" s="9">
        <v>45766</v>
      </c>
    </row>
    <row r="344" spans="1:12">
      <c r="A344" t="s">
        <v>1263</v>
      </c>
      <c r="B344" t="s">
        <v>1264</v>
      </c>
      <c r="C344" t="s">
        <v>23</v>
      </c>
      <c r="D344" t="s">
        <v>1265</v>
      </c>
      <c r="E344" t="s">
        <v>24</v>
      </c>
      <c r="G344" t="str">
        <f>_xlfn.XLOOKUP(E344,lookup_table!A:A,lookup_table!B:B, "N/A")</f>
        <v>Limpopo</v>
      </c>
      <c r="H344" t="str">
        <f t="shared" si="5"/>
        <v>Mismatch</v>
      </c>
      <c r="I344" t="s">
        <v>39</v>
      </c>
      <c r="J344" t="s">
        <v>18</v>
      </c>
      <c r="K344" t="s">
        <v>60</v>
      </c>
      <c r="L344" s="9">
        <v>45175</v>
      </c>
    </row>
    <row r="345" spans="1:12">
      <c r="A345" t="s">
        <v>1266</v>
      </c>
      <c r="B345" t="s">
        <v>1267</v>
      </c>
      <c r="C345" t="s">
        <v>1268</v>
      </c>
      <c r="D345" t="s">
        <v>1269</v>
      </c>
      <c r="E345" t="s">
        <v>70</v>
      </c>
      <c r="F345" t="s">
        <v>50</v>
      </c>
      <c r="G345" t="str">
        <f>_xlfn.XLOOKUP(E345,lookup_table!A:A,lookup_table!B:B, "N/A")</f>
        <v>Eastern Cape</v>
      </c>
      <c r="H345" t="str">
        <f t="shared" si="5"/>
        <v>Mismatch</v>
      </c>
      <c r="I345" t="s">
        <v>39</v>
      </c>
      <c r="J345" t="s">
        <v>18</v>
      </c>
      <c r="K345" t="s">
        <v>55</v>
      </c>
      <c r="L345" s="9">
        <v>45662</v>
      </c>
    </row>
    <row r="346" spans="1:12">
      <c r="A346" t="s">
        <v>1270</v>
      </c>
      <c r="B346" t="s">
        <v>1271</v>
      </c>
      <c r="C346" t="s">
        <v>1272</v>
      </c>
      <c r="D346" t="s">
        <v>1273</v>
      </c>
      <c r="E346" t="s">
        <v>78</v>
      </c>
      <c r="F346" t="s">
        <v>17</v>
      </c>
      <c r="G346" t="str">
        <f>_xlfn.XLOOKUP(E346,lookup_table!A:A,lookup_table!B:B, "N/A")</f>
        <v>Northern Cape</v>
      </c>
      <c r="H346" t="str">
        <f t="shared" si="5"/>
        <v>Mismatch</v>
      </c>
      <c r="I346">
        <v>36</v>
      </c>
      <c r="J346" t="s">
        <v>120</v>
      </c>
      <c r="K346" t="s">
        <v>33</v>
      </c>
      <c r="L346" s="9">
        <v>45463</v>
      </c>
    </row>
    <row r="347" spans="1:12">
      <c r="A347" t="s">
        <v>1274</v>
      </c>
      <c r="B347" t="s">
        <v>1275</v>
      </c>
      <c r="C347" t="s">
        <v>1276</v>
      </c>
      <c r="D347" t="s">
        <v>1277</v>
      </c>
      <c r="E347" t="s">
        <v>149</v>
      </c>
      <c r="F347" t="s">
        <v>180</v>
      </c>
      <c r="G347" t="str">
        <f>_xlfn.XLOOKUP(E347,lookup_table!A:A,lookup_table!B:B, "N/A")</f>
        <v>Free State</v>
      </c>
      <c r="H347" t="str">
        <f t="shared" si="5"/>
        <v>Mismatch</v>
      </c>
      <c r="I347">
        <v>23</v>
      </c>
      <c r="J347" t="s">
        <v>18</v>
      </c>
      <c r="K347" t="s">
        <v>55</v>
      </c>
      <c r="L347" s="9">
        <v>46158</v>
      </c>
    </row>
    <row r="348" spans="1:12">
      <c r="A348" t="s">
        <v>1278</v>
      </c>
      <c r="B348" t="s">
        <v>1279</v>
      </c>
      <c r="C348" t="s">
        <v>1280</v>
      </c>
      <c r="D348" t="s">
        <v>1281</v>
      </c>
      <c r="E348" t="s">
        <v>70</v>
      </c>
      <c r="F348" t="s">
        <v>154</v>
      </c>
      <c r="G348" t="str">
        <f>_xlfn.XLOOKUP(E348,lookup_table!A:A,lookup_table!B:B, "N/A")</f>
        <v>Eastern Cape</v>
      </c>
      <c r="H348" t="str">
        <f t="shared" si="5"/>
        <v>Mismatch</v>
      </c>
      <c r="I348">
        <v>41</v>
      </c>
      <c r="J348" t="s">
        <v>26</v>
      </c>
      <c r="K348" t="s">
        <v>43</v>
      </c>
      <c r="L348" s="9">
        <v>45507</v>
      </c>
    </row>
    <row r="349" spans="1:12">
      <c r="A349" t="s">
        <v>1282</v>
      </c>
      <c r="B349" t="s">
        <v>1283</v>
      </c>
      <c r="C349" t="s">
        <v>23</v>
      </c>
      <c r="D349" t="s">
        <v>1284</v>
      </c>
      <c r="E349" t="s">
        <v>16</v>
      </c>
      <c r="F349" t="s">
        <v>50</v>
      </c>
      <c r="G349" t="str">
        <f>_xlfn.XLOOKUP(E349,lookup_table!A:A,lookup_table!B:B, "N/A")</f>
        <v>Gauteng</v>
      </c>
      <c r="H349" t="str">
        <f t="shared" si="5"/>
        <v>Mismatch</v>
      </c>
      <c r="I349">
        <v>19</v>
      </c>
      <c r="J349" t="s">
        <v>120</v>
      </c>
      <c r="K349" t="s">
        <v>106</v>
      </c>
      <c r="L349" s="9">
        <v>45227</v>
      </c>
    </row>
    <row r="350" spans="1:12">
      <c r="A350" t="s">
        <v>1285</v>
      </c>
      <c r="B350" t="s">
        <v>1286</v>
      </c>
      <c r="C350" t="s">
        <v>1287</v>
      </c>
      <c r="D350" t="s">
        <v>23</v>
      </c>
      <c r="E350" t="s">
        <v>111</v>
      </c>
      <c r="F350" t="s">
        <v>17</v>
      </c>
      <c r="G350" t="str">
        <f>_xlfn.XLOOKUP(E350,lookup_table!A:A,lookup_table!B:B, "N/A")</f>
        <v>Gauteng</v>
      </c>
      <c r="H350" t="str">
        <f t="shared" si="5"/>
        <v>Mismatch</v>
      </c>
      <c r="I350" t="s">
        <v>39</v>
      </c>
      <c r="J350" t="s">
        <v>26</v>
      </c>
      <c r="K350" t="s">
        <v>23</v>
      </c>
      <c r="L350" s="9">
        <v>45866</v>
      </c>
    </row>
    <row r="351" spans="1:12">
      <c r="A351" t="s">
        <v>1288</v>
      </c>
      <c r="B351" t="s">
        <v>1289</v>
      </c>
      <c r="C351" t="s">
        <v>23</v>
      </c>
      <c r="D351" t="s">
        <v>1290</v>
      </c>
      <c r="E351" t="s">
        <v>149</v>
      </c>
      <c r="F351" t="s">
        <v>154</v>
      </c>
      <c r="G351" t="str">
        <f>_xlfn.XLOOKUP(E351,lookup_table!A:A,lookup_table!B:B, "N/A")</f>
        <v>Free State</v>
      </c>
      <c r="H351" t="str">
        <f t="shared" si="5"/>
        <v>Mismatch</v>
      </c>
      <c r="I351" t="s">
        <v>39</v>
      </c>
      <c r="J351" t="s">
        <v>23</v>
      </c>
      <c r="K351" t="s">
        <v>33</v>
      </c>
      <c r="L351" s="9">
        <v>45750</v>
      </c>
    </row>
    <row r="352" spans="1:12">
      <c r="A352" t="s">
        <v>1291</v>
      </c>
      <c r="B352" t="s">
        <v>1292</v>
      </c>
      <c r="C352" t="s">
        <v>1293</v>
      </c>
      <c r="D352" t="s">
        <v>1294</v>
      </c>
      <c r="E352" t="s">
        <v>32</v>
      </c>
      <c r="F352" t="s">
        <v>154</v>
      </c>
      <c r="G352" t="str">
        <f>_xlfn.XLOOKUP(E352,lookup_table!A:A,lookup_table!B:B, "N/A")</f>
        <v>KwaZulu-Natal</v>
      </c>
      <c r="H352" t="str">
        <f t="shared" si="5"/>
        <v>Mismatch</v>
      </c>
      <c r="I352">
        <v>23</v>
      </c>
      <c r="J352" t="s">
        <v>18</v>
      </c>
      <c r="K352" t="s">
        <v>60</v>
      </c>
      <c r="L352" s="9">
        <v>45661</v>
      </c>
    </row>
    <row r="353" spans="1:12">
      <c r="A353" t="s">
        <v>1295</v>
      </c>
      <c r="B353" t="s">
        <v>1296</v>
      </c>
      <c r="C353" t="s">
        <v>1297</v>
      </c>
      <c r="D353" t="s">
        <v>1298</v>
      </c>
      <c r="E353" t="s">
        <v>53</v>
      </c>
      <c r="F353" t="s">
        <v>154</v>
      </c>
      <c r="G353" t="str">
        <f>_xlfn.XLOOKUP(E353,lookup_table!A:A,lookup_table!B:B, "N/A")</f>
        <v>Mpumalanga</v>
      </c>
      <c r="H353" t="str">
        <f t="shared" si="5"/>
        <v>Mismatch</v>
      </c>
      <c r="I353" t="s">
        <v>39</v>
      </c>
      <c r="J353" t="s">
        <v>66</v>
      </c>
      <c r="K353" t="s">
        <v>23</v>
      </c>
      <c r="L353" s="9">
        <v>45244</v>
      </c>
    </row>
    <row r="354" spans="1:12">
      <c r="A354" t="s">
        <v>1299</v>
      </c>
      <c r="B354" t="s">
        <v>1300</v>
      </c>
      <c r="C354" t="s">
        <v>1301</v>
      </c>
      <c r="D354" t="s">
        <v>1302</v>
      </c>
      <c r="E354" t="s">
        <v>78</v>
      </c>
      <c r="F354" t="s">
        <v>54</v>
      </c>
      <c r="G354" t="str">
        <f>_xlfn.XLOOKUP(E354,lookup_table!A:A,lookup_table!B:B, "N/A")</f>
        <v>Northern Cape</v>
      </c>
      <c r="H354" t="str">
        <f t="shared" si="5"/>
        <v>Mismatch</v>
      </c>
      <c r="I354" t="s">
        <v>39</v>
      </c>
      <c r="J354" t="s">
        <v>18</v>
      </c>
      <c r="K354" t="s">
        <v>33</v>
      </c>
      <c r="L354" s="9">
        <v>45323</v>
      </c>
    </row>
    <row r="355" spans="1:12">
      <c r="A355" t="s">
        <v>1303</v>
      </c>
      <c r="B355" t="s">
        <v>1304</v>
      </c>
      <c r="C355" t="s">
        <v>23</v>
      </c>
      <c r="D355" t="s">
        <v>1305</v>
      </c>
      <c r="E355" t="s">
        <v>38</v>
      </c>
      <c r="F355" t="s">
        <v>154</v>
      </c>
      <c r="G355" t="str">
        <f>_xlfn.XLOOKUP(E355,lookup_table!A:A,lookup_table!B:B, "N/A")</f>
        <v>Western Cape</v>
      </c>
      <c r="H355" t="str">
        <f t="shared" si="5"/>
        <v>Mismatch</v>
      </c>
      <c r="I355">
        <v>34</v>
      </c>
      <c r="J355" t="s">
        <v>26</v>
      </c>
      <c r="K355" t="s">
        <v>60</v>
      </c>
      <c r="L355" s="9">
        <v>45479</v>
      </c>
    </row>
    <row r="356" spans="1:12">
      <c r="A356" t="s">
        <v>1306</v>
      </c>
      <c r="B356" t="s">
        <v>1307</v>
      </c>
      <c r="C356" t="s">
        <v>23</v>
      </c>
      <c r="D356" t="s">
        <v>23</v>
      </c>
      <c r="E356" t="s">
        <v>70</v>
      </c>
      <c r="G356" t="str">
        <f>_xlfn.XLOOKUP(E356,lookup_table!A:A,lookup_table!B:B, "N/A")</f>
        <v>Eastern Cape</v>
      </c>
      <c r="H356" t="str">
        <f t="shared" si="5"/>
        <v>Mismatch</v>
      </c>
      <c r="I356">
        <v>48</v>
      </c>
      <c r="J356" t="s">
        <v>26</v>
      </c>
      <c r="K356" t="s">
        <v>84</v>
      </c>
      <c r="L356" s="9">
        <v>45400</v>
      </c>
    </row>
    <row r="357" spans="1:12">
      <c r="A357" t="s">
        <v>1308</v>
      </c>
      <c r="B357" t="s">
        <v>1309</v>
      </c>
      <c r="C357" t="s">
        <v>23</v>
      </c>
      <c r="D357" t="s">
        <v>1310</v>
      </c>
      <c r="E357" t="s">
        <v>38</v>
      </c>
      <c r="F357" t="s">
        <v>154</v>
      </c>
      <c r="G357" t="str">
        <f>_xlfn.XLOOKUP(E357,lookup_table!A:A,lookup_table!B:B, "N/A")</f>
        <v>Western Cape</v>
      </c>
      <c r="H357" t="str">
        <f t="shared" si="5"/>
        <v>Mismatch</v>
      </c>
      <c r="I357" t="s">
        <v>39</v>
      </c>
      <c r="J357" t="s">
        <v>120</v>
      </c>
      <c r="K357" t="s">
        <v>60</v>
      </c>
      <c r="L357" s="9">
        <v>45464</v>
      </c>
    </row>
    <row r="358" spans="1:12">
      <c r="A358" t="s">
        <v>1311</v>
      </c>
      <c r="B358" t="s">
        <v>1312</v>
      </c>
      <c r="C358" t="s">
        <v>1313</v>
      </c>
      <c r="D358" t="s">
        <v>1314</v>
      </c>
      <c r="E358" t="s">
        <v>32</v>
      </c>
      <c r="F358" t="s">
        <v>180</v>
      </c>
      <c r="G358" t="str">
        <f>_xlfn.XLOOKUP(E358,lookup_table!A:A,lookup_table!B:B, "N/A")</f>
        <v>KwaZulu-Natal</v>
      </c>
      <c r="H358" t="str">
        <f t="shared" si="5"/>
        <v>Mismatch</v>
      </c>
      <c r="I358">
        <v>40</v>
      </c>
      <c r="J358" t="s">
        <v>120</v>
      </c>
      <c r="K358" t="s">
        <v>55</v>
      </c>
      <c r="L358" s="9">
        <v>45747</v>
      </c>
    </row>
    <row r="359" spans="1:12">
      <c r="A359" t="s">
        <v>1315</v>
      </c>
      <c r="B359" t="s">
        <v>1316</v>
      </c>
      <c r="C359" t="s">
        <v>1317</v>
      </c>
      <c r="D359" t="s">
        <v>1318</v>
      </c>
      <c r="E359" t="s">
        <v>70</v>
      </c>
      <c r="F359" t="s">
        <v>50</v>
      </c>
      <c r="G359" t="str">
        <f>_xlfn.XLOOKUP(E359,lookup_table!A:A,lookup_table!B:B, "N/A")</f>
        <v>Eastern Cape</v>
      </c>
      <c r="H359" t="str">
        <f t="shared" si="5"/>
        <v>Mismatch</v>
      </c>
      <c r="I359">
        <v>35</v>
      </c>
      <c r="J359" t="s">
        <v>66</v>
      </c>
      <c r="K359" t="s">
        <v>23</v>
      </c>
      <c r="L359" s="9">
        <v>45178</v>
      </c>
    </row>
    <row r="360" spans="1:12">
      <c r="A360" t="s">
        <v>1319</v>
      </c>
      <c r="B360" t="s">
        <v>1320</v>
      </c>
      <c r="C360" t="s">
        <v>1321</v>
      </c>
      <c r="D360" t="s">
        <v>1322</v>
      </c>
      <c r="E360" t="s">
        <v>70</v>
      </c>
      <c r="F360" t="s">
        <v>65</v>
      </c>
      <c r="G360" t="str">
        <f>_xlfn.XLOOKUP(E360,lookup_table!A:A,lookup_table!B:B, "N/A")</f>
        <v>Eastern Cape</v>
      </c>
      <c r="H360" t="str">
        <f t="shared" si="5"/>
        <v>Mismatch</v>
      </c>
      <c r="I360">
        <v>36</v>
      </c>
      <c r="J360" t="s">
        <v>26</v>
      </c>
      <c r="K360" t="s">
        <v>106</v>
      </c>
      <c r="L360" s="9">
        <v>46167</v>
      </c>
    </row>
    <row r="361" spans="1:12">
      <c r="A361" t="s">
        <v>1323</v>
      </c>
      <c r="B361" t="s">
        <v>1324</v>
      </c>
      <c r="C361" t="s">
        <v>1325</v>
      </c>
      <c r="D361" t="s">
        <v>1326</v>
      </c>
      <c r="E361" t="s">
        <v>32</v>
      </c>
      <c r="G361" t="str">
        <f>_xlfn.XLOOKUP(E361,lookup_table!A:A,lookup_table!B:B, "N/A")</f>
        <v>KwaZulu-Natal</v>
      </c>
      <c r="H361" t="str">
        <f t="shared" si="5"/>
        <v>Mismatch</v>
      </c>
      <c r="I361">
        <v>52</v>
      </c>
      <c r="J361" t="s">
        <v>26</v>
      </c>
      <c r="K361" t="s">
        <v>84</v>
      </c>
      <c r="L361" s="9">
        <v>45338</v>
      </c>
    </row>
    <row r="362" spans="1:12">
      <c r="A362" t="s">
        <v>1327</v>
      </c>
      <c r="B362" t="s">
        <v>1328</v>
      </c>
      <c r="C362" t="s">
        <v>1329</v>
      </c>
      <c r="D362" t="s">
        <v>23</v>
      </c>
      <c r="E362" t="s">
        <v>53</v>
      </c>
      <c r="F362" t="s">
        <v>154</v>
      </c>
      <c r="G362" t="str">
        <f>_xlfn.XLOOKUP(E362,lookup_table!A:A,lookup_table!B:B, "N/A")</f>
        <v>Mpumalanga</v>
      </c>
      <c r="H362" t="str">
        <f t="shared" si="5"/>
        <v>Mismatch</v>
      </c>
      <c r="I362">
        <v>47</v>
      </c>
      <c r="J362" t="s">
        <v>18</v>
      </c>
      <c r="K362" t="s">
        <v>55</v>
      </c>
      <c r="L362" s="9">
        <v>45616</v>
      </c>
    </row>
    <row r="363" spans="1:12">
      <c r="A363" t="s">
        <v>1330</v>
      </c>
      <c r="B363" t="s">
        <v>1331</v>
      </c>
      <c r="C363" t="s">
        <v>23</v>
      </c>
      <c r="D363" t="s">
        <v>1332</v>
      </c>
      <c r="E363" t="s">
        <v>16</v>
      </c>
      <c r="F363" t="s">
        <v>17</v>
      </c>
      <c r="G363" t="str">
        <f>_xlfn.XLOOKUP(E363,lookup_table!A:A,lookup_table!B:B, "N/A")</f>
        <v>Gauteng</v>
      </c>
      <c r="H363" t="str">
        <f t="shared" si="5"/>
        <v>Mismatch</v>
      </c>
      <c r="I363">
        <v>44</v>
      </c>
      <c r="J363" t="s">
        <v>18</v>
      </c>
      <c r="K363" t="s">
        <v>27</v>
      </c>
      <c r="L363" s="9">
        <v>45555</v>
      </c>
    </row>
    <row r="364" spans="1:12">
      <c r="A364" t="s">
        <v>1333</v>
      </c>
      <c r="B364" t="s">
        <v>1334</v>
      </c>
      <c r="C364" t="s">
        <v>23</v>
      </c>
      <c r="D364" t="s">
        <v>1335</v>
      </c>
      <c r="E364" t="s">
        <v>78</v>
      </c>
      <c r="F364" t="s">
        <v>180</v>
      </c>
      <c r="G364" t="str">
        <f>_xlfn.XLOOKUP(E364,lookup_table!A:A,lookup_table!B:B, "N/A")</f>
        <v>Northern Cape</v>
      </c>
      <c r="H364" t="str">
        <f t="shared" si="5"/>
        <v>Mismatch</v>
      </c>
      <c r="I364">
        <v>41</v>
      </c>
      <c r="J364" t="s">
        <v>18</v>
      </c>
      <c r="K364" t="s">
        <v>43</v>
      </c>
      <c r="L364" s="9">
        <v>45710</v>
      </c>
    </row>
    <row r="365" spans="1:12">
      <c r="A365" t="s">
        <v>1336</v>
      </c>
      <c r="B365" t="s">
        <v>1337</v>
      </c>
      <c r="C365" t="s">
        <v>23</v>
      </c>
      <c r="D365" t="s">
        <v>1338</v>
      </c>
      <c r="E365" t="s">
        <v>70</v>
      </c>
      <c r="F365" t="s">
        <v>89</v>
      </c>
      <c r="G365" t="str">
        <f>_xlfn.XLOOKUP(E365,lookup_table!A:A,lookup_table!B:B, "N/A")</f>
        <v>Eastern Cape</v>
      </c>
      <c r="H365" t="str">
        <f t="shared" si="5"/>
        <v>Mismatch</v>
      </c>
      <c r="I365" t="s">
        <v>39</v>
      </c>
      <c r="J365" t="s">
        <v>18</v>
      </c>
      <c r="K365" t="s">
        <v>19</v>
      </c>
      <c r="L365" s="9">
        <v>45917</v>
      </c>
    </row>
    <row r="366" spans="1:12">
      <c r="A366" t="s">
        <v>1339</v>
      </c>
      <c r="B366" t="s">
        <v>1340</v>
      </c>
      <c r="C366" t="s">
        <v>1341</v>
      </c>
      <c r="D366" t="s">
        <v>1342</v>
      </c>
      <c r="E366" t="s">
        <v>16</v>
      </c>
      <c r="F366" t="s">
        <v>65</v>
      </c>
      <c r="G366" t="str">
        <f>_xlfn.XLOOKUP(E366,lookup_table!A:A,lookup_table!B:B, "N/A")</f>
        <v>Gauteng</v>
      </c>
      <c r="H366" t="str">
        <f t="shared" si="5"/>
        <v>Match</v>
      </c>
      <c r="I366" t="s">
        <v>39</v>
      </c>
      <c r="J366" t="s">
        <v>18</v>
      </c>
      <c r="K366" t="s">
        <v>84</v>
      </c>
      <c r="L366" s="9">
        <v>45601</v>
      </c>
    </row>
    <row r="367" spans="1:12">
      <c r="A367" t="s">
        <v>1343</v>
      </c>
      <c r="B367" t="s">
        <v>1344</v>
      </c>
      <c r="C367" t="s">
        <v>1345</v>
      </c>
      <c r="D367" t="s">
        <v>1346</v>
      </c>
      <c r="E367" t="s">
        <v>149</v>
      </c>
      <c r="F367" t="s">
        <v>50</v>
      </c>
      <c r="G367" t="str">
        <f>_xlfn.XLOOKUP(E367,lookup_table!A:A,lookup_table!B:B, "N/A")</f>
        <v>Free State</v>
      </c>
      <c r="H367" t="str">
        <f t="shared" si="5"/>
        <v>Mismatch</v>
      </c>
      <c r="I367">
        <v>21</v>
      </c>
      <c r="J367" t="s">
        <v>66</v>
      </c>
      <c r="K367" t="s">
        <v>27</v>
      </c>
      <c r="L367" s="9">
        <v>45498</v>
      </c>
    </row>
    <row r="368" spans="1:12">
      <c r="A368" t="s">
        <v>1347</v>
      </c>
      <c r="B368" t="s">
        <v>1348</v>
      </c>
      <c r="C368" t="s">
        <v>23</v>
      </c>
      <c r="D368" t="s">
        <v>1349</v>
      </c>
      <c r="E368" t="s">
        <v>16</v>
      </c>
      <c r="F368" t="s">
        <v>154</v>
      </c>
      <c r="G368" t="str">
        <f>_xlfn.XLOOKUP(E368,lookup_table!A:A,lookup_table!B:B, "N/A")</f>
        <v>Gauteng</v>
      </c>
      <c r="H368" t="str">
        <f t="shared" si="5"/>
        <v>Mismatch</v>
      </c>
      <c r="I368">
        <v>19</v>
      </c>
      <c r="J368" t="s">
        <v>23</v>
      </c>
      <c r="K368" t="s">
        <v>55</v>
      </c>
      <c r="L368" s="9">
        <v>45817</v>
      </c>
    </row>
    <row r="369" spans="1:12">
      <c r="A369" t="s">
        <v>1350</v>
      </c>
      <c r="B369" t="s">
        <v>1351</v>
      </c>
      <c r="C369" t="s">
        <v>1352</v>
      </c>
      <c r="D369" t="s">
        <v>1353</v>
      </c>
      <c r="E369" t="s">
        <v>111</v>
      </c>
      <c r="G369" t="str">
        <f>_xlfn.XLOOKUP(E369,lookup_table!A:A,lookup_table!B:B, "N/A")</f>
        <v>Gauteng</v>
      </c>
      <c r="H369" t="str">
        <f t="shared" si="5"/>
        <v>Mismatch</v>
      </c>
      <c r="I369">
        <v>16</v>
      </c>
      <c r="J369" t="s">
        <v>18</v>
      </c>
      <c r="K369" t="s">
        <v>33</v>
      </c>
      <c r="L369" s="9">
        <v>45647</v>
      </c>
    </row>
    <row r="370" spans="1:12">
      <c r="A370" t="s">
        <v>1354</v>
      </c>
      <c r="B370" t="s">
        <v>1355</v>
      </c>
      <c r="C370" t="s">
        <v>23</v>
      </c>
      <c r="D370" t="s">
        <v>1356</v>
      </c>
      <c r="E370" t="s">
        <v>24</v>
      </c>
      <c r="F370" t="s">
        <v>89</v>
      </c>
      <c r="G370" t="str">
        <f>_xlfn.XLOOKUP(E370,lookup_table!A:A,lookup_table!B:B, "N/A")</f>
        <v>Limpopo</v>
      </c>
      <c r="H370" t="str">
        <f t="shared" si="5"/>
        <v>Mismatch</v>
      </c>
      <c r="I370">
        <v>33</v>
      </c>
      <c r="J370" t="s">
        <v>26</v>
      </c>
      <c r="K370" t="s">
        <v>60</v>
      </c>
      <c r="L370" s="9">
        <v>46025</v>
      </c>
    </row>
    <row r="371" spans="1:12">
      <c r="A371" t="s">
        <v>1357</v>
      </c>
      <c r="B371" t="s">
        <v>1358</v>
      </c>
      <c r="C371" t="s">
        <v>1359</v>
      </c>
      <c r="D371" t="s">
        <v>23</v>
      </c>
      <c r="E371" t="s">
        <v>32</v>
      </c>
      <c r="F371" t="s">
        <v>154</v>
      </c>
      <c r="G371" t="str">
        <f>_xlfn.XLOOKUP(E371,lookup_table!A:A,lookup_table!B:B, "N/A")</f>
        <v>KwaZulu-Natal</v>
      </c>
      <c r="H371" t="str">
        <f t="shared" si="5"/>
        <v>Mismatch</v>
      </c>
      <c r="I371">
        <v>22</v>
      </c>
      <c r="J371" t="s">
        <v>66</v>
      </c>
      <c r="K371" t="s">
        <v>84</v>
      </c>
      <c r="L371" s="9">
        <v>46160</v>
      </c>
    </row>
    <row r="372" spans="1:12">
      <c r="A372" t="s">
        <v>1360</v>
      </c>
      <c r="B372" t="s">
        <v>1361</v>
      </c>
      <c r="C372" t="s">
        <v>63</v>
      </c>
      <c r="D372" t="s">
        <v>1362</v>
      </c>
      <c r="E372" t="s">
        <v>16</v>
      </c>
      <c r="F372" t="s">
        <v>154</v>
      </c>
      <c r="G372" t="str">
        <f>_xlfn.XLOOKUP(E372,lookup_table!A:A,lookup_table!B:B, "N/A")</f>
        <v>Gauteng</v>
      </c>
      <c r="H372" t="str">
        <f t="shared" si="5"/>
        <v>Mismatch</v>
      </c>
      <c r="I372">
        <v>40</v>
      </c>
      <c r="J372" t="s">
        <v>26</v>
      </c>
      <c r="K372" t="s">
        <v>60</v>
      </c>
      <c r="L372" s="9">
        <v>45732</v>
      </c>
    </row>
    <row r="373" spans="1:12">
      <c r="A373" t="s">
        <v>1363</v>
      </c>
      <c r="B373" t="s">
        <v>1364</v>
      </c>
      <c r="C373" t="s">
        <v>23</v>
      </c>
      <c r="D373" t="s">
        <v>23</v>
      </c>
      <c r="E373" t="s">
        <v>111</v>
      </c>
      <c r="F373" t="s">
        <v>89</v>
      </c>
      <c r="G373" t="str">
        <f>_xlfn.XLOOKUP(E373,lookup_table!A:A,lookup_table!B:B, "N/A")</f>
        <v>Gauteng</v>
      </c>
      <c r="H373" t="str">
        <f t="shared" si="5"/>
        <v>Mismatch</v>
      </c>
      <c r="I373" t="s">
        <v>39</v>
      </c>
      <c r="J373" t="s">
        <v>26</v>
      </c>
      <c r="K373" t="s">
        <v>19</v>
      </c>
      <c r="L373" s="9">
        <v>45628</v>
      </c>
    </row>
    <row r="374" spans="1:12">
      <c r="A374" t="s">
        <v>1365</v>
      </c>
      <c r="B374" t="s">
        <v>1366</v>
      </c>
      <c r="C374" t="s">
        <v>1367</v>
      </c>
      <c r="D374" t="s">
        <v>1368</v>
      </c>
      <c r="E374" t="s">
        <v>78</v>
      </c>
      <c r="F374" t="s">
        <v>54</v>
      </c>
      <c r="G374" t="str">
        <f>_xlfn.XLOOKUP(E374,lookup_table!A:A,lookup_table!B:B, "N/A")</f>
        <v>Northern Cape</v>
      </c>
      <c r="H374" t="str">
        <f t="shared" si="5"/>
        <v>Mismatch</v>
      </c>
      <c r="I374" t="s">
        <v>39</v>
      </c>
      <c r="J374" t="s">
        <v>18</v>
      </c>
      <c r="K374" t="s">
        <v>84</v>
      </c>
      <c r="L374" s="9">
        <v>45274</v>
      </c>
    </row>
    <row r="375" spans="1:12">
      <c r="A375" t="s">
        <v>1369</v>
      </c>
      <c r="B375" t="s">
        <v>1370</v>
      </c>
      <c r="C375" t="s">
        <v>1371</v>
      </c>
      <c r="D375" t="s">
        <v>1372</v>
      </c>
      <c r="E375" t="s">
        <v>16</v>
      </c>
      <c r="F375" t="s">
        <v>180</v>
      </c>
      <c r="G375" t="str">
        <f>_xlfn.XLOOKUP(E375,lookup_table!A:A,lookup_table!B:B, "N/A")</f>
        <v>Gauteng</v>
      </c>
      <c r="H375" t="str">
        <f t="shared" si="5"/>
        <v>Mismatch</v>
      </c>
      <c r="I375">
        <v>18</v>
      </c>
      <c r="J375" t="s">
        <v>26</v>
      </c>
      <c r="K375" t="s">
        <v>33</v>
      </c>
      <c r="L375" s="9">
        <v>45260</v>
      </c>
    </row>
    <row r="376" spans="1:12">
      <c r="A376" t="s">
        <v>1373</v>
      </c>
      <c r="B376" t="s">
        <v>1374</v>
      </c>
      <c r="C376" t="s">
        <v>1375</v>
      </c>
      <c r="D376" t="s">
        <v>1376</v>
      </c>
      <c r="E376" t="s">
        <v>70</v>
      </c>
      <c r="F376" t="s">
        <v>89</v>
      </c>
      <c r="G376" t="str">
        <f>_xlfn.XLOOKUP(E376,lookup_table!A:A,lookup_table!B:B, "N/A")</f>
        <v>Eastern Cape</v>
      </c>
      <c r="H376" t="str">
        <f t="shared" si="5"/>
        <v>Mismatch</v>
      </c>
      <c r="I376">
        <v>37</v>
      </c>
      <c r="J376" t="s">
        <v>26</v>
      </c>
      <c r="K376" t="s">
        <v>23</v>
      </c>
      <c r="L376" s="9">
        <v>46161</v>
      </c>
    </row>
    <row r="377" spans="1:12">
      <c r="A377" t="s">
        <v>1377</v>
      </c>
      <c r="B377" t="s">
        <v>1378</v>
      </c>
      <c r="C377" t="s">
        <v>23</v>
      </c>
      <c r="D377" t="s">
        <v>1379</v>
      </c>
      <c r="E377" t="s">
        <v>16</v>
      </c>
      <c r="G377" t="str">
        <f>_xlfn.XLOOKUP(E377,lookup_table!A:A,lookup_table!B:B, "N/A")</f>
        <v>Gauteng</v>
      </c>
      <c r="H377" t="str">
        <f t="shared" si="5"/>
        <v>Mismatch</v>
      </c>
      <c r="I377" t="s">
        <v>39</v>
      </c>
      <c r="J377" t="s">
        <v>18</v>
      </c>
      <c r="K377" t="s">
        <v>19</v>
      </c>
      <c r="L377" s="9">
        <v>45226</v>
      </c>
    </row>
    <row r="378" spans="1:12">
      <c r="A378" t="s">
        <v>1380</v>
      </c>
      <c r="B378" t="s">
        <v>1381</v>
      </c>
      <c r="C378" t="s">
        <v>1382</v>
      </c>
      <c r="D378" t="s">
        <v>23</v>
      </c>
      <c r="E378" t="s">
        <v>16</v>
      </c>
      <c r="F378" t="s">
        <v>54</v>
      </c>
      <c r="G378" t="str">
        <f>_xlfn.XLOOKUP(E378,lookup_table!A:A,lookup_table!B:B, "N/A")</f>
        <v>Gauteng</v>
      </c>
      <c r="H378" t="str">
        <f t="shared" si="5"/>
        <v>Mismatch</v>
      </c>
      <c r="I378">
        <v>29</v>
      </c>
      <c r="J378" t="s">
        <v>18</v>
      </c>
      <c r="K378" t="s">
        <v>60</v>
      </c>
      <c r="L378" s="9">
        <v>45954</v>
      </c>
    </row>
    <row r="379" spans="1:12">
      <c r="A379" t="s">
        <v>1383</v>
      </c>
      <c r="B379" t="s">
        <v>1384</v>
      </c>
      <c r="C379" t="s">
        <v>23</v>
      </c>
      <c r="D379" t="s">
        <v>23</v>
      </c>
      <c r="E379" t="s">
        <v>32</v>
      </c>
      <c r="F379" t="s">
        <v>180</v>
      </c>
      <c r="G379" t="str">
        <f>_xlfn.XLOOKUP(E379,lookup_table!A:A,lookup_table!B:B, "N/A")</f>
        <v>KwaZulu-Natal</v>
      </c>
      <c r="H379" t="str">
        <f t="shared" si="5"/>
        <v>Mismatch</v>
      </c>
      <c r="I379" t="s">
        <v>39</v>
      </c>
      <c r="J379" t="s">
        <v>26</v>
      </c>
      <c r="K379" t="s">
        <v>84</v>
      </c>
      <c r="L379" s="9">
        <v>45658</v>
      </c>
    </row>
    <row r="380" spans="1:12">
      <c r="A380" t="s">
        <v>1385</v>
      </c>
      <c r="B380" t="s">
        <v>1386</v>
      </c>
      <c r="C380" t="s">
        <v>1387</v>
      </c>
      <c r="D380" t="s">
        <v>1388</v>
      </c>
      <c r="E380" t="s">
        <v>32</v>
      </c>
      <c r="F380" t="s">
        <v>17</v>
      </c>
      <c r="G380" t="str">
        <f>_xlfn.XLOOKUP(E380,lookup_table!A:A,lookup_table!B:B, "N/A")</f>
        <v>KwaZulu-Natal</v>
      </c>
      <c r="H380" t="str">
        <f t="shared" si="5"/>
        <v>Mismatch</v>
      </c>
      <c r="I380">
        <v>23</v>
      </c>
      <c r="J380" t="s">
        <v>18</v>
      </c>
      <c r="K380" t="s">
        <v>84</v>
      </c>
      <c r="L380" s="9">
        <v>46056</v>
      </c>
    </row>
    <row r="381" spans="1:12">
      <c r="A381" t="s">
        <v>1389</v>
      </c>
      <c r="B381" t="s">
        <v>1390</v>
      </c>
      <c r="C381" t="s">
        <v>1391</v>
      </c>
      <c r="D381" t="s">
        <v>1392</v>
      </c>
      <c r="E381" t="s">
        <v>53</v>
      </c>
      <c r="F381" t="s">
        <v>54</v>
      </c>
      <c r="G381" t="str">
        <f>_xlfn.XLOOKUP(E381,lookup_table!A:A,lookup_table!B:B, "N/A")</f>
        <v>Mpumalanga</v>
      </c>
      <c r="H381" t="str">
        <f t="shared" si="5"/>
        <v>Mismatch</v>
      </c>
      <c r="I381">
        <v>25</v>
      </c>
      <c r="J381" t="s">
        <v>120</v>
      </c>
      <c r="K381" t="s">
        <v>19</v>
      </c>
      <c r="L381" s="9">
        <v>45325</v>
      </c>
    </row>
    <row r="382" spans="1:12">
      <c r="A382" t="s">
        <v>1393</v>
      </c>
      <c r="B382" t="s">
        <v>1394</v>
      </c>
      <c r="C382" t="s">
        <v>1395</v>
      </c>
      <c r="D382" t="s">
        <v>1396</v>
      </c>
      <c r="E382" t="s">
        <v>94</v>
      </c>
      <c r="F382" t="s">
        <v>65</v>
      </c>
      <c r="G382" t="str">
        <f>_xlfn.XLOOKUP(E382,lookup_table!A:A,lookup_table!B:B, "N/A")</f>
        <v>Eastern Cape</v>
      </c>
      <c r="H382" t="str">
        <f t="shared" si="5"/>
        <v>Mismatch</v>
      </c>
      <c r="I382">
        <v>45</v>
      </c>
      <c r="J382" t="s">
        <v>18</v>
      </c>
      <c r="K382" t="s">
        <v>60</v>
      </c>
      <c r="L382" s="9">
        <v>45876</v>
      </c>
    </row>
    <row r="383" spans="1:12">
      <c r="A383" t="s">
        <v>1397</v>
      </c>
      <c r="B383" t="s">
        <v>1398</v>
      </c>
      <c r="C383" t="s">
        <v>1399</v>
      </c>
      <c r="D383" t="s">
        <v>1400</v>
      </c>
      <c r="E383" t="s">
        <v>94</v>
      </c>
      <c r="F383" t="s">
        <v>79</v>
      </c>
      <c r="G383" t="str">
        <f>_xlfn.XLOOKUP(E383,lookup_table!A:A,lookup_table!B:B, "N/A")</f>
        <v>Eastern Cape</v>
      </c>
      <c r="H383" t="str">
        <f t="shared" si="5"/>
        <v>Mismatch</v>
      </c>
      <c r="I383">
        <v>33</v>
      </c>
      <c r="J383" t="s">
        <v>26</v>
      </c>
      <c r="K383" t="s">
        <v>43</v>
      </c>
      <c r="L383" s="9">
        <v>45344</v>
      </c>
    </row>
    <row r="384" spans="1:12">
      <c r="A384" t="s">
        <v>1401</v>
      </c>
      <c r="B384" t="s">
        <v>1402</v>
      </c>
      <c r="C384" t="s">
        <v>1403</v>
      </c>
      <c r="D384" t="s">
        <v>23</v>
      </c>
      <c r="E384" t="s">
        <v>149</v>
      </c>
      <c r="F384" t="s">
        <v>25</v>
      </c>
      <c r="G384" t="str">
        <f>_xlfn.XLOOKUP(E384,lookup_table!A:A,lookup_table!B:B, "N/A")</f>
        <v>Free State</v>
      </c>
      <c r="H384" t="str">
        <f t="shared" si="5"/>
        <v>Match</v>
      </c>
      <c r="I384">
        <v>37</v>
      </c>
      <c r="J384" t="s">
        <v>18</v>
      </c>
      <c r="K384" t="s">
        <v>33</v>
      </c>
      <c r="L384" s="9">
        <v>45638</v>
      </c>
    </row>
    <row r="385" spans="1:12">
      <c r="A385" t="s">
        <v>1404</v>
      </c>
      <c r="B385" t="s">
        <v>1405</v>
      </c>
      <c r="C385" t="s">
        <v>23</v>
      </c>
      <c r="D385" t="s">
        <v>1406</v>
      </c>
      <c r="E385" t="s">
        <v>16</v>
      </c>
      <c r="F385" t="s">
        <v>50</v>
      </c>
      <c r="G385" t="str">
        <f>_xlfn.XLOOKUP(E385,lookup_table!A:A,lookup_table!B:B, "N/A")</f>
        <v>Gauteng</v>
      </c>
      <c r="H385" t="str">
        <f t="shared" si="5"/>
        <v>Mismatch</v>
      </c>
      <c r="I385">
        <v>55</v>
      </c>
      <c r="J385" t="s">
        <v>23</v>
      </c>
      <c r="K385" t="s">
        <v>33</v>
      </c>
      <c r="L385" s="9">
        <v>46024</v>
      </c>
    </row>
    <row r="386" spans="1:12">
      <c r="A386" t="s">
        <v>1407</v>
      </c>
      <c r="B386" t="s">
        <v>1408</v>
      </c>
      <c r="C386" t="s">
        <v>1409</v>
      </c>
      <c r="D386" t="s">
        <v>1410</v>
      </c>
      <c r="E386" t="s">
        <v>16</v>
      </c>
      <c r="F386" t="s">
        <v>79</v>
      </c>
      <c r="G386" t="str">
        <f>_xlfn.XLOOKUP(E386,lookup_table!A:A,lookup_table!B:B, "N/A")</f>
        <v>Gauteng</v>
      </c>
      <c r="H386" t="str">
        <f t="shared" si="5"/>
        <v>Mismatch</v>
      </c>
      <c r="I386" t="s">
        <v>39</v>
      </c>
      <c r="J386" t="s">
        <v>26</v>
      </c>
      <c r="K386" t="s">
        <v>60</v>
      </c>
      <c r="L386" s="9">
        <v>45151</v>
      </c>
    </row>
    <row r="387" spans="1:12">
      <c r="A387" t="s">
        <v>1411</v>
      </c>
      <c r="B387" t="s">
        <v>1412</v>
      </c>
      <c r="C387" t="s">
        <v>23</v>
      </c>
      <c r="D387" t="s">
        <v>1413</v>
      </c>
      <c r="E387" t="s">
        <v>38</v>
      </c>
      <c r="G387" t="str">
        <f>_xlfn.XLOOKUP(E387,lookup_table!A:A,lookup_table!B:B, "N/A")</f>
        <v>Western Cape</v>
      </c>
      <c r="H387" t="str">
        <f t="shared" ref="H387:H450" si="6">IF(F387=G387, "Match", "Mismatch")</f>
        <v>Mismatch</v>
      </c>
      <c r="I387" t="s">
        <v>39</v>
      </c>
      <c r="J387" t="s">
        <v>66</v>
      </c>
      <c r="K387" t="s">
        <v>19</v>
      </c>
      <c r="L387" s="9">
        <v>45849</v>
      </c>
    </row>
    <row r="388" spans="1:12">
      <c r="A388" t="s">
        <v>1414</v>
      </c>
      <c r="B388" t="s">
        <v>1415</v>
      </c>
      <c r="C388" t="s">
        <v>1416</v>
      </c>
      <c r="D388" t="s">
        <v>1417</v>
      </c>
      <c r="E388" t="s">
        <v>32</v>
      </c>
      <c r="F388" t="s">
        <v>65</v>
      </c>
      <c r="G388" t="str">
        <f>_xlfn.XLOOKUP(E388,lookup_table!A:A,lookup_table!B:B, "N/A")</f>
        <v>KwaZulu-Natal</v>
      </c>
      <c r="H388" t="str">
        <f t="shared" si="6"/>
        <v>Mismatch</v>
      </c>
      <c r="I388">
        <v>50</v>
      </c>
      <c r="J388" t="s">
        <v>18</v>
      </c>
      <c r="K388" t="s">
        <v>19</v>
      </c>
      <c r="L388" s="9">
        <v>46107</v>
      </c>
    </row>
    <row r="389" spans="1:12">
      <c r="A389" t="s">
        <v>1418</v>
      </c>
      <c r="B389" t="s">
        <v>1419</v>
      </c>
      <c r="C389" t="s">
        <v>1420</v>
      </c>
      <c r="D389" t="s">
        <v>1421</v>
      </c>
      <c r="E389" t="s">
        <v>16</v>
      </c>
      <c r="F389" t="s">
        <v>180</v>
      </c>
      <c r="G389" t="str">
        <f>_xlfn.XLOOKUP(E389,lookup_table!A:A,lookup_table!B:B, "N/A")</f>
        <v>Gauteng</v>
      </c>
      <c r="H389" t="str">
        <f t="shared" si="6"/>
        <v>Mismatch</v>
      </c>
      <c r="I389">
        <v>37</v>
      </c>
      <c r="J389" t="s">
        <v>23</v>
      </c>
      <c r="K389" t="s">
        <v>33</v>
      </c>
      <c r="L389" s="9">
        <v>45602</v>
      </c>
    </row>
    <row r="390" spans="1:12">
      <c r="A390" t="s">
        <v>1422</v>
      </c>
      <c r="B390" t="s">
        <v>1423</v>
      </c>
      <c r="C390" t="s">
        <v>23</v>
      </c>
      <c r="D390" t="s">
        <v>1424</v>
      </c>
      <c r="E390" t="s">
        <v>70</v>
      </c>
      <c r="G390" t="str">
        <f>_xlfn.XLOOKUP(E390,lookup_table!A:A,lookup_table!B:B, "N/A")</f>
        <v>Eastern Cape</v>
      </c>
      <c r="H390" t="str">
        <f t="shared" si="6"/>
        <v>Mismatch</v>
      </c>
      <c r="I390">
        <v>27</v>
      </c>
      <c r="J390" t="s">
        <v>120</v>
      </c>
      <c r="K390" t="s">
        <v>60</v>
      </c>
      <c r="L390" s="9">
        <v>45876</v>
      </c>
    </row>
    <row r="391" spans="1:12">
      <c r="A391" t="s">
        <v>1425</v>
      </c>
      <c r="B391" t="s">
        <v>1426</v>
      </c>
      <c r="C391" t="s">
        <v>23</v>
      </c>
      <c r="D391" t="s">
        <v>1427</v>
      </c>
      <c r="E391" t="s">
        <v>16</v>
      </c>
      <c r="F391" t="s">
        <v>50</v>
      </c>
      <c r="G391" t="str">
        <f>_xlfn.XLOOKUP(E391,lookup_table!A:A,lookup_table!B:B, "N/A")</f>
        <v>Gauteng</v>
      </c>
      <c r="H391" t="str">
        <f t="shared" si="6"/>
        <v>Mismatch</v>
      </c>
      <c r="I391">
        <v>34</v>
      </c>
      <c r="J391" t="s">
        <v>18</v>
      </c>
      <c r="K391" t="s">
        <v>23</v>
      </c>
      <c r="L391" s="9">
        <v>45118</v>
      </c>
    </row>
    <row r="392" spans="1:12">
      <c r="A392" t="s">
        <v>1428</v>
      </c>
      <c r="B392" t="s">
        <v>1429</v>
      </c>
      <c r="C392" t="s">
        <v>1430</v>
      </c>
      <c r="D392" t="s">
        <v>1431</v>
      </c>
      <c r="E392" t="s">
        <v>78</v>
      </c>
      <c r="F392" t="s">
        <v>25</v>
      </c>
      <c r="G392" t="str">
        <f>_xlfn.XLOOKUP(E392,lookup_table!A:A,lookup_table!B:B, "N/A")</f>
        <v>Northern Cape</v>
      </c>
      <c r="H392" t="str">
        <f t="shared" si="6"/>
        <v>Mismatch</v>
      </c>
      <c r="I392">
        <v>55</v>
      </c>
      <c r="J392" t="s">
        <v>18</v>
      </c>
      <c r="K392" t="s">
        <v>60</v>
      </c>
      <c r="L392" s="9">
        <v>45428</v>
      </c>
    </row>
    <row r="393" spans="1:12">
      <c r="A393" t="s">
        <v>1432</v>
      </c>
      <c r="B393" t="s">
        <v>1433</v>
      </c>
      <c r="C393" t="s">
        <v>1434</v>
      </c>
      <c r="D393" t="s">
        <v>1435</v>
      </c>
      <c r="E393" t="s">
        <v>16</v>
      </c>
      <c r="F393" t="s">
        <v>154</v>
      </c>
      <c r="G393" t="str">
        <f>_xlfn.XLOOKUP(E393,lookup_table!A:A,lookup_table!B:B, "N/A")</f>
        <v>Gauteng</v>
      </c>
      <c r="H393" t="str">
        <f t="shared" si="6"/>
        <v>Mismatch</v>
      </c>
      <c r="I393">
        <v>53</v>
      </c>
      <c r="J393" t="s">
        <v>120</v>
      </c>
      <c r="K393" t="s">
        <v>27</v>
      </c>
      <c r="L393" s="9">
        <v>45479</v>
      </c>
    </row>
    <row r="394" spans="1:12">
      <c r="A394" t="s">
        <v>1436</v>
      </c>
      <c r="B394" t="s">
        <v>1437</v>
      </c>
      <c r="C394" t="s">
        <v>23</v>
      </c>
      <c r="D394" t="s">
        <v>23</v>
      </c>
      <c r="E394" t="s">
        <v>111</v>
      </c>
      <c r="F394" t="s">
        <v>79</v>
      </c>
      <c r="G394" t="str">
        <f>_xlfn.XLOOKUP(E394,lookup_table!A:A,lookup_table!B:B, "N/A")</f>
        <v>Gauteng</v>
      </c>
      <c r="H394" t="str">
        <f t="shared" si="6"/>
        <v>Mismatch</v>
      </c>
      <c r="I394">
        <v>39</v>
      </c>
      <c r="J394" t="s">
        <v>66</v>
      </c>
      <c r="K394" t="s">
        <v>106</v>
      </c>
      <c r="L394" s="9">
        <v>45286</v>
      </c>
    </row>
    <row r="395" spans="1:12">
      <c r="A395" t="s">
        <v>1438</v>
      </c>
      <c r="B395" t="s">
        <v>1439</v>
      </c>
      <c r="C395" t="s">
        <v>1440</v>
      </c>
      <c r="D395" t="s">
        <v>1441</v>
      </c>
      <c r="E395" t="s">
        <v>38</v>
      </c>
      <c r="G395" t="str">
        <f>_xlfn.XLOOKUP(E395,lookup_table!A:A,lookup_table!B:B, "N/A")</f>
        <v>Western Cape</v>
      </c>
      <c r="H395" t="str">
        <f t="shared" si="6"/>
        <v>Mismatch</v>
      </c>
      <c r="I395">
        <v>42</v>
      </c>
      <c r="J395" t="s">
        <v>120</v>
      </c>
      <c r="K395" t="s">
        <v>33</v>
      </c>
      <c r="L395" s="9">
        <v>45332</v>
      </c>
    </row>
    <row r="396" spans="1:12">
      <c r="A396" t="s">
        <v>1442</v>
      </c>
      <c r="B396" t="s">
        <v>1443</v>
      </c>
      <c r="C396" t="s">
        <v>1444</v>
      </c>
      <c r="D396" t="s">
        <v>23</v>
      </c>
      <c r="E396" t="s">
        <v>24</v>
      </c>
      <c r="F396" t="s">
        <v>79</v>
      </c>
      <c r="G396" t="str">
        <f>_xlfn.XLOOKUP(E396,lookup_table!A:A,lookup_table!B:B, "N/A")</f>
        <v>Limpopo</v>
      </c>
      <c r="H396" t="str">
        <f t="shared" si="6"/>
        <v>Mismatch</v>
      </c>
      <c r="I396">
        <v>38</v>
      </c>
      <c r="J396" t="s">
        <v>18</v>
      </c>
      <c r="K396" t="s">
        <v>19</v>
      </c>
      <c r="L396" s="9">
        <v>45188</v>
      </c>
    </row>
    <row r="397" spans="1:12">
      <c r="A397" t="s">
        <v>1445</v>
      </c>
      <c r="B397" t="s">
        <v>1446</v>
      </c>
      <c r="C397" t="s">
        <v>1447</v>
      </c>
      <c r="D397" t="s">
        <v>1448</v>
      </c>
      <c r="E397" t="s">
        <v>70</v>
      </c>
      <c r="F397" t="s">
        <v>89</v>
      </c>
      <c r="G397" t="str">
        <f>_xlfn.XLOOKUP(E397,lookup_table!A:A,lookup_table!B:B, "N/A")</f>
        <v>Eastern Cape</v>
      </c>
      <c r="H397" t="str">
        <f t="shared" si="6"/>
        <v>Mismatch</v>
      </c>
      <c r="I397">
        <v>23</v>
      </c>
      <c r="J397" t="s">
        <v>26</v>
      </c>
      <c r="K397" t="s">
        <v>84</v>
      </c>
      <c r="L397" s="9">
        <v>46037</v>
      </c>
    </row>
    <row r="398" spans="1:12">
      <c r="A398" t="s">
        <v>1449</v>
      </c>
      <c r="B398" t="s">
        <v>1450</v>
      </c>
      <c r="C398" t="s">
        <v>1451</v>
      </c>
      <c r="D398" t="s">
        <v>23</v>
      </c>
      <c r="E398" t="s">
        <v>78</v>
      </c>
      <c r="G398" t="str">
        <f>_xlfn.XLOOKUP(E398,lookup_table!A:A,lookup_table!B:B, "N/A")</f>
        <v>Northern Cape</v>
      </c>
      <c r="H398" t="str">
        <f t="shared" si="6"/>
        <v>Mismatch</v>
      </c>
      <c r="I398">
        <v>20</v>
      </c>
      <c r="J398" t="s">
        <v>18</v>
      </c>
      <c r="K398" t="s">
        <v>84</v>
      </c>
      <c r="L398" s="9">
        <v>45859</v>
      </c>
    </row>
    <row r="399" spans="1:12">
      <c r="A399" t="s">
        <v>1452</v>
      </c>
      <c r="B399" t="s">
        <v>1453</v>
      </c>
      <c r="C399" t="s">
        <v>23</v>
      </c>
      <c r="D399" t="s">
        <v>23</v>
      </c>
      <c r="E399" t="s">
        <v>53</v>
      </c>
      <c r="F399" t="s">
        <v>154</v>
      </c>
      <c r="G399" t="str">
        <f>_xlfn.XLOOKUP(E399,lookup_table!A:A,lookup_table!B:B, "N/A")</f>
        <v>Mpumalanga</v>
      </c>
      <c r="H399" t="str">
        <f t="shared" si="6"/>
        <v>Mismatch</v>
      </c>
      <c r="I399" t="s">
        <v>39</v>
      </c>
      <c r="J399" t="s">
        <v>18</v>
      </c>
      <c r="K399" t="s">
        <v>23</v>
      </c>
      <c r="L399" s="9">
        <v>45936</v>
      </c>
    </row>
    <row r="400" spans="1:12">
      <c r="A400" t="s">
        <v>1454</v>
      </c>
      <c r="B400" t="s">
        <v>1455</v>
      </c>
      <c r="C400" t="s">
        <v>23</v>
      </c>
      <c r="D400" t="s">
        <v>23</v>
      </c>
      <c r="E400" t="s">
        <v>32</v>
      </c>
      <c r="F400" t="s">
        <v>25</v>
      </c>
      <c r="G400" t="str">
        <f>_xlfn.XLOOKUP(E400,lookup_table!A:A,lookup_table!B:B, "N/A")</f>
        <v>KwaZulu-Natal</v>
      </c>
      <c r="H400" t="str">
        <f t="shared" si="6"/>
        <v>Mismatch</v>
      </c>
      <c r="I400">
        <v>34</v>
      </c>
      <c r="J400" t="s">
        <v>66</v>
      </c>
      <c r="K400" t="s">
        <v>33</v>
      </c>
      <c r="L400" s="9">
        <v>45634</v>
      </c>
    </row>
    <row r="401" spans="1:12">
      <c r="A401" t="s">
        <v>1456</v>
      </c>
      <c r="B401" t="s">
        <v>1457</v>
      </c>
      <c r="C401" t="s">
        <v>1458</v>
      </c>
      <c r="D401" t="s">
        <v>1459</v>
      </c>
      <c r="E401" t="s">
        <v>32</v>
      </c>
      <c r="F401" t="s">
        <v>65</v>
      </c>
      <c r="G401" t="str">
        <f>_xlfn.XLOOKUP(E401,lookup_table!A:A,lookup_table!B:B, "N/A")</f>
        <v>KwaZulu-Natal</v>
      </c>
      <c r="H401" t="str">
        <f t="shared" si="6"/>
        <v>Mismatch</v>
      </c>
      <c r="I401">
        <v>25</v>
      </c>
      <c r="J401" t="s">
        <v>23</v>
      </c>
      <c r="K401" t="s">
        <v>106</v>
      </c>
      <c r="L401" s="9">
        <v>45693</v>
      </c>
    </row>
    <row r="402" spans="1:12">
      <c r="A402" t="s">
        <v>1460</v>
      </c>
      <c r="B402" t="s">
        <v>1461</v>
      </c>
      <c r="C402" t="s">
        <v>1462</v>
      </c>
      <c r="D402" t="s">
        <v>1463</v>
      </c>
      <c r="E402" t="s">
        <v>16</v>
      </c>
      <c r="F402" t="s">
        <v>50</v>
      </c>
      <c r="G402" t="str">
        <f>_xlfn.XLOOKUP(E402,lookup_table!A:A,lookup_table!B:B, "N/A")</f>
        <v>Gauteng</v>
      </c>
      <c r="H402" t="str">
        <f t="shared" si="6"/>
        <v>Mismatch</v>
      </c>
      <c r="I402">
        <v>40</v>
      </c>
      <c r="J402" t="s">
        <v>26</v>
      </c>
      <c r="K402" t="s">
        <v>60</v>
      </c>
      <c r="L402" s="9">
        <v>45697</v>
      </c>
    </row>
    <row r="403" spans="1:12">
      <c r="A403" t="s">
        <v>1464</v>
      </c>
      <c r="B403" t="s">
        <v>1465</v>
      </c>
      <c r="C403" t="s">
        <v>1466</v>
      </c>
      <c r="D403" t="s">
        <v>1467</v>
      </c>
      <c r="E403" t="s">
        <v>38</v>
      </c>
      <c r="F403" t="s">
        <v>180</v>
      </c>
      <c r="G403" t="str">
        <f>_xlfn.XLOOKUP(E403,lookup_table!A:A,lookup_table!B:B, "N/A")</f>
        <v>Western Cape</v>
      </c>
      <c r="H403" t="str">
        <f t="shared" si="6"/>
        <v>Mismatch</v>
      </c>
      <c r="I403">
        <v>46</v>
      </c>
      <c r="J403" t="s">
        <v>23</v>
      </c>
      <c r="K403" t="s">
        <v>55</v>
      </c>
      <c r="L403" s="9">
        <v>46067</v>
      </c>
    </row>
    <row r="404" spans="1:12">
      <c r="A404" t="s">
        <v>1468</v>
      </c>
      <c r="B404" t="s">
        <v>1469</v>
      </c>
      <c r="C404" t="s">
        <v>1470</v>
      </c>
      <c r="D404" t="s">
        <v>1471</v>
      </c>
      <c r="E404" t="s">
        <v>38</v>
      </c>
      <c r="F404" t="s">
        <v>79</v>
      </c>
      <c r="G404" t="str">
        <f>_xlfn.XLOOKUP(E404,lookup_table!A:A,lookup_table!B:B, "N/A")</f>
        <v>Western Cape</v>
      </c>
      <c r="H404" t="str">
        <f t="shared" si="6"/>
        <v>Mismatch</v>
      </c>
      <c r="I404">
        <v>36</v>
      </c>
      <c r="J404" t="s">
        <v>120</v>
      </c>
      <c r="K404" t="s">
        <v>33</v>
      </c>
      <c r="L404" s="9">
        <v>45619</v>
      </c>
    </row>
    <row r="405" spans="1:12">
      <c r="A405" t="s">
        <v>1472</v>
      </c>
      <c r="B405" t="s">
        <v>1473</v>
      </c>
      <c r="C405" t="s">
        <v>1474</v>
      </c>
      <c r="D405" t="s">
        <v>1475</v>
      </c>
      <c r="E405" t="s">
        <v>94</v>
      </c>
      <c r="F405" t="s">
        <v>65</v>
      </c>
      <c r="G405" t="str">
        <f>_xlfn.XLOOKUP(E405,lookup_table!A:A,lookup_table!B:B, "N/A")</f>
        <v>Eastern Cape</v>
      </c>
      <c r="H405" t="str">
        <f t="shared" si="6"/>
        <v>Mismatch</v>
      </c>
      <c r="I405">
        <v>41</v>
      </c>
      <c r="J405" t="s">
        <v>66</v>
      </c>
      <c r="K405" t="s">
        <v>60</v>
      </c>
      <c r="L405" s="9">
        <v>45745</v>
      </c>
    </row>
    <row r="406" spans="1:12">
      <c r="A406" t="s">
        <v>1476</v>
      </c>
      <c r="B406" t="s">
        <v>1477</v>
      </c>
      <c r="C406" t="s">
        <v>1478</v>
      </c>
      <c r="D406" t="s">
        <v>1479</v>
      </c>
      <c r="E406" t="s">
        <v>32</v>
      </c>
      <c r="G406" t="str">
        <f>_xlfn.XLOOKUP(E406,lookup_table!A:A,lookup_table!B:B, "N/A")</f>
        <v>KwaZulu-Natal</v>
      </c>
      <c r="H406" t="str">
        <f t="shared" si="6"/>
        <v>Mismatch</v>
      </c>
      <c r="I406" t="s">
        <v>39</v>
      </c>
      <c r="J406" t="s">
        <v>18</v>
      </c>
      <c r="K406" t="s">
        <v>60</v>
      </c>
      <c r="L406" s="9">
        <v>45822</v>
      </c>
    </row>
    <row r="407" spans="1:12">
      <c r="A407" t="s">
        <v>1480</v>
      </c>
      <c r="B407" t="s">
        <v>1481</v>
      </c>
      <c r="C407" t="s">
        <v>1482</v>
      </c>
      <c r="D407" t="s">
        <v>23</v>
      </c>
      <c r="E407" t="s">
        <v>16</v>
      </c>
      <c r="G407" t="str">
        <f>_xlfn.XLOOKUP(E407,lookup_table!A:A,lookup_table!B:B, "N/A")</f>
        <v>Gauteng</v>
      </c>
      <c r="H407" t="str">
        <f t="shared" si="6"/>
        <v>Mismatch</v>
      </c>
      <c r="I407">
        <v>54</v>
      </c>
      <c r="J407" t="s">
        <v>66</v>
      </c>
      <c r="K407" t="s">
        <v>33</v>
      </c>
      <c r="L407" s="9">
        <v>45484</v>
      </c>
    </row>
    <row r="408" spans="1:12">
      <c r="A408" t="s">
        <v>1483</v>
      </c>
      <c r="B408" t="s">
        <v>138</v>
      </c>
      <c r="C408" t="s">
        <v>1484</v>
      </c>
      <c r="D408" t="s">
        <v>1485</v>
      </c>
      <c r="E408" t="s">
        <v>53</v>
      </c>
      <c r="F408" t="s">
        <v>65</v>
      </c>
      <c r="G408" t="str">
        <f>_xlfn.XLOOKUP(E408,lookup_table!A:A,lookup_table!B:B, "N/A")</f>
        <v>Mpumalanga</v>
      </c>
      <c r="H408" t="str">
        <f t="shared" si="6"/>
        <v>Mismatch</v>
      </c>
      <c r="I408" t="s">
        <v>39</v>
      </c>
      <c r="J408" t="s">
        <v>18</v>
      </c>
      <c r="K408" t="s">
        <v>27</v>
      </c>
      <c r="L408" s="9">
        <v>45725</v>
      </c>
    </row>
    <row r="409" spans="1:12">
      <c r="A409" t="s">
        <v>1486</v>
      </c>
      <c r="B409" t="s">
        <v>1487</v>
      </c>
      <c r="C409" t="s">
        <v>23</v>
      </c>
      <c r="D409" t="s">
        <v>1488</v>
      </c>
      <c r="E409" t="s">
        <v>38</v>
      </c>
      <c r="F409" t="s">
        <v>25</v>
      </c>
      <c r="G409" t="str">
        <f>_xlfn.XLOOKUP(E409,lookup_table!A:A,lookup_table!B:B, "N/A")</f>
        <v>Western Cape</v>
      </c>
      <c r="H409" t="str">
        <f t="shared" si="6"/>
        <v>Mismatch</v>
      </c>
      <c r="I409">
        <v>28</v>
      </c>
      <c r="J409" t="s">
        <v>66</v>
      </c>
      <c r="K409" t="s">
        <v>19</v>
      </c>
      <c r="L409" s="9">
        <v>45794</v>
      </c>
    </row>
    <row r="410" spans="1:12">
      <c r="A410" t="s">
        <v>1489</v>
      </c>
      <c r="B410" t="s">
        <v>1490</v>
      </c>
      <c r="C410" t="s">
        <v>23</v>
      </c>
      <c r="D410" t="s">
        <v>1491</v>
      </c>
      <c r="E410" t="s">
        <v>78</v>
      </c>
      <c r="F410" t="s">
        <v>79</v>
      </c>
      <c r="G410" t="str">
        <f>_xlfn.XLOOKUP(E410,lookup_table!A:A,lookup_table!B:B, "N/A")</f>
        <v>Northern Cape</v>
      </c>
      <c r="H410" t="str">
        <f t="shared" si="6"/>
        <v>Match</v>
      </c>
      <c r="I410" t="s">
        <v>39</v>
      </c>
      <c r="J410" t="s">
        <v>23</v>
      </c>
      <c r="K410" t="s">
        <v>106</v>
      </c>
      <c r="L410" s="9">
        <v>45746</v>
      </c>
    </row>
    <row r="411" spans="1:12">
      <c r="A411" t="s">
        <v>1492</v>
      </c>
      <c r="B411" t="s">
        <v>1493</v>
      </c>
      <c r="C411" t="s">
        <v>1494</v>
      </c>
      <c r="D411" t="s">
        <v>1495</v>
      </c>
      <c r="E411" t="s">
        <v>38</v>
      </c>
      <c r="F411" t="s">
        <v>50</v>
      </c>
      <c r="G411" t="str">
        <f>_xlfn.XLOOKUP(E411,lookup_table!A:A,lookup_table!B:B, "N/A")</f>
        <v>Western Cape</v>
      </c>
      <c r="H411" t="str">
        <f t="shared" si="6"/>
        <v>Mismatch</v>
      </c>
      <c r="I411" t="s">
        <v>39</v>
      </c>
      <c r="J411" t="s">
        <v>26</v>
      </c>
      <c r="K411" t="s">
        <v>19</v>
      </c>
      <c r="L411" s="9">
        <v>45441</v>
      </c>
    </row>
    <row r="412" spans="1:12">
      <c r="A412" t="s">
        <v>1496</v>
      </c>
      <c r="B412" t="s">
        <v>1497</v>
      </c>
      <c r="C412" t="s">
        <v>1498</v>
      </c>
      <c r="D412" t="s">
        <v>1499</v>
      </c>
      <c r="E412" t="s">
        <v>16</v>
      </c>
      <c r="F412" t="s">
        <v>79</v>
      </c>
      <c r="G412" t="str">
        <f>_xlfn.XLOOKUP(E412,lookup_table!A:A,lookup_table!B:B, "N/A")</f>
        <v>Gauteng</v>
      </c>
      <c r="H412" t="str">
        <f t="shared" si="6"/>
        <v>Mismatch</v>
      </c>
      <c r="I412" t="s">
        <v>39</v>
      </c>
      <c r="J412" t="s">
        <v>26</v>
      </c>
      <c r="K412" t="s">
        <v>60</v>
      </c>
      <c r="L412" s="9">
        <v>45822</v>
      </c>
    </row>
    <row r="413" spans="1:12">
      <c r="A413" t="s">
        <v>1500</v>
      </c>
      <c r="B413" t="s">
        <v>1501</v>
      </c>
      <c r="C413" t="s">
        <v>1502</v>
      </c>
      <c r="D413" t="s">
        <v>1503</v>
      </c>
      <c r="E413" t="s">
        <v>32</v>
      </c>
      <c r="F413" t="s">
        <v>25</v>
      </c>
      <c r="G413" t="str">
        <f>_xlfn.XLOOKUP(E413,lookup_table!A:A,lookup_table!B:B, "N/A")</f>
        <v>KwaZulu-Natal</v>
      </c>
      <c r="H413" t="str">
        <f t="shared" si="6"/>
        <v>Mismatch</v>
      </c>
      <c r="I413">
        <v>51</v>
      </c>
      <c r="J413" t="s">
        <v>26</v>
      </c>
      <c r="K413" t="s">
        <v>23</v>
      </c>
      <c r="L413" s="9">
        <v>45916</v>
      </c>
    </row>
    <row r="414" spans="1:12">
      <c r="A414" t="s">
        <v>1504</v>
      </c>
      <c r="B414" t="s">
        <v>1505</v>
      </c>
      <c r="C414" t="s">
        <v>1506</v>
      </c>
      <c r="D414" t="s">
        <v>1507</v>
      </c>
      <c r="E414" t="s">
        <v>16</v>
      </c>
      <c r="F414" t="s">
        <v>79</v>
      </c>
      <c r="G414" t="str">
        <f>_xlfn.XLOOKUP(E414,lookup_table!A:A,lookup_table!B:B, "N/A")</f>
        <v>Gauteng</v>
      </c>
      <c r="H414" t="str">
        <f t="shared" si="6"/>
        <v>Mismatch</v>
      </c>
      <c r="I414">
        <v>18</v>
      </c>
      <c r="J414" t="s">
        <v>26</v>
      </c>
      <c r="K414" t="s">
        <v>84</v>
      </c>
      <c r="L414" s="9">
        <v>45507</v>
      </c>
    </row>
    <row r="415" spans="1:12">
      <c r="A415" t="s">
        <v>1508</v>
      </c>
      <c r="B415" t="s">
        <v>1509</v>
      </c>
      <c r="C415" t="s">
        <v>23</v>
      </c>
      <c r="D415" t="s">
        <v>1510</v>
      </c>
      <c r="E415" t="s">
        <v>38</v>
      </c>
      <c r="F415" t="s">
        <v>154</v>
      </c>
      <c r="G415" t="str">
        <f>_xlfn.XLOOKUP(E415,lookup_table!A:A,lookup_table!B:B, "N/A")</f>
        <v>Western Cape</v>
      </c>
      <c r="H415" t="str">
        <f t="shared" si="6"/>
        <v>Mismatch</v>
      </c>
      <c r="I415">
        <v>49</v>
      </c>
      <c r="J415" t="s">
        <v>66</v>
      </c>
      <c r="K415" t="s">
        <v>33</v>
      </c>
      <c r="L415" s="9">
        <v>45247</v>
      </c>
    </row>
    <row r="416" spans="1:12">
      <c r="A416" t="s">
        <v>1511</v>
      </c>
      <c r="B416" t="s">
        <v>1512</v>
      </c>
      <c r="C416" t="s">
        <v>1513</v>
      </c>
      <c r="D416" t="s">
        <v>1514</v>
      </c>
      <c r="E416" t="s">
        <v>16</v>
      </c>
      <c r="F416" t="s">
        <v>89</v>
      </c>
      <c r="G416" t="str">
        <f>_xlfn.XLOOKUP(E416,lookup_table!A:A,lookup_table!B:B, "N/A")</f>
        <v>Gauteng</v>
      </c>
      <c r="H416" t="str">
        <f t="shared" si="6"/>
        <v>Mismatch</v>
      </c>
      <c r="I416">
        <v>55</v>
      </c>
      <c r="J416" t="s">
        <v>26</v>
      </c>
      <c r="K416" t="s">
        <v>33</v>
      </c>
      <c r="L416" s="9">
        <v>46080</v>
      </c>
    </row>
    <row r="417" spans="1:12">
      <c r="A417" t="s">
        <v>1515</v>
      </c>
      <c r="B417" t="s">
        <v>1516</v>
      </c>
      <c r="C417" t="s">
        <v>23</v>
      </c>
      <c r="D417" t="s">
        <v>23</v>
      </c>
      <c r="E417" t="s">
        <v>32</v>
      </c>
      <c r="F417" t="s">
        <v>65</v>
      </c>
      <c r="G417" t="str">
        <f>_xlfn.XLOOKUP(E417,lookup_table!A:A,lookup_table!B:B, "N/A")</f>
        <v>KwaZulu-Natal</v>
      </c>
      <c r="H417" t="str">
        <f t="shared" si="6"/>
        <v>Mismatch</v>
      </c>
      <c r="I417">
        <v>47</v>
      </c>
      <c r="J417" t="s">
        <v>26</v>
      </c>
      <c r="K417" t="s">
        <v>23</v>
      </c>
      <c r="L417" s="9">
        <v>45358</v>
      </c>
    </row>
    <row r="418" spans="1:12">
      <c r="A418" t="s">
        <v>1517</v>
      </c>
      <c r="B418" t="s">
        <v>1518</v>
      </c>
      <c r="C418" t="s">
        <v>23</v>
      </c>
      <c r="D418" t="s">
        <v>1519</v>
      </c>
      <c r="E418" t="s">
        <v>16</v>
      </c>
      <c r="F418" t="s">
        <v>54</v>
      </c>
      <c r="G418" t="str">
        <f>_xlfn.XLOOKUP(E418,lookup_table!A:A,lookup_table!B:B, "N/A")</f>
        <v>Gauteng</v>
      </c>
      <c r="H418" t="str">
        <f t="shared" si="6"/>
        <v>Mismatch</v>
      </c>
      <c r="I418">
        <v>29</v>
      </c>
      <c r="J418" t="s">
        <v>66</v>
      </c>
      <c r="K418" t="s">
        <v>27</v>
      </c>
      <c r="L418" s="9">
        <v>45574</v>
      </c>
    </row>
    <row r="419" spans="1:12">
      <c r="A419" t="s">
        <v>1520</v>
      </c>
      <c r="B419" t="s">
        <v>1521</v>
      </c>
      <c r="C419" t="s">
        <v>1522</v>
      </c>
      <c r="D419" t="s">
        <v>1523</v>
      </c>
      <c r="E419" t="s">
        <v>70</v>
      </c>
      <c r="F419" t="s">
        <v>17</v>
      </c>
      <c r="G419" t="str">
        <f>_xlfn.XLOOKUP(E419,lookup_table!A:A,lookup_table!B:B, "N/A")</f>
        <v>Eastern Cape</v>
      </c>
      <c r="H419" t="str">
        <f t="shared" si="6"/>
        <v>Match</v>
      </c>
      <c r="I419">
        <v>55</v>
      </c>
      <c r="J419" t="s">
        <v>23</v>
      </c>
      <c r="K419" t="s">
        <v>33</v>
      </c>
      <c r="L419" s="9">
        <v>45882</v>
      </c>
    </row>
    <row r="420" spans="1:12">
      <c r="A420" t="s">
        <v>1524</v>
      </c>
      <c r="B420" t="s">
        <v>1525</v>
      </c>
      <c r="C420" t="s">
        <v>1526</v>
      </c>
      <c r="D420" t="s">
        <v>1527</v>
      </c>
      <c r="E420" t="s">
        <v>32</v>
      </c>
      <c r="F420" t="s">
        <v>25</v>
      </c>
      <c r="G420" t="str">
        <f>_xlfn.XLOOKUP(E420,lookup_table!A:A,lookup_table!B:B, "N/A")</f>
        <v>KwaZulu-Natal</v>
      </c>
      <c r="H420" t="str">
        <f t="shared" si="6"/>
        <v>Mismatch</v>
      </c>
      <c r="I420">
        <v>33</v>
      </c>
      <c r="J420" t="s">
        <v>18</v>
      </c>
      <c r="K420" t="s">
        <v>33</v>
      </c>
      <c r="L420" s="9">
        <v>46037</v>
      </c>
    </row>
    <row r="421" spans="1:12">
      <c r="A421" t="s">
        <v>1528</v>
      </c>
      <c r="B421" t="s">
        <v>1529</v>
      </c>
      <c r="C421" t="s">
        <v>1530</v>
      </c>
      <c r="D421" t="s">
        <v>1531</v>
      </c>
      <c r="E421" t="s">
        <v>78</v>
      </c>
      <c r="F421" t="s">
        <v>25</v>
      </c>
      <c r="G421" t="str">
        <f>_xlfn.XLOOKUP(E421,lookup_table!A:A,lookup_table!B:B, "N/A")</f>
        <v>Northern Cape</v>
      </c>
      <c r="H421" t="str">
        <f t="shared" si="6"/>
        <v>Mismatch</v>
      </c>
      <c r="I421">
        <v>42</v>
      </c>
      <c r="J421" t="s">
        <v>26</v>
      </c>
      <c r="K421" t="s">
        <v>19</v>
      </c>
      <c r="L421" s="9">
        <v>45398</v>
      </c>
    </row>
    <row r="422" spans="1:12">
      <c r="A422" t="s">
        <v>1532</v>
      </c>
      <c r="B422" t="s">
        <v>1533</v>
      </c>
      <c r="C422" t="s">
        <v>1534</v>
      </c>
      <c r="D422" t="s">
        <v>1535</v>
      </c>
      <c r="E422" t="s">
        <v>94</v>
      </c>
      <c r="G422" t="str">
        <f>_xlfn.XLOOKUP(E422,lookup_table!A:A,lookup_table!B:B, "N/A")</f>
        <v>Eastern Cape</v>
      </c>
      <c r="H422" t="str">
        <f t="shared" si="6"/>
        <v>Mismatch</v>
      </c>
      <c r="I422">
        <v>25</v>
      </c>
      <c r="J422" t="s">
        <v>18</v>
      </c>
      <c r="K422" t="s">
        <v>27</v>
      </c>
      <c r="L422" s="9">
        <v>45897</v>
      </c>
    </row>
    <row r="423" spans="1:12">
      <c r="A423" t="s">
        <v>1536</v>
      </c>
      <c r="B423" t="s">
        <v>1537</v>
      </c>
      <c r="C423" t="s">
        <v>1538</v>
      </c>
      <c r="D423" t="s">
        <v>1539</v>
      </c>
      <c r="E423" t="s">
        <v>78</v>
      </c>
      <c r="F423" t="s">
        <v>79</v>
      </c>
      <c r="G423" t="str">
        <f>_xlfn.XLOOKUP(E423,lookup_table!A:A,lookup_table!B:B, "N/A")</f>
        <v>Northern Cape</v>
      </c>
      <c r="H423" t="str">
        <f t="shared" si="6"/>
        <v>Match</v>
      </c>
      <c r="I423">
        <v>19</v>
      </c>
      <c r="J423" t="s">
        <v>26</v>
      </c>
      <c r="K423" t="s">
        <v>33</v>
      </c>
      <c r="L423" s="9">
        <v>45219</v>
      </c>
    </row>
    <row r="424" spans="1:12">
      <c r="A424" t="s">
        <v>1540</v>
      </c>
      <c r="B424" t="s">
        <v>1541</v>
      </c>
      <c r="C424" t="s">
        <v>1542</v>
      </c>
      <c r="D424" t="s">
        <v>1543</v>
      </c>
      <c r="E424" t="s">
        <v>78</v>
      </c>
      <c r="F424" t="s">
        <v>180</v>
      </c>
      <c r="G424" t="str">
        <f>_xlfn.XLOOKUP(E424,lookup_table!A:A,lookup_table!B:B, "N/A")</f>
        <v>Northern Cape</v>
      </c>
      <c r="H424" t="str">
        <f t="shared" si="6"/>
        <v>Mismatch</v>
      </c>
      <c r="I424">
        <v>30</v>
      </c>
      <c r="J424" t="s">
        <v>18</v>
      </c>
      <c r="K424" t="s">
        <v>27</v>
      </c>
      <c r="L424" s="9">
        <v>45315</v>
      </c>
    </row>
    <row r="425" spans="1:12">
      <c r="A425" t="s">
        <v>1544</v>
      </c>
      <c r="B425" t="s">
        <v>1545</v>
      </c>
      <c r="C425" t="s">
        <v>1546</v>
      </c>
      <c r="D425" t="s">
        <v>1547</v>
      </c>
      <c r="E425" t="s">
        <v>78</v>
      </c>
      <c r="F425" t="s">
        <v>180</v>
      </c>
      <c r="G425" t="str">
        <f>_xlfn.XLOOKUP(E425,lookup_table!A:A,lookup_table!B:B, "N/A")</f>
        <v>Northern Cape</v>
      </c>
      <c r="H425" t="str">
        <f t="shared" si="6"/>
        <v>Mismatch</v>
      </c>
      <c r="I425" t="s">
        <v>39</v>
      </c>
      <c r="J425" t="s">
        <v>26</v>
      </c>
      <c r="K425" t="s">
        <v>55</v>
      </c>
      <c r="L425" s="9">
        <v>45315</v>
      </c>
    </row>
    <row r="426" spans="1:12">
      <c r="A426" t="s">
        <v>1548</v>
      </c>
      <c r="B426" t="s">
        <v>1549</v>
      </c>
      <c r="C426" t="s">
        <v>1550</v>
      </c>
      <c r="D426" t="s">
        <v>1551</v>
      </c>
      <c r="E426" t="s">
        <v>38</v>
      </c>
      <c r="F426" t="s">
        <v>89</v>
      </c>
      <c r="G426" t="str">
        <f>_xlfn.XLOOKUP(E426,lookup_table!A:A,lookup_table!B:B, "N/A")</f>
        <v>Western Cape</v>
      </c>
      <c r="H426" t="str">
        <f t="shared" si="6"/>
        <v>Match</v>
      </c>
      <c r="I426">
        <v>45</v>
      </c>
      <c r="J426" t="s">
        <v>26</v>
      </c>
      <c r="K426" t="s">
        <v>33</v>
      </c>
      <c r="L426" s="9">
        <v>45885</v>
      </c>
    </row>
    <row r="427" spans="1:12">
      <c r="A427" t="s">
        <v>1552</v>
      </c>
      <c r="B427" t="s">
        <v>1553</v>
      </c>
      <c r="C427" t="s">
        <v>1554</v>
      </c>
      <c r="D427" t="s">
        <v>23</v>
      </c>
      <c r="E427" t="s">
        <v>32</v>
      </c>
      <c r="F427" t="s">
        <v>54</v>
      </c>
      <c r="G427" t="str">
        <f>_xlfn.XLOOKUP(E427,lookup_table!A:A,lookup_table!B:B, "N/A")</f>
        <v>KwaZulu-Natal</v>
      </c>
      <c r="H427" t="str">
        <f t="shared" si="6"/>
        <v>Mismatch</v>
      </c>
      <c r="I427">
        <v>42</v>
      </c>
      <c r="J427" t="s">
        <v>26</v>
      </c>
      <c r="K427" t="s">
        <v>60</v>
      </c>
      <c r="L427" s="9">
        <v>45873</v>
      </c>
    </row>
    <row r="428" spans="1:12">
      <c r="A428" t="s">
        <v>1555</v>
      </c>
      <c r="B428" t="s">
        <v>1556</v>
      </c>
      <c r="C428" t="s">
        <v>23</v>
      </c>
      <c r="D428" t="s">
        <v>1557</v>
      </c>
      <c r="E428" t="s">
        <v>111</v>
      </c>
      <c r="F428" t="s">
        <v>17</v>
      </c>
      <c r="G428" t="str">
        <f>_xlfn.XLOOKUP(E428,lookup_table!A:A,lookup_table!B:B, "N/A")</f>
        <v>Gauteng</v>
      </c>
      <c r="H428" t="str">
        <f t="shared" si="6"/>
        <v>Mismatch</v>
      </c>
      <c r="I428">
        <v>52</v>
      </c>
      <c r="J428" t="s">
        <v>18</v>
      </c>
      <c r="K428" t="s">
        <v>27</v>
      </c>
      <c r="L428" s="9">
        <v>45736</v>
      </c>
    </row>
    <row r="429" spans="1:12">
      <c r="A429" t="s">
        <v>1558</v>
      </c>
      <c r="B429" t="s">
        <v>1559</v>
      </c>
      <c r="C429" t="s">
        <v>23</v>
      </c>
      <c r="D429" t="s">
        <v>1560</v>
      </c>
      <c r="E429" t="s">
        <v>16</v>
      </c>
      <c r="F429" t="s">
        <v>65</v>
      </c>
      <c r="G429" t="str">
        <f>_xlfn.XLOOKUP(E429,lookup_table!A:A,lookup_table!B:B, "N/A")</f>
        <v>Gauteng</v>
      </c>
      <c r="H429" t="str">
        <f t="shared" si="6"/>
        <v>Match</v>
      </c>
      <c r="I429">
        <v>16</v>
      </c>
      <c r="J429" t="s">
        <v>26</v>
      </c>
      <c r="K429" t="s">
        <v>43</v>
      </c>
      <c r="L429" s="9">
        <v>45708</v>
      </c>
    </row>
    <row r="430" spans="1:12">
      <c r="A430" t="s">
        <v>1561</v>
      </c>
      <c r="B430" t="s">
        <v>1562</v>
      </c>
      <c r="C430" t="s">
        <v>1563</v>
      </c>
      <c r="D430" t="s">
        <v>1564</v>
      </c>
      <c r="E430" t="s">
        <v>53</v>
      </c>
      <c r="F430" t="s">
        <v>50</v>
      </c>
      <c r="G430" t="str">
        <f>_xlfn.XLOOKUP(E430,lookup_table!A:A,lookup_table!B:B, "N/A")</f>
        <v>Mpumalanga</v>
      </c>
      <c r="H430" t="str">
        <f t="shared" si="6"/>
        <v>Mismatch</v>
      </c>
      <c r="I430">
        <v>45</v>
      </c>
      <c r="J430" t="s">
        <v>120</v>
      </c>
      <c r="K430" t="s">
        <v>106</v>
      </c>
      <c r="L430" s="9">
        <v>46169</v>
      </c>
    </row>
    <row r="431" spans="1:12">
      <c r="A431" t="s">
        <v>1565</v>
      </c>
      <c r="B431" t="s">
        <v>1566</v>
      </c>
      <c r="C431" t="s">
        <v>1567</v>
      </c>
      <c r="D431" t="s">
        <v>1568</v>
      </c>
      <c r="E431" t="s">
        <v>16</v>
      </c>
      <c r="F431" t="s">
        <v>65</v>
      </c>
      <c r="G431" t="str">
        <f>_xlfn.XLOOKUP(E431,lookup_table!A:A,lookup_table!B:B, "N/A")</f>
        <v>Gauteng</v>
      </c>
      <c r="H431" t="str">
        <f t="shared" si="6"/>
        <v>Match</v>
      </c>
      <c r="I431" t="s">
        <v>39</v>
      </c>
      <c r="J431" t="s">
        <v>18</v>
      </c>
      <c r="K431" t="s">
        <v>23</v>
      </c>
      <c r="L431" s="9">
        <v>45445</v>
      </c>
    </row>
    <row r="432" spans="1:12">
      <c r="A432" t="s">
        <v>1569</v>
      </c>
      <c r="B432" t="s">
        <v>1570</v>
      </c>
      <c r="C432" t="s">
        <v>1571</v>
      </c>
      <c r="D432" t="s">
        <v>23</v>
      </c>
      <c r="E432" t="s">
        <v>149</v>
      </c>
      <c r="F432" t="s">
        <v>89</v>
      </c>
      <c r="G432" t="str">
        <f>_xlfn.XLOOKUP(E432,lookup_table!A:A,lookup_table!B:B, "N/A")</f>
        <v>Free State</v>
      </c>
      <c r="H432" t="str">
        <f t="shared" si="6"/>
        <v>Mismatch</v>
      </c>
      <c r="I432">
        <v>19</v>
      </c>
      <c r="J432" t="s">
        <v>26</v>
      </c>
      <c r="K432" t="s">
        <v>19</v>
      </c>
      <c r="L432" s="9">
        <v>46007</v>
      </c>
    </row>
    <row r="433" spans="1:12">
      <c r="A433" t="s">
        <v>1572</v>
      </c>
      <c r="B433" t="s">
        <v>1573</v>
      </c>
      <c r="C433" t="s">
        <v>1574</v>
      </c>
      <c r="D433" t="s">
        <v>1575</v>
      </c>
      <c r="E433" t="s">
        <v>111</v>
      </c>
      <c r="F433" t="s">
        <v>79</v>
      </c>
      <c r="G433" t="str">
        <f>_xlfn.XLOOKUP(E433,lookup_table!A:A,lookup_table!B:B, "N/A")</f>
        <v>Gauteng</v>
      </c>
      <c r="H433" t="str">
        <f t="shared" si="6"/>
        <v>Mismatch</v>
      </c>
      <c r="I433">
        <v>33</v>
      </c>
      <c r="J433" t="s">
        <v>26</v>
      </c>
      <c r="K433" t="s">
        <v>84</v>
      </c>
      <c r="L433" s="9">
        <v>45349</v>
      </c>
    </row>
    <row r="434" spans="1:12">
      <c r="A434" t="s">
        <v>1576</v>
      </c>
      <c r="B434" t="s">
        <v>1577</v>
      </c>
      <c r="C434" t="s">
        <v>23</v>
      </c>
      <c r="D434" t="s">
        <v>23</v>
      </c>
      <c r="E434" t="s">
        <v>70</v>
      </c>
      <c r="F434" t="s">
        <v>79</v>
      </c>
      <c r="G434" t="str">
        <f>_xlfn.XLOOKUP(E434,lookup_table!A:A,lookup_table!B:B, "N/A")</f>
        <v>Eastern Cape</v>
      </c>
      <c r="H434" t="str">
        <f t="shared" si="6"/>
        <v>Mismatch</v>
      </c>
      <c r="I434">
        <v>55</v>
      </c>
      <c r="J434" t="s">
        <v>26</v>
      </c>
      <c r="K434" t="s">
        <v>27</v>
      </c>
      <c r="L434" s="9">
        <v>45638</v>
      </c>
    </row>
    <row r="435" spans="1:12">
      <c r="A435" t="s">
        <v>1578</v>
      </c>
      <c r="B435" t="s">
        <v>1579</v>
      </c>
      <c r="C435" t="s">
        <v>1580</v>
      </c>
      <c r="D435" t="s">
        <v>1581</v>
      </c>
      <c r="E435" t="s">
        <v>16</v>
      </c>
      <c r="F435" t="s">
        <v>65</v>
      </c>
      <c r="G435" t="str">
        <f>_xlfn.XLOOKUP(E435,lookup_table!A:A,lookup_table!B:B, "N/A")</f>
        <v>Gauteng</v>
      </c>
      <c r="H435" t="str">
        <f t="shared" si="6"/>
        <v>Match</v>
      </c>
      <c r="I435">
        <v>47</v>
      </c>
      <c r="J435" t="s">
        <v>66</v>
      </c>
      <c r="K435" t="s">
        <v>84</v>
      </c>
      <c r="L435" s="9">
        <v>46191</v>
      </c>
    </row>
    <row r="436" spans="1:12">
      <c r="A436" t="s">
        <v>1582</v>
      </c>
      <c r="B436" t="s">
        <v>1583</v>
      </c>
      <c r="C436" t="s">
        <v>1584</v>
      </c>
      <c r="D436" t="s">
        <v>1585</v>
      </c>
      <c r="E436" t="s">
        <v>53</v>
      </c>
      <c r="F436" t="s">
        <v>89</v>
      </c>
      <c r="G436" t="str">
        <f>_xlfn.XLOOKUP(E436,lookup_table!A:A,lookup_table!B:B, "N/A")</f>
        <v>Mpumalanga</v>
      </c>
      <c r="H436" t="str">
        <f t="shared" si="6"/>
        <v>Mismatch</v>
      </c>
      <c r="I436" t="s">
        <v>39</v>
      </c>
      <c r="J436" t="s">
        <v>26</v>
      </c>
      <c r="K436" t="s">
        <v>84</v>
      </c>
      <c r="L436" s="9">
        <v>45507</v>
      </c>
    </row>
    <row r="437" spans="1:12">
      <c r="A437" t="s">
        <v>1586</v>
      </c>
      <c r="B437" t="s">
        <v>1587</v>
      </c>
      <c r="C437" t="s">
        <v>23</v>
      </c>
      <c r="D437" t="s">
        <v>1588</v>
      </c>
      <c r="E437" t="s">
        <v>94</v>
      </c>
      <c r="F437" t="s">
        <v>25</v>
      </c>
      <c r="G437" t="str">
        <f>_xlfn.XLOOKUP(E437,lookup_table!A:A,lookup_table!B:B, "N/A")</f>
        <v>Eastern Cape</v>
      </c>
      <c r="H437" t="str">
        <f t="shared" si="6"/>
        <v>Mismatch</v>
      </c>
      <c r="I437">
        <v>32</v>
      </c>
      <c r="J437" t="s">
        <v>66</v>
      </c>
      <c r="K437" t="s">
        <v>33</v>
      </c>
      <c r="L437" s="9">
        <v>46140</v>
      </c>
    </row>
    <row r="438" spans="1:12">
      <c r="A438" t="s">
        <v>1589</v>
      </c>
      <c r="B438" t="s">
        <v>1590</v>
      </c>
      <c r="C438" t="s">
        <v>1591</v>
      </c>
      <c r="D438" t="s">
        <v>23</v>
      </c>
      <c r="E438" t="s">
        <v>94</v>
      </c>
      <c r="F438" t="s">
        <v>50</v>
      </c>
      <c r="G438" t="str">
        <f>_xlfn.XLOOKUP(E438,lookup_table!A:A,lookup_table!B:B, "N/A")</f>
        <v>Eastern Cape</v>
      </c>
      <c r="H438" t="str">
        <f t="shared" si="6"/>
        <v>Mismatch</v>
      </c>
      <c r="I438">
        <v>31</v>
      </c>
      <c r="J438" t="s">
        <v>18</v>
      </c>
      <c r="K438" t="s">
        <v>19</v>
      </c>
      <c r="L438" s="9">
        <v>45377</v>
      </c>
    </row>
    <row r="439" spans="1:12">
      <c r="A439" t="s">
        <v>1592</v>
      </c>
      <c r="B439" t="s">
        <v>1593</v>
      </c>
      <c r="C439" t="s">
        <v>1594</v>
      </c>
      <c r="D439" t="s">
        <v>1595</v>
      </c>
      <c r="E439" t="s">
        <v>149</v>
      </c>
      <c r="F439" t="s">
        <v>79</v>
      </c>
      <c r="G439" t="str">
        <f>_xlfn.XLOOKUP(E439,lookup_table!A:A,lookup_table!B:B, "N/A")</f>
        <v>Free State</v>
      </c>
      <c r="H439" t="str">
        <f t="shared" si="6"/>
        <v>Mismatch</v>
      </c>
      <c r="I439">
        <v>17</v>
      </c>
      <c r="J439" t="s">
        <v>23</v>
      </c>
      <c r="K439" t="s">
        <v>60</v>
      </c>
      <c r="L439" s="9">
        <v>45756</v>
      </c>
    </row>
    <row r="440" spans="1:12">
      <c r="A440" t="s">
        <v>1596</v>
      </c>
      <c r="B440" t="s">
        <v>1597</v>
      </c>
      <c r="C440" t="s">
        <v>1598</v>
      </c>
      <c r="D440" t="s">
        <v>23</v>
      </c>
      <c r="E440" t="s">
        <v>70</v>
      </c>
      <c r="F440" t="s">
        <v>25</v>
      </c>
      <c r="G440" t="str">
        <f>_xlfn.XLOOKUP(E440,lookup_table!A:A,lookup_table!B:B, "N/A")</f>
        <v>Eastern Cape</v>
      </c>
      <c r="H440" t="str">
        <f t="shared" si="6"/>
        <v>Mismatch</v>
      </c>
      <c r="I440">
        <v>52</v>
      </c>
      <c r="J440" t="s">
        <v>23</v>
      </c>
      <c r="K440" t="s">
        <v>60</v>
      </c>
      <c r="L440" s="9">
        <v>45755</v>
      </c>
    </row>
    <row r="441" spans="1:12">
      <c r="A441" t="s">
        <v>1599</v>
      </c>
      <c r="B441" t="s">
        <v>1600</v>
      </c>
      <c r="C441" t="s">
        <v>1601</v>
      </c>
      <c r="D441" t="s">
        <v>23</v>
      </c>
      <c r="E441" t="s">
        <v>16</v>
      </c>
      <c r="F441" t="s">
        <v>180</v>
      </c>
      <c r="G441" t="str">
        <f>_xlfn.XLOOKUP(E441,lookup_table!A:A,lookup_table!B:B, "N/A")</f>
        <v>Gauteng</v>
      </c>
      <c r="H441" t="str">
        <f t="shared" si="6"/>
        <v>Mismatch</v>
      </c>
      <c r="I441">
        <v>38</v>
      </c>
      <c r="J441" t="s">
        <v>26</v>
      </c>
      <c r="K441" t="s">
        <v>43</v>
      </c>
      <c r="L441" s="9">
        <v>46177</v>
      </c>
    </row>
    <row r="442" spans="1:12">
      <c r="A442" t="s">
        <v>1602</v>
      </c>
      <c r="B442" t="s">
        <v>1603</v>
      </c>
      <c r="C442" t="s">
        <v>1604</v>
      </c>
      <c r="D442" t="s">
        <v>1605</v>
      </c>
      <c r="E442" t="s">
        <v>70</v>
      </c>
      <c r="F442" t="s">
        <v>65</v>
      </c>
      <c r="G442" t="str">
        <f>_xlfn.XLOOKUP(E442,lookup_table!A:A,lookup_table!B:B, "N/A")</f>
        <v>Eastern Cape</v>
      </c>
      <c r="H442" t="str">
        <f t="shared" si="6"/>
        <v>Mismatch</v>
      </c>
      <c r="I442">
        <v>28</v>
      </c>
      <c r="J442" t="s">
        <v>66</v>
      </c>
      <c r="K442" t="s">
        <v>27</v>
      </c>
      <c r="L442" s="9">
        <v>45721</v>
      </c>
    </row>
    <row r="443" spans="1:12">
      <c r="A443" t="s">
        <v>1606</v>
      </c>
      <c r="B443" t="s">
        <v>1607</v>
      </c>
      <c r="C443" t="s">
        <v>1608</v>
      </c>
      <c r="D443" t="s">
        <v>1609</v>
      </c>
      <c r="E443" t="s">
        <v>149</v>
      </c>
      <c r="G443" t="str">
        <f>_xlfn.XLOOKUP(E443,lookup_table!A:A,lookup_table!B:B, "N/A")</f>
        <v>Free State</v>
      </c>
      <c r="H443" t="str">
        <f t="shared" si="6"/>
        <v>Mismatch</v>
      </c>
      <c r="I443">
        <v>38</v>
      </c>
      <c r="J443" t="s">
        <v>120</v>
      </c>
      <c r="K443" t="s">
        <v>84</v>
      </c>
      <c r="L443" s="9">
        <v>45187</v>
      </c>
    </row>
    <row r="444" spans="1:12">
      <c r="A444" t="s">
        <v>1610</v>
      </c>
      <c r="B444" t="s">
        <v>1611</v>
      </c>
      <c r="C444" t="s">
        <v>1612</v>
      </c>
      <c r="D444" t="s">
        <v>1613</v>
      </c>
      <c r="E444" t="s">
        <v>16</v>
      </c>
      <c r="F444" t="s">
        <v>180</v>
      </c>
      <c r="G444" t="str">
        <f>_xlfn.XLOOKUP(E444,lookup_table!A:A,lookup_table!B:B, "N/A")</f>
        <v>Gauteng</v>
      </c>
      <c r="H444" t="str">
        <f t="shared" si="6"/>
        <v>Mismatch</v>
      </c>
      <c r="I444">
        <v>53</v>
      </c>
      <c r="J444" t="s">
        <v>26</v>
      </c>
      <c r="K444" t="s">
        <v>33</v>
      </c>
      <c r="L444" s="9">
        <v>45781</v>
      </c>
    </row>
    <row r="445" spans="1:12">
      <c r="A445" t="s">
        <v>1614</v>
      </c>
      <c r="B445" t="s">
        <v>1615</v>
      </c>
      <c r="C445" t="s">
        <v>23</v>
      </c>
      <c r="D445" t="s">
        <v>1616</v>
      </c>
      <c r="E445" t="s">
        <v>38</v>
      </c>
      <c r="F445" t="s">
        <v>25</v>
      </c>
      <c r="G445" t="str">
        <f>_xlfn.XLOOKUP(E445,lookup_table!A:A,lookup_table!B:B, "N/A")</f>
        <v>Western Cape</v>
      </c>
      <c r="H445" t="str">
        <f t="shared" si="6"/>
        <v>Mismatch</v>
      </c>
      <c r="I445">
        <v>51</v>
      </c>
      <c r="J445" t="s">
        <v>26</v>
      </c>
      <c r="K445" t="s">
        <v>19</v>
      </c>
      <c r="L445" s="9">
        <v>45225</v>
      </c>
    </row>
    <row r="446" spans="1:12">
      <c r="A446" t="s">
        <v>1617</v>
      </c>
      <c r="B446" t="s">
        <v>1618</v>
      </c>
      <c r="C446" t="s">
        <v>23</v>
      </c>
      <c r="D446" t="s">
        <v>1619</v>
      </c>
      <c r="E446" t="s">
        <v>32</v>
      </c>
      <c r="F446" t="s">
        <v>25</v>
      </c>
      <c r="G446" t="str">
        <f>_xlfn.XLOOKUP(E446,lookup_table!A:A,lookup_table!B:B, "N/A")</f>
        <v>KwaZulu-Natal</v>
      </c>
      <c r="H446" t="str">
        <f t="shared" si="6"/>
        <v>Mismatch</v>
      </c>
      <c r="I446">
        <v>45</v>
      </c>
      <c r="J446" t="s">
        <v>23</v>
      </c>
      <c r="K446" t="s">
        <v>33</v>
      </c>
      <c r="L446" s="9">
        <v>45246</v>
      </c>
    </row>
    <row r="447" spans="1:12">
      <c r="A447" t="s">
        <v>1620</v>
      </c>
      <c r="B447" t="s">
        <v>1621</v>
      </c>
      <c r="C447" t="s">
        <v>1622</v>
      </c>
      <c r="D447" t="s">
        <v>1623</v>
      </c>
      <c r="E447" t="s">
        <v>32</v>
      </c>
      <c r="F447" t="s">
        <v>17</v>
      </c>
      <c r="G447" t="str">
        <f>_xlfn.XLOOKUP(E447,lookup_table!A:A,lookup_table!B:B, "N/A")</f>
        <v>KwaZulu-Natal</v>
      </c>
      <c r="H447" t="str">
        <f t="shared" si="6"/>
        <v>Mismatch</v>
      </c>
      <c r="I447" t="s">
        <v>39</v>
      </c>
      <c r="J447" t="s">
        <v>26</v>
      </c>
      <c r="K447" t="s">
        <v>23</v>
      </c>
      <c r="L447" s="9">
        <v>45941</v>
      </c>
    </row>
    <row r="448" spans="1:12">
      <c r="A448" t="s">
        <v>1624</v>
      </c>
      <c r="B448" t="s">
        <v>1625</v>
      </c>
      <c r="C448" t="s">
        <v>23</v>
      </c>
      <c r="D448" t="s">
        <v>1626</v>
      </c>
      <c r="E448" t="s">
        <v>149</v>
      </c>
      <c r="F448" t="s">
        <v>89</v>
      </c>
      <c r="G448" t="str">
        <f>_xlfn.XLOOKUP(E448,lookup_table!A:A,lookup_table!B:B, "N/A")</f>
        <v>Free State</v>
      </c>
      <c r="H448" t="str">
        <f t="shared" si="6"/>
        <v>Mismatch</v>
      </c>
      <c r="I448">
        <v>36</v>
      </c>
      <c r="J448" t="s">
        <v>66</v>
      </c>
      <c r="K448" t="s">
        <v>60</v>
      </c>
      <c r="L448" s="9">
        <v>45318</v>
      </c>
    </row>
    <row r="449" spans="1:12">
      <c r="A449" t="s">
        <v>1627</v>
      </c>
      <c r="B449" t="s">
        <v>1628</v>
      </c>
      <c r="C449" t="s">
        <v>1629</v>
      </c>
      <c r="D449" t="s">
        <v>1630</v>
      </c>
      <c r="E449" t="s">
        <v>24</v>
      </c>
      <c r="F449" t="s">
        <v>154</v>
      </c>
      <c r="G449" t="str">
        <f>_xlfn.XLOOKUP(E449,lookup_table!A:A,lookup_table!B:B, "N/A")</f>
        <v>Limpopo</v>
      </c>
      <c r="H449" t="str">
        <f t="shared" si="6"/>
        <v>Match</v>
      </c>
      <c r="I449">
        <v>34</v>
      </c>
      <c r="J449" t="s">
        <v>26</v>
      </c>
      <c r="K449" t="s">
        <v>33</v>
      </c>
      <c r="L449" s="9">
        <v>45536</v>
      </c>
    </row>
    <row r="450" spans="1:12">
      <c r="A450" t="s">
        <v>1631</v>
      </c>
      <c r="B450" t="s">
        <v>1632</v>
      </c>
      <c r="C450" t="s">
        <v>1633</v>
      </c>
      <c r="D450" t="s">
        <v>1634</v>
      </c>
      <c r="E450" t="s">
        <v>32</v>
      </c>
      <c r="F450" t="s">
        <v>25</v>
      </c>
      <c r="G450" t="str">
        <f>_xlfn.XLOOKUP(E450,lookup_table!A:A,lookup_table!B:B, "N/A")</f>
        <v>KwaZulu-Natal</v>
      </c>
      <c r="H450" t="str">
        <f t="shared" si="6"/>
        <v>Mismatch</v>
      </c>
      <c r="I450">
        <v>22</v>
      </c>
      <c r="J450" t="s">
        <v>26</v>
      </c>
      <c r="K450" t="s">
        <v>84</v>
      </c>
      <c r="L450" s="9">
        <v>45640</v>
      </c>
    </row>
    <row r="451" spans="1:12">
      <c r="A451" t="s">
        <v>1635</v>
      </c>
      <c r="B451" t="s">
        <v>1636</v>
      </c>
      <c r="C451" t="s">
        <v>23</v>
      </c>
      <c r="D451" t="s">
        <v>1637</v>
      </c>
      <c r="E451" t="s">
        <v>32</v>
      </c>
      <c r="F451" t="s">
        <v>50</v>
      </c>
      <c r="G451" t="str">
        <f>_xlfn.XLOOKUP(E451,lookup_table!A:A,lookup_table!B:B, "N/A")</f>
        <v>KwaZulu-Natal</v>
      </c>
      <c r="H451" t="str">
        <f t="shared" ref="H451:H514" si="7">IF(F451=G451, "Match", "Mismatch")</f>
        <v>Match</v>
      </c>
      <c r="I451">
        <v>28</v>
      </c>
      <c r="J451" t="s">
        <v>26</v>
      </c>
      <c r="K451" t="s">
        <v>106</v>
      </c>
      <c r="L451" s="9">
        <v>46094</v>
      </c>
    </row>
    <row r="452" spans="1:12">
      <c r="A452" t="s">
        <v>1638</v>
      </c>
      <c r="B452" t="s">
        <v>1639</v>
      </c>
      <c r="C452" t="s">
        <v>1640</v>
      </c>
      <c r="D452" t="s">
        <v>1641</v>
      </c>
      <c r="E452" t="s">
        <v>149</v>
      </c>
      <c r="F452" t="s">
        <v>154</v>
      </c>
      <c r="G452" t="str">
        <f>_xlfn.XLOOKUP(E452,lookup_table!A:A,lookup_table!B:B, "N/A")</f>
        <v>Free State</v>
      </c>
      <c r="H452" t="str">
        <f t="shared" si="7"/>
        <v>Mismatch</v>
      </c>
      <c r="I452">
        <v>54</v>
      </c>
      <c r="J452" t="s">
        <v>26</v>
      </c>
      <c r="K452" t="s">
        <v>43</v>
      </c>
      <c r="L452" s="9">
        <v>45829</v>
      </c>
    </row>
    <row r="453" spans="1:12">
      <c r="A453" t="s">
        <v>1642</v>
      </c>
      <c r="B453" t="s">
        <v>1643</v>
      </c>
      <c r="C453" t="s">
        <v>1644</v>
      </c>
      <c r="D453" t="s">
        <v>1645</v>
      </c>
      <c r="E453" t="s">
        <v>16</v>
      </c>
      <c r="F453" t="s">
        <v>50</v>
      </c>
      <c r="G453" t="str">
        <f>_xlfn.XLOOKUP(E453,lookup_table!A:A,lookup_table!B:B, "N/A")</f>
        <v>Gauteng</v>
      </c>
      <c r="H453" t="str">
        <f t="shared" si="7"/>
        <v>Mismatch</v>
      </c>
      <c r="I453">
        <v>24</v>
      </c>
      <c r="J453" t="s">
        <v>120</v>
      </c>
      <c r="K453" t="s">
        <v>60</v>
      </c>
      <c r="L453" s="9">
        <v>46193</v>
      </c>
    </row>
    <row r="454" spans="1:12">
      <c r="A454" t="s">
        <v>1646</v>
      </c>
      <c r="B454" t="s">
        <v>1647</v>
      </c>
      <c r="C454" t="s">
        <v>1648</v>
      </c>
      <c r="D454" t="s">
        <v>1649</v>
      </c>
      <c r="E454" t="s">
        <v>16</v>
      </c>
      <c r="F454" t="s">
        <v>89</v>
      </c>
      <c r="G454" t="str">
        <f>_xlfn.XLOOKUP(E454,lookup_table!A:A,lookup_table!B:B, "N/A")</f>
        <v>Gauteng</v>
      </c>
      <c r="H454" t="str">
        <f t="shared" si="7"/>
        <v>Mismatch</v>
      </c>
      <c r="I454">
        <v>23</v>
      </c>
      <c r="J454" t="s">
        <v>18</v>
      </c>
      <c r="K454" t="s">
        <v>33</v>
      </c>
      <c r="L454" s="9">
        <v>45713</v>
      </c>
    </row>
    <row r="455" spans="1:12">
      <c r="A455" t="s">
        <v>1650</v>
      </c>
      <c r="B455" t="s">
        <v>1651</v>
      </c>
      <c r="C455" t="s">
        <v>1652</v>
      </c>
      <c r="D455" t="s">
        <v>1653</v>
      </c>
      <c r="E455" t="s">
        <v>38</v>
      </c>
      <c r="G455" t="str">
        <f>_xlfn.XLOOKUP(E455,lookup_table!A:A,lookup_table!B:B, "N/A")</f>
        <v>Western Cape</v>
      </c>
      <c r="H455" t="str">
        <f t="shared" si="7"/>
        <v>Mismatch</v>
      </c>
      <c r="I455">
        <v>38</v>
      </c>
      <c r="J455" t="s">
        <v>18</v>
      </c>
      <c r="K455" t="s">
        <v>19</v>
      </c>
      <c r="L455" s="9">
        <v>46153</v>
      </c>
    </row>
    <row r="456" spans="1:12">
      <c r="A456" t="s">
        <v>1654</v>
      </c>
      <c r="B456" t="s">
        <v>1655</v>
      </c>
      <c r="C456" t="s">
        <v>1656</v>
      </c>
      <c r="D456" t="s">
        <v>1657</v>
      </c>
      <c r="E456" t="s">
        <v>94</v>
      </c>
      <c r="F456" t="s">
        <v>54</v>
      </c>
      <c r="G456" t="str">
        <f>_xlfn.XLOOKUP(E456,lookup_table!A:A,lookup_table!B:B, "N/A")</f>
        <v>Eastern Cape</v>
      </c>
      <c r="H456" t="str">
        <f t="shared" si="7"/>
        <v>Mismatch</v>
      </c>
      <c r="I456" t="s">
        <v>39</v>
      </c>
      <c r="J456" t="s">
        <v>26</v>
      </c>
      <c r="K456" t="s">
        <v>106</v>
      </c>
      <c r="L456" s="9">
        <v>45896</v>
      </c>
    </row>
    <row r="457" spans="1:12">
      <c r="A457" t="s">
        <v>1658</v>
      </c>
      <c r="B457" t="s">
        <v>1659</v>
      </c>
      <c r="C457" t="s">
        <v>1660</v>
      </c>
      <c r="D457" t="s">
        <v>1661</v>
      </c>
      <c r="E457" t="s">
        <v>24</v>
      </c>
      <c r="F457" t="s">
        <v>17</v>
      </c>
      <c r="G457" t="str">
        <f>_xlfn.XLOOKUP(E457,lookup_table!A:A,lookup_table!B:B, "N/A")</f>
        <v>Limpopo</v>
      </c>
      <c r="H457" t="str">
        <f t="shared" si="7"/>
        <v>Mismatch</v>
      </c>
      <c r="I457">
        <v>36</v>
      </c>
      <c r="J457" t="s">
        <v>26</v>
      </c>
      <c r="K457" t="s">
        <v>19</v>
      </c>
      <c r="L457" s="9">
        <v>46012</v>
      </c>
    </row>
    <row r="458" spans="1:12">
      <c r="A458" t="s">
        <v>1662</v>
      </c>
      <c r="B458" t="s">
        <v>1663</v>
      </c>
      <c r="C458" t="s">
        <v>1664</v>
      </c>
      <c r="D458" t="s">
        <v>1665</v>
      </c>
      <c r="E458" t="s">
        <v>149</v>
      </c>
      <c r="F458" t="s">
        <v>180</v>
      </c>
      <c r="G458" t="str">
        <f>_xlfn.XLOOKUP(E458,lookup_table!A:A,lookup_table!B:B, "N/A")</f>
        <v>Free State</v>
      </c>
      <c r="H458" t="str">
        <f t="shared" si="7"/>
        <v>Mismatch</v>
      </c>
      <c r="I458">
        <v>54</v>
      </c>
      <c r="J458" t="s">
        <v>120</v>
      </c>
      <c r="K458" t="s">
        <v>43</v>
      </c>
      <c r="L458" s="9">
        <v>45960</v>
      </c>
    </row>
    <row r="459" spans="1:12">
      <c r="A459" t="s">
        <v>1666</v>
      </c>
      <c r="B459" t="s">
        <v>1667</v>
      </c>
      <c r="C459" t="s">
        <v>1668</v>
      </c>
      <c r="D459" t="s">
        <v>1669</v>
      </c>
      <c r="E459" t="s">
        <v>38</v>
      </c>
      <c r="F459" t="s">
        <v>89</v>
      </c>
      <c r="G459" t="str">
        <f>_xlfn.XLOOKUP(E459,lookup_table!A:A,lookup_table!B:B, "N/A")</f>
        <v>Western Cape</v>
      </c>
      <c r="H459" t="str">
        <f t="shared" si="7"/>
        <v>Match</v>
      </c>
      <c r="I459">
        <v>22</v>
      </c>
      <c r="J459" t="s">
        <v>26</v>
      </c>
      <c r="K459" t="s">
        <v>106</v>
      </c>
      <c r="L459" s="9">
        <v>45468</v>
      </c>
    </row>
    <row r="460" spans="1:12">
      <c r="A460" t="s">
        <v>1670</v>
      </c>
      <c r="B460" t="s">
        <v>1671</v>
      </c>
      <c r="C460" t="s">
        <v>1672</v>
      </c>
      <c r="D460" t="s">
        <v>1673</v>
      </c>
      <c r="E460" t="s">
        <v>111</v>
      </c>
      <c r="F460" t="s">
        <v>180</v>
      </c>
      <c r="G460" t="str">
        <f>_xlfn.XLOOKUP(E460,lookup_table!A:A,lookup_table!B:B, "N/A")</f>
        <v>Gauteng</v>
      </c>
      <c r="H460" t="str">
        <f t="shared" si="7"/>
        <v>Mismatch</v>
      </c>
      <c r="I460" t="s">
        <v>39</v>
      </c>
      <c r="J460" t="s">
        <v>120</v>
      </c>
      <c r="K460" t="s">
        <v>60</v>
      </c>
      <c r="L460" s="9">
        <v>46055</v>
      </c>
    </row>
    <row r="461" spans="1:12">
      <c r="A461" t="s">
        <v>1674</v>
      </c>
      <c r="B461" t="s">
        <v>1675</v>
      </c>
      <c r="C461" t="s">
        <v>23</v>
      </c>
      <c r="D461" t="s">
        <v>23</v>
      </c>
      <c r="E461" t="s">
        <v>24</v>
      </c>
      <c r="F461" t="s">
        <v>54</v>
      </c>
      <c r="G461" t="str">
        <f>_xlfn.XLOOKUP(E461,lookup_table!A:A,lookup_table!B:B, "N/A")</f>
        <v>Limpopo</v>
      </c>
      <c r="H461" t="str">
        <f t="shared" si="7"/>
        <v>Mismatch</v>
      </c>
      <c r="I461">
        <v>32</v>
      </c>
      <c r="J461" t="s">
        <v>66</v>
      </c>
      <c r="K461" t="s">
        <v>60</v>
      </c>
      <c r="L461" s="9">
        <v>45862</v>
      </c>
    </row>
    <row r="462" spans="1:12">
      <c r="A462" t="s">
        <v>1676</v>
      </c>
      <c r="B462" t="s">
        <v>1677</v>
      </c>
      <c r="C462" t="s">
        <v>1678</v>
      </c>
      <c r="D462" t="s">
        <v>1679</v>
      </c>
      <c r="E462" t="s">
        <v>32</v>
      </c>
      <c r="G462" t="str">
        <f>_xlfn.XLOOKUP(E462,lookup_table!A:A,lookup_table!B:B, "N/A")</f>
        <v>KwaZulu-Natal</v>
      </c>
      <c r="H462" t="str">
        <f t="shared" si="7"/>
        <v>Mismatch</v>
      </c>
      <c r="I462">
        <v>40</v>
      </c>
      <c r="J462" t="s">
        <v>26</v>
      </c>
      <c r="K462" t="s">
        <v>23</v>
      </c>
      <c r="L462" s="9">
        <v>45658</v>
      </c>
    </row>
    <row r="463" spans="1:12">
      <c r="A463" t="s">
        <v>1680</v>
      </c>
      <c r="B463" t="s">
        <v>1681</v>
      </c>
      <c r="C463" t="s">
        <v>23</v>
      </c>
      <c r="D463" t="s">
        <v>1682</v>
      </c>
      <c r="E463" t="s">
        <v>111</v>
      </c>
      <c r="F463" t="s">
        <v>79</v>
      </c>
      <c r="G463" t="str">
        <f>_xlfn.XLOOKUP(E463,lookup_table!A:A,lookup_table!B:B, "N/A")</f>
        <v>Gauteng</v>
      </c>
      <c r="H463" t="str">
        <f t="shared" si="7"/>
        <v>Mismatch</v>
      </c>
      <c r="I463">
        <v>48</v>
      </c>
      <c r="J463" t="s">
        <v>120</v>
      </c>
      <c r="K463" t="s">
        <v>33</v>
      </c>
      <c r="L463" s="9">
        <v>45900</v>
      </c>
    </row>
    <row r="464" spans="1:12">
      <c r="A464" t="s">
        <v>1683</v>
      </c>
      <c r="B464" t="s">
        <v>1684</v>
      </c>
      <c r="C464" t="s">
        <v>23</v>
      </c>
      <c r="D464" t="s">
        <v>1685</v>
      </c>
      <c r="E464" t="s">
        <v>149</v>
      </c>
      <c r="F464" t="s">
        <v>79</v>
      </c>
      <c r="G464" t="str">
        <f>_xlfn.XLOOKUP(E464,lookup_table!A:A,lookup_table!B:B, "N/A")</f>
        <v>Free State</v>
      </c>
      <c r="H464" t="str">
        <f t="shared" si="7"/>
        <v>Mismatch</v>
      </c>
      <c r="I464">
        <v>18</v>
      </c>
      <c r="J464" t="s">
        <v>120</v>
      </c>
      <c r="K464" t="s">
        <v>84</v>
      </c>
      <c r="L464" s="9">
        <v>45980</v>
      </c>
    </row>
    <row r="465" spans="1:12">
      <c r="A465" t="s">
        <v>1686</v>
      </c>
      <c r="B465" t="s">
        <v>1687</v>
      </c>
      <c r="C465" t="s">
        <v>1688</v>
      </c>
      <c r="D465" t="s">
        <v>23</v>
      </c>
      <c r="E465" t="s">
        <v>38</v>
      </c>
      <c r="F465" t="s">
        <v>54</v>
      </c>
      <c r="G465" t="str">
        <f>_xlfn.XLOOKUP(E465,lookup_table!A:A,lookup_table!B:B, "N/A")</f>
        <v>Western Cape</v>
      </c>
      <c r="H465" t="str">
        <f t="shared" si="7"/>
        <v>Mismatch</v>
      </c>
      <c r="I465">
        <v>46</v>
      </c>
      <c r="J465" t="s">
        <v>120</v>
      </c>
      <c r="K465" t="s">
        <v>33</v>
      </c>
      <c r="L465" s="9">
        <v>45999</v>
      </c>
    </row>
    <row r="466" spans="1:12">
      <c r="A466" t="s">
        <v>1689</v>
      </c>
      <c r="B466" t="s">
        <v>1690</v>
      </c>
      <c r="C466" t="s">
        <v>1691</v>
      </c>
      <c r="D466" t="s">
        <v>1692</v>
      </c>
      <c r="E466" t="s">
        <v>149</v>
      </c>
      <c r="G466" t="str">
        <f>_xlfn.XLOOKUP(E466,lookup_table!A:A,lookup_table!B:B, "N/A")</f>
        <v>Free State</v>
      </c>
      <c r="H466" t="str">
        <f t="shared" si="7"/>
        <v>Mismatch</v>
      </c>
      <c r="I466">
        <v>24</v>
      </c>
      <c r="J466" t="s">
        <v>120</v>
      </c>
      <c r="K466" t="s">
        <v>33</v>
      </c>
      <c r="L466" s="9">
        <v>45183</v>
      </c>
    </row>
    <row r="467" spans="1:12">
      <c r="A467" t="s">
        <v>1693</v>
      </c>
      <c r="B467" t="s">
        <v>1694</v>
      </c>
      <c r="C467" t="s">
        <v>23</v>
      </c>
      <c r="D467" t="s">
        <v>1695</v>
      </c>
      <c r="E467" t="s">
        <v>149</v>
      </c>
      <c r="F467" t="s">
        <v>89</v>
      </c>
      <c r="G467" t="str">
        <f>_xlfn.XLOOKUP(E467,lookup_table!A:A,lookup_table!B:B, "N/A")</f>
        <v>Free State</v>
      </c>
      <c r="H467" t="str">
        <f t="shared" si="7"/>
        <v>Mismatch</v>
      </c>
      <c r="I467">
        <v>31</v>
      </c>
      <c r="J467" t="s">
        <v>26</v>
      </c>
      <c r="K467" t="s">
        <v>33</v>
      </c>
      <c r="L467" s="9">
        <v>45652</v>
      </c>
    </row>
    <row r="468" spans="1:12">
      <c r="A468" t="s">
        <v>1696</v>
      </c>
      <c r="B468" t="s">
        <v>1697</v>
      </c>
      <c r="C468" t="s">
        <v>1698</v>
      </c>
      <c r="D468" t="s">
        <v>1699</v>
      </c>
      <c r="E468" t="s">
        <v>38</v>
      </c>
      <c r="F468" t="s">
        <v>89</v>
      </c>
      <c r="G468" t="str">
        <f>_xlfn.XLOOKUP(E468,lookup_table!A:A,lookup_table!B:B, "N/A")</f>
        <v>Western Cape</v>
      </c>
      <c r="H468" t="str">
        <f t="shared" si="7"/>
        <v>Match</v>
      </c>
      <c r="I468" t="s">
        <v>39</v>
      </c>
      <c r="J468" t="s">
        <v>18</v>
      </c>
      <c r="K468" t="s">
        <v>60</v>
      </c>
      <c r="L468" s="9">
        <v>45757</v>
      </c>
    </row>
    <row r="469" spans="1:12">
      <c r="A469" t="s">
        <v>1700</v>
      </c>
      <c r="B469" t="s">
        <v>1701</v>
      </c>
      <c r="C469" t="s">
        <v>23</v>
      </c>
      <c r="D469" t="s">
        <v>23</v>
      </c>
      <c r="E469" t="s">
        <v>24</v>
      </c>
      <c r="F469" t="s">
        <v>65</v>
      </c>
      <c r="G469" t="str">
        <f>_xlfn.XLOOKUP(E469,lookup_table!A:A,lookup_table!B:B, "N/A")</f>
        <v>Limpopo</v>
      </c>
      <c r="H469" t="str">
        <f t="shared" si="7"/>
        <v>Mismatch</v>
      </c>
      <c r="I469" t="s">
        <v>39</v>
      </c>
      <c r="J469" t="s">
        <v>120</v>
      </c>
      <c r="K469" t="s">
        <v>43</v>
      </c>
      <c r="L469" s="9">
        <v>45420</v>
      </c>
    </row>
    <row r="470" spans="1:12">
      <c r="A470" t="s">
        <v>1702</v>
      </c>
      <c r="B470" t="s">
        <v>1703</v>
      </c>
      <c r="C470" t="s">
        <v>23</v>
      </c>
      <c r="D470" t="s">
        <v>1704</v>
      </c>
      <c r="E470" t="s">
        <v>32</v>
      </c>
      <c r="F470" t="s">
        <v>17</v>
      </c>
      <c r="G470" t="str">
        <f>_xlfn.XLOOKUP(E470,lookup_table!A:A,lookup_table!B:B, "N/A")</f>
        <v>KwaZulu-Natal</v>
      </c>
      <c r="H470" t="str">
        <f t="shared" si="7"/>
        <v>Mismatch</v>
      </c>
      <c r="I470">
        <v>52</v>
      </c>
      <c r="J470" t="s">
        <v>26</v>
      </c>
      <c r="K470" t="s">
        <v>33</v>
      </c>
      <c r="L470" s="9">
        <v>45480</v>
      </c>
    </row>
    <row r="471" spans="1:12">
      <c r="A471" t="s">
        <v>1705</v>
      </c>
      <c r="B471" t="s">
        <v>1706</v>
      </c>
      <c r="C471" t="s">
        <v>1707</v>
      </c>
      <c r="D471" t="s">
        <v>23</v>
      </c>
      <c r="E471" t="s">
        <v>149</v>
      </c>
      <c r="F471" t="s">
        <v>54</v>
      </c>
      <c r="G471" t="str">
        <f>_xlfn.XLOOKUP(E471,lookup_table!A:A,lookup_table!B:B, "N/A")</f>
        <v>Free State</v>
      </c>
      <c r="H471" t="str">
        <f t="shared" si="7"/>
        <v>Mismatch</v>
      </c>
      <c r="I471" t="s">
        <v>39</v>
      </c>
      <c r="J471" t="s">
        <v>26</v>
      </c>
      <c r="K471" t="s">
        <v>43</v>
      </c>
      <c r="L471" s="9">
        <v>45795</v>
      </c>
    </row>
    <row r="472" spans="1:12">
      <c r="A472" t="s">
        <v>1708</v>
      </c>
      <c r="B472" t="s">
        <v>1709</v>
      </c>
      <c r="C472" t="s">
        <v>23</v>
      </c>
      <c r="D472" t="s">
        <v>1710</v>
      </c>
      <c r="E472" t="s">
        <v>94</v>
      </c>
      <c r="F472" t="s">
        <v>79</v>
      </c>
      <c r="G472" t="str">
        <f>_xlfn.XLOOKUP(E472,lookup_table!A:A,lookup_table!B:B, "N/A")</f>
        <v>Eastern Cape</v>
      </c>
      <c r="H472" t="str">
        <f t="shared" si="7"/>
        <v>Mismatch</v>
      </c>
      <c r="I472">
        <v>52</v>
      </c>
      <c r="J472" t="s">
        <v>23</v>
      </c>
      <c r="K472" t="s">
        <v>55</v>
      </c>
      <c r="L472" s="9">
        <v>46178</v>
      </c>
    </row>
    <row r="473" spans="1:12">
      <c r="A473" t="s">
        <v>1711</v>
      </c>
      <c r="B473" t="s">
        <v>1712</v>
      </c>
      <c r="C473" t="s">
        <v>23</v>
      </c>
      <c r="D473" t="s">
        <v>23</v>
      </c>
      <c r="E473" t="s">
        <v>16</v>
      </c>
      <c r="F473" t="s">
        <v>54</v>
      </c>
      <c r="G473" t="str">
        <f>_xlfn.XLOOKUP(E473,lookup_table!A:A,lookup_table!B:B, "N/A")</f>
        <v>Gauteng</v>
      </c>
      <c r="H473" t="str">
        <f t="shared" si="7"/>
        <v>Mismatch</v>
      </c>
      <c r="I473" t="s">
        <v>39</v>
      </c>
      <c r="J473" t="s">
        <v>26</v>
      </c>
      <c r="K473" t="s">
        <v>23</v>
      </c>
      <c r="L473" s="9">
        <v>45730</v>
      </c>
    </row>
    <row r="474" spans="1:12">
      <c r="A474" t="s">
        <v>1713</v>
      </c>
      <c r="B474" t="s">
        <v>1714</v>
      </c>
      <c r="C474" t="s">
        <v>1715</v>
      </c>
      <c r="D474" t="s">
        <v>1716</v>
      </c>
      <c r="E474" t="s">
        <v>32</v>
      </c>
      <c r="F474" t="s">
        <v>50</v>
      </c>
      <c r="G474" t="str">
        <f>_xlfn.XLOOKUP(E474,lookup_table!A:A,lookup_table!B:B, "N/A")</f>
        <v>KwaZulu-Natal</v>
      </c>
      <c r="H474" t="str">
        <f t="shared" si="7"/>
        <v>Match</v>
      </c>
      <c r="I474">
        <v>31</v>
      </c>
      <c r="J474" t="s">
        <v>26</v>
      </c>
      <c r="K474" t="s">
        <v>84</v>
      </c>
      <c r="L474" s="9">
        <v>46007</v>
      </c>
    </row>
    <row r="475" spans="1:12">
      <c r="A475" t="s">
        <v>1717</v>
      </c>
      <c r="B475" t="s">
        <v>1718</v>
      </c>
      <c r="C475" t="s">
        <v>23</v>
      </c>
      <c r="D475" t="s">
        <v>23</v>
      </c>
      <c r="E475" t="s">
        <v>24</v>
      </c>
      <c r="F475" t="s">
        <v>89</v>
      </c>
      <c r="G475" t="str">
        <f>_xlfn.XLOOKUP(E475,lookup_table!A:A,lookup_table!B:B, "N/A")</f>
        <v>Limpopo</v>
      </c>
      <c r="H475" t="str">
        <f t="shared" si="7"/>
        <v>Mismatch</v>
      </c>
      <c r="I475" t="s">
        <v>39</v>
      </c>
      <c r="J475" t="s">
        <v>18</v>
      </c>
      <c r="K475" t="s">
        <v>84</v>
      </c>
      <c r="L475" s="9">
        <v>45124</v>
      </c>
    </row>
    <row r="476" spans="1:12">
      <c r="A476" t="s">
        <v>1719</v>
      </c>
      <c r="B476" t="s">
        <v>1720</v>
      </c>
      <c r="C476" t="s">
        <v>1721</v>
      </c>
      <c r="D476" t="s">
        <v>1722</v>
      </c>
      <c r="E476" t="s">
        <v>32</v>
      </c>
      <c r="F476" t="s">
        <v>154</v>
      </c>
      <c r="G476" t="str">
        <f>_xlfn.XLOOKUP(E476,lookup_table!A:A,lookup_table!B:B, "N/A")</f>
        <v>KwaZulu-Natal</v>
      </c>
      <c r="H476" t="str">
        <f t="shared" si="7"/>
        <v>Mismatch</v>
      </c>
      <c r="I476">
        <v>21</v>
      </c>
      <c r="J476" t="s">
        <v>66</v>
      </c>
      <c r="K476" t="s">
        <v>43</v>
      </c>
      <c r="L476" s="9">
        <v>45434</v>
      </c>
    </row>
    <row r="477" spans="1:12">
      <c r="A477" t="s">
        <v>1723</v>
      </c>
      <c r="B477" t="s">
        <v>1724</v>
      </c>
      <c r="C477" t="s">
        <v>1725</v>
      </c>
      <c r="D477" t="s">
        <v>23</v>
      </c>
      <c r="E477" t="s">
        <v>16</v>
      </c>
      <c r="F477" t="s">
        <v>65</v>
      </c>
      <c r="G477" t="str">
        <f>_xlfn.XLOOKUP(E477,lookup_table!A:A,lookup_table!B:B, "N/A")</f>
        <v>Gauteng</v>
      </c>
      <c r="H477" t="str">
        <f t="shared" si="7"/>
        <v>Match</v>
      </c>
      <c r="I477" t="s">
        <v>39</v>
      </c>
      <c r="J477" t="s">
        <v>120</v>
      </c>
      <c r="K477" t="s">
        <v>43</v>
      </c>
      <c r="L477" s="9">
        <v>46076</v>
      </c>
    </row>
    <row r="478" spans="1:12">
      <c r="A478" t="s">
        <v>1726</v>
      </c>
      <c r="B478" t="s">
        <v>1727</v>
      </c>
      <c r="C478" t="s">
        <v>23</v>
      </c>
      <c r="D478" t="s">
        <v>1728</v>
      </c>
      <c r="E478" t="s">
        <v>32</v>
      </c>
      <c r="F478" t="s">
        <v>17</v>
      </c>
      <c r="G478" t="str">
        <f>_xlfn.XLOOKUP(E478,lookup_table!A:A,lookup_table!B:B, "N/A")</f>
        <v>KwaZulu-Natal</v>
      </c>
      <c r="H478" t="str">
        <f t="shared" si="7"/>
        <v>Mismatch</v>
      </c>
      <c r="I478">
        <v>44</v>
      </c>
      <c r="J478" t="s">
        <v>26</v>
      </c>
      <c r="K478" t="s">
        <v>60</v>
      </c>
      <c r="L478" s="9">
        <v>45393</v>
      </c>
    </row>
    <row r="479" spans="1:12">
      <c r="A479" t="s">
        <v>1729</v>
      </c>
      <c r="B479" t="s">
        <v>1730</v>
      </c>
      <c r="C479" t="s">
        <v>23</v>
      </c>
      <c r="D479" t="s">
        <v>1731</v>
      </c>
      <c r="E479" t="s">
        <v>38</v>
      </c>
      <c r="F479" t="s">
        <v>25</v>
      </c>
      <c r="G479" t="str">
        <f>_xlfn.XLOOKUP(E479,lookup_table!A:A,lookup_table!B:B, "N/A")</f>
        <v>Western Cape</v>
      </c>
      <c r="H479" t="str">
        <f t="shared" si="7"/>
        <v>Mismatch</v>
      </c>
      <c r="I479">
        <v>39</v>
      </c>
      <c r="J479" t="s">
        <v>18</v>
      </c>
      <c r="K479" t="s">
        <v>23</v>
      </c>
      <c r="L479" s="9">
        <v>45367</v>
      </c>
    </row>
    <row r="480" spans="1:12">
      <c r="A480" t="s">
        <v>1732</v>
      </c>
      <c r="B480" t="s">
        <v>1733</v>
      </c>
      <c r="C480" t="s">
        <v>1734</v>
      </c>
      <c r="D480" t="s">
        <v>1735</v>
      </c>
      <c r="E480" t="s">
        <v>94</v>
      </c>
      <c r="F480" t="s">
        <v>25</v>
      </c>
      <c r="G480" t="str">
        <f>_xlfn.XLOOKUP(E480,lookup_table!A:A,lookup_table!B:B, "N/A")</f>
        <v>Eastern Cape</v>
      </c>
      <c r="H480" t="str">
        <f t="shared" si="7"/>
        <v>Mismatch</v>
      </c>
      <c r="I480">
        <v>44</v>
      </c>
      <c r="J480" t="s">
        <v>26</v>
      </c>
      <c r="K480" t="s">
        <v>55</v>
      </c>
      <c r="L480" s="9">
        <v>46142</v>
      </c>
    </row>
    <row r="481" spans="1:12">
      <c r="A481" t="s">
        <v>1736</v>
      </c>
      <c r="B481" t="s">
        <v>1737</v>
      </c>
      <c r="C481" t="s">
        <v>1738</v>
      </c>
      <c r="D481" t="s">
        <v>1739</v>
      </c>
      <c r="E481" t="s">
        <v>94</v>
      </c>
      <c r="F481" t="s">
        <v>50</v>
      </c>
      <c r="G481" t="str">
        <f>_xlfn.XLOOKUP(E481,lookup_table!A:A,lookup_table!B:B, "N/A")</f>
        <v>Eastern Cape</v>
      </c>
      <c r="H481" t="str">
        <f t="shared" si="7"/>
        <v>Mismatch</v>
      </c>
      <c r="I481">
        <v>36</v>
      </c>
      <c r="J481" t="s">
        <v>23</v>
      </c>
      <c r="K481" t="s">
        <v>27</v>
      </c>
      <c r="L481" s="9">
        <v>46193</v>
      </c>
    </row>
    <row r="482" spans="1:12">
      <c r="A482" t="s">
        <v>1740</v>
      </c>
      <c r="B482" t="s">
        <v>1741</v>
      </c>
      <c r="C482" t="s">
        <v>1742</v>
      </c>
      <c r="D482" t="s">
        <v>1743</v>
      </c>
      <c r="E482" t="s">
        <v>32</v>
      </c>
      <c r="F482" t="s">
        <v>50</v>
      </c>
      <c r="G482" t="str">
        <f>_xlfn.XLOOKUP(E482,lookup_table!A:A,lookup_table!B:B, "N/A")</f>
        <v>KwaZulu-Natal</v>
      </c>
      <c r="H482" t="str">
        <f t="shared" si="7"/>
        <v>Match</v>
      </c>
      <c r="I482" t="s">
        <v>39</v>
      </c>
      <c r="J482" t="s">
        <v>18</v>
      </c>
      <c r="K482" t="s">
        <v>23</v>
      </c>
      <c r="L482" s="9">
        <v>45892</v>
      </c>
    </row>
    <row r="483" spans="1:12">
      <c r="A483" t="s">
        <v>1744</v>
      </c>
      <c r="B483" t="s">
        <v>1745</v>
      </c>
      <c r="C483" t="s">
        <v>1746</v>
      </c>
      <c r="D483" t="s">
        <v>1747</v>
      </c>
      <c r="E483" t="s">
        <v>16</v>
      </c>
      <c r="F483" t="s">
        <v>89</v>
      </c>
      <c r="G483" t="str">
        <f>_xlfn.XLOOKUP(E483,lookup_table!A:A,lookup_table!B:B, "N/A")</f>
        <v>Gauteng</v>
      </c>
      <c r="H483" t="str">
        <f t="shared" si="7"/>
        <v>Mismatch</v>
      </c>
      <c r="I483">
        <v>28</v>
      </c>
      <c r="J483" t="s">
        <v>66</v>
      </c>
      <c r="K483" t="s">
        <v>33</v>
      </c>
      <c r="L483" s="9">
        <v>45601</v>
      </c>
    </row>
    <row r="484" spans="1:12">
      <c r="A484" t="s">
        <v>1748</v>
      </c>
      <c r="B484" t="s">
        <v>1749</v>
      </c>
      <c r="C484" t="s">
        <v>23</v>
      </c>
      <c r="D484" t="s">
        <v>1750</v>
      </c>
      <c r="E484" t="s">
        <v>53</v>
      </c>
      <c r="F484" t="s">
        <v>50</v>
      </c>
      <c r="G484" t="str">
        <f>_xlfn.XLOOKUP(E484,lookup_table!A:A,lookup_table!B:B, "N/A")</f>
        <v>Mpumalanga</v>
      </c>
      <c r="H484" t="str">
        <f t="shared" si="7"/>
        <v>Mismatch</v>
      </c>
      <c r="I484">
        <v>53</v>
      </c>
      <c r="J484" t="s">
        <v>120</v>
      </c>
      <c r="K484" t="s">
        <v>27</v>
      </c>
      <c r="L484" s="9">
        <v>45186</v>
      </c>
    </row>
    <row r="485" spans="1:12">
      <c r="A485" t="s">
        <v>1751</v>
      </c>
      <c r="B485" t="s">
        <v>1752</v>
      </c>
      <c r="C485" t="s">
        <v>1753</v>
      </c>
      <c r="D485" t="s">
        <v>1754</v>
      </c>
      <c r="E485" t="s">
        <v>70</v>
      </c>
      <c r="F485" t="s">
        <v>17</v>
      </c>
      <c r="G485" t="str">
        <f>_xlfn.XLOOKUP(E485,lookup_table!A:A,lookup_table!B:B, "N/A")</f>
        <v>Eastern Cape</v>
      </c>
      <c r="H485" t="str">
        <f t="shared" si="7"/>
        <v>Match</v>
      </c>
      <c r="I485">
        <v>45</v>
      </c>
      <c r="J485" t="s">
        <v>26</v>
      </c>
      <c r="K485" t="s">
        <v>106</v>
      </c>
      <c r="L485" s="9">
        <v>45504</v>
      </c>
    </row>
    <row r="486" spans="1:12">
      <c r="A486" t="s">
        <v>1755</v>
      </c>
      <c r="B486" t="s">
        <v>1756</v>
      </c>
      <c r="C486" t="s">
        <v>1757</v>
      </c>
      <c r="D486" t="s">
        <v>1758</v>
      </c>
      <c r="E486" t="s">
        <v>32</v>
      </c>
      <c r="F486" t="s">
        <v>65</v>
      </c>
      <c r="G486" t="str">
        <f>_xlfn.XLOOKUP(E486,lookup_table!A:A,lookup_table!B:B, "N/A")</f>
        <v>KwaZulu-Natal</v>
      </c>
      <c r="H486" t="str">
        <f t="shared" si="7"/>
        <v>Mismatch</v>
      </c>
      <c r="I486">
        <v>45</v>
      </c>
      <c r="J486" t="s">
        <v>18</v>
      </c>
      <c r="K486" t="s">
        <v>55</v>
      </c>
      <c r="L486" s="9">
        <v>46158</v>
      </c>
    </row>
    <row r="487" spans="1:12">
      <c r="A487" t="s">
        <v>1759</v>
      </c>
      <c r="B487" t="s">
        <v>1760</v>
      </c>
      <c r="C487" t="s">
        <v>1761</v>
      </c>
      <c r="D487" t="s">
        <v>1762</v>
      </c>
      <c r="E487" t="s">
        <v>24</v>
      </c>
      <c r="F487" t="s">
        <v>17</v>
      </c>
      <c r="G487" t="str">
        <f>_xlfn.XLOOKUP(E487,lookup_table!A:A,lookup_table!B:B, "N/A")</f>
        <v>Limpopo</v>
      </c>
      <c r="H487" t="str">
        <f t="shared" si="7"/>
        <v>Mismatch</v>
      </c>
      <c r="I487">
        <v>28</v>
      </c>
      <c r="J487" t="s">
        <v>18</v>
      </c>
      <c r="K487" t="s">
        <v>33</v>
      </c>
      <c r="L487" s="9">
        <v>45702</v>
      </c>
    </row>
    <row r="488" spans="1:12">
      <c r="A488" t="s">
        <v>1763</v>
      </c>
      <c r="B488" t="s">
        <v>1764</v>
      </c>
      <c r="C488" t="s">
        <v>23</v>
      </c>
      <c r="D488" t="s">
        <v>1765</v>
      </c>
      <c r="E488" t="s">
        <v>149</v>
      </c>
      <c r="F488" t="s">
        <v>79</v>
      </c>
      <c r="G488" t="str">
        <f>_xlfn.XLOOKUP(E488,lookup_table!A:A,lookup_table!B:B, "N/A")</f>
        <v>Free State</v>
      </c>
      <c r="H488" t="str">
        <f t="shared" si="7"/>
        <v>Mismatch</v>
      </c>
      <c r="I488">
        <v>36</v>
      </c>
      <c r="J488" t="s">
        <v>120</v>
      </c>
      <c r="K488" t="s">
        <v>33</v>
      </c>
      <c r="L488" s="9">
        <v>45771</v>
      </c>
    </row>
    <row r="489" spans="1:12">
      <c r="A489" t="s">
        <v>1766</v>
      </c>
      <c r="B489" t="s">
        <v>1767</v>
      </c>
      <c r="C489" t="s">
        <v>1768</v>
      </c>
      <c r="D489" t="s">
        <v>1769</v>
      </c>
      <c r="E489" t="s">
        <v>16</v>
      </c>
      <c r="F489" t="s">
        <v>89</v>
      </c>
      <c r="G489" t="str">
        <f>_xlfn.XLOOKUP(E489,lookup_table!A:A,lookup_table!B:B, "N/A")</f>
        <v>Gauteng</v>
      </c>
      <c r="H489" t="str">
        <f t="shared" si="7"/>
        <v>Mismatch</v>
      </c>
      <c r="I489">
        <v>31</v>
      </c>
      <c r="J489" t="s">
        <v>120</v>
      </c>
      <c r="K489" t="s">
        <v>55</v>
      </c>
      <c r="L489" s="9">
        <v>45929</v>
      </c>
    </row>
    <row r="490" spans="1:12">
      <c r="A490" t="s">
        <v>1770</v>
      </c>
      <c r="B490" t="s">
        <v>1771</v>
      </c>
      <c r="C490" t="s">
        <v>23</v>
      </c>
      <c r="D490" t="s">
        <v>1772</v>
      </c>
      <c r="E490" t="s">
        <v>32</v>
      </c>
      <c r="F490" t="s">
        <v>54</v>
      </c>
      <c r="G490" t="str">
        <f>_xlfn.XLOOKUP(E490,lookup_table!A:A,lookup_table!B:B, "N/A")</f>
        <v>KwaZulu-Natal</v>
      </c>
      <c r="H490" t="str">
        <f t="shared" si="7"/>
        <v>Mismatch</v>
      </c>
      <c r="I490">
        <v>48</v>
      </c>
      <c r="J490" t="s">
        <v>66</v>
      </c>
      <c r="K490" t="s">
        <v>33</v>
      </c>
      <c r="L490" s="9">
        <v>46183</v>
      </c>
    </row>
    <row r="491" spans="1:12">
      <c r="A491" t="s">
        <v>1773</v>
      </c>
      <c r="B491" t="s">
        <v>1774</v>
      </c>
      <c r="C491" t="s">
        <v>1775</v>
      </c>
      <c r="D491" t="s">
        <v>23</v>
      </c>
      <c r="E491" t="s">
        <v>24</v>
      </c>
      <c r="F491" t="s">
        <v>65</v>
      </c>
      <c r="G491" t="str">
        <f>_xlfn.XLOOKUP(E491,lookup_table!A:A,lookup_table!B:B, "N/A")</f>
        <v>Limpopo</v>
      </c>
      <c r="H491" t="str">
        <f t="shared" si="7"/>
        <v>Mismatch</v>
      </c>
      <c r="I491" t="s">
        <v>39</v>
      </c>
      <c r="J491" t="s">
        <v>26</v>
      </c>
      <c r="K491" t="s">
        <v>33</v>
      </c>
      <c r="L491" s="9">
        <v>45747</v>
      </c>
    </row>
    <row r="492" spans="1:12">
      <c r="A492" t="s">
        <v>1776</v>
      </c>
      <c r="B492" t="s">
        <v>1777</v>
      </c>
      <c r="C492" t="s">
        <v>1778</v>
      </c>
      <c r="D492" t="s">
        <v>23</v>
      </c>
      <c r="E492" t="s">
        <v>149</v>
      </c>
      <c r="F492" t="s">
        <v>50</v>
      </c>
      <c r="G492" t="str">
        <f>_xlfn.XLOOKUP(E492,lookup_table!A:A,lookup_table!B:B, "N/A")</f>
        <v>Free State</v>
      </c>
      <c r="H492" t="str">
        <f t="shared" si="7"/>
        <v>Mismatch</v>
      </c>
      <c r="I492">
        <v>47</v>
      </c>
      <c r="J492" t="s">
        <v>66</v>
      </c>
      <c r="K492" t="s">
        <v>60</v>
      </c>
      <c r="L492" s="9">
        <v>45578</v>
      </c>
    </row>
    <row r="493" spans="1:12">
      <c r="A493" t="s">
        <v>1779</v>
      </c>
      <c r="B493" t="s">
        <v>1780</v>
      </c>
      <c r="C493" t="s">
        <v>23</v>
      </c>
      <c r="D493" t="s">
        <v>1781</v>
      </c>
      <c r="E493" t="s">
        <v>32</v>
      </c>
      <c r="F493" t="s">
        <v>180</v>
      </c>
      <c r="G493" t="str">
        <f>_xlfn.XLOOKUP(E493,lookup_table!A:A,lookup_table!B:B, "N/A")</f>
        <v>KwaZulu-Natal</v>
      </c>
      <c r="H493" t="str">
        <f t="shared" si="7"/>
        <v>Mismatch</v>
      </c>
      <c r="I493">
        <v>51</v>
      </c>
      <c r="J493" t="s">
        <v>66</v>
      </c>
      <c r="K493" t="s">
        <v>33</v>
      </c>
      <c r="L493" s="9">
        <v>45428</v>
      </c>
    </row>
    <row r="494" spans="1:12">
      <c r="A494" t="s">
        <v>1782</v>
      </c>
      <c r="B494" t="s">
        <v>1783</v>
      </c>
      <c r="C494" t="s">
        <v>1784</v>
      </c>
      <c r="D494" t="s">
        <v>1785</v>
      </c>
      <c r="E494" t="s">
        <v>111</v>
      </c>
      <c r="F494" t="s">
        <v>50</v>
      </c>
      <c r="G494" t="str">
        <f>_xlfn.XLOOKUP(E494,lookup_table!A:A,lookup_table!B:B, "N/A")</f>
        <v>Gauteng</v>
      </c>
      <c r="H494" t="str">
        <f t="shared" si="7"/>
        <v>Mismatch</v>
      </c>
      <c r="I494">
        <v>33</v>
      </c>
      <c r="J494" t="s">
        <v>66</v>
      </c>
      <c r="K494" t="s">
        <v>27</v>
      </c>
      <c r="L494" s="9">
        <v>45961</v>
      </c>
    </row>
    <row r="495" spans="1:12">
      <c r="A495" t="s">
        <v>1786</v>
      </c>
      <c r="B495" t="s">
        <v>1787</v>
      </c>
      <c r="C495" t="s">
        <v>1788</v>
      </c>
      <c r="D495" t="s">
        <v>1789</v>
      </c>
      <c r="E495" t="s">
        <v>16</v>
      </c>
      <c r="F495" t="s">
        <v>65</v>
      </c>
      <c r="G495" t="str">
        <f>_xlfn.XLOOKUP(E495,lookup_table!A:A,lookup_table!B:B, "N/A")</f>
        <v>Gauteng</v>
      </c>
      <c r="H495" t="str">
        <f t="shared" si="7"/>
        <v>Match</v>
      </c>
      <c r="I495">
        <v>23</v>
      </c>
      <c r="J495" t="s">
        <v>26</v>
      </c>
      <c r="K495" t="s">
        <v>60</v>
      </c>
      <c r="L495" s="9">
        <v>45308</v>
      </c>
    </row>
    <row r="496" spans="1:12">
      <c r="A496" t="s">
        <v>1790</v>
      </c>
      <c r="B496" t="s">
        <v>1791</v>
      </c>
      <c r="C496" t="s">
        <v>1792</v>
      </c>
      <c r="D496" t="s">
        <v>1793</v>
      </c>
      <c r="E496" t="s">
        <v>53</v>
      </c>
      <c r="F496" t="s">
        <v>79</v>
      </c>
      <c r="G496" t="str">
        <f>_xlfn.XLOOKUP(E496,lookup_table!A:A,lookup_table!B:B, "N/A")</f>
        <v>Mpumalanga</v>
      </c>
      <c r="H496" t="str">
        <f t="shared" si="7"/>
        <v>Mismatch</v>
      </c>
      <c r="I496">
        <v>33</v>
      </c>
      <c r="J496" t="s">
        <v>26</v>
      </c>
      <c r="K496" t="s">
        <v>33</v>
      </c>
      <c r="L496" s="9">
        <v>45585</v>
      </c>
    </row>
    <row r="497" spans="1:12">
      <c r="A497" t="s">
        <v>1794</v>
      </c>
      <c r="B497" t="s">
        <v>1795</v>
      </c>
      <c r="C497" t="s">
        <v>1796</v>
      </c>
      <c r="D497" t="s">
        <v>1797</v>
      </c>
      <c r="E497" t="s">
        <v>16</v>
      </c>
      <c r="F497" t="s">
        <v>154</v>
      </c>
      <c r="G497" t="str">
        <f>_xlfn.XLOOKUP(E497,lookup_table!A:A,lookup_table!B:B, "N/A")</f>
        <v>Gauteng</v>
      </c>
      <c r="H497" t="str">
        <f t="shared" si="7"/>
        <v>Mismatch</v>
      </c>
      <c r="I497">
        <v>20</v>
      </c>
      <c r="J497" t="s">
        <v>120</v>
      </c>
      <c r="K497" t="s">
        <v>33</v>
      </c>
      <c r="L497" s="9">
        <v>45259</v>
      </c>
    </row>
    <row r="498" spans="1:12">
      <c r="A498" t="s">
        <v>1798</v>
      </c>
      <c r="B498" t="s">
        <v>1799</v>
      </c>
      <c r="C498" t="s">
        <v>1800</v>
      </c>
      <c r="D498" t="s">
        <v>1801</v>
      </c>
      <c r="E498" t="s">
        <v>32</v>
      </c>
      <c r="F498" t="s">
        <v>180</v>
      </c>
      <c r="G498" t="str">
        <f>_xlfn.XLOOKUP(E498,lookup_table!A:A,lookup_table!B:B, "N/A")</f>
        <v>KwaZulu-Natal</v>
      </c>
      <c r="H498" t="str">
        <f t="shared" si="7"/>
        <v>Mismatch</v>
      </c>
      <c r="I498" t="s">
        <v>39</v>
      </c>
      <c r="J498" t="s">
        <v>26</v>
      </c>
      <c r="K498" t="s">
        <v>23</v>
      </c>
      <c r="L498" s="9">
        <v>45560</v>
      </c>
    </row>
    <row r="499" spans="1:12">
      <c r="A499" t="s">
        <v>1802</v>
      </c>
      <c r="B499" t="s">
        <v>1803</v>
      </c>
      <c r="C499" t="s">
        <v>1804</v>
      </c>
      <c r="D499" t="s">
        <v>1805</v>
      </c>
      <c r="E499" t="s">
        <v>70</v>
      </c>
      <c r="F499" t="s">
        <v>79</v>
      </c>
      <c r="G499" t="str">
        <f>_xlfn.XLOOKUP(E499,lookup_table!A:A,lookup_table!B:B, "N/A")</f>
        <v>Eastern Cape</v>
      </c>
      <c r="H499" t="str">
        <f t="shared" si="7"/>
        <v>Mismatch</v>
      </c>
      <c r="I499">
        <v>46</v>
      </c>
      <c r="J499" t="s">
        <v>66</v>
      </c>
      <c r="K499" t="s">
        <v>27</v>
      </c>
      <c r="L499" s="9">
        <v>45426</v>
      </c>
    </row>
    <row r="500" spans="1:12">
      <c r="A500" t="s">
        <v>1806</v>
      </c>
      <c r="B500" t="s">
        <v>1807</v>
      </c>
      <c r="C500" t="s">
        <v>23</v>
      </c>
      <c r="D500" t="s">
        <v>1808</v>
      </c>
      <c r="E500" t="s">
        <v>38</v>
      </c>
      <c r="F500" t="s">
        <v>79</v>
      </c>
      <c r="G500" t="str">
        <f>_xlfn.XLOOKUP(E500,lookup_table!A:A,lookup_table!B:B, "N/A")</f>
        <v>Western Cape</v>
      </c>
      <c r="H500" t="str">
        <f t="shared" si="7"/>
        <v>Mismatch</v>
      </c>
      <c r="I500">
        <v>25</v>
      </c>
      <c r="J500" t="s">
        <v>23</v>
      </c>
      <c r="K500" t="s">
        <v>55</v>
      </c>
      <c r="L500" s="9">
        <v>45624</v>
      </c>
    </row>
    <row r="501" spans="1:12">
      <c r="A501" t="s">
        <v>1809</v>
      </c>
      <c r="B501" t="s">
        <v>1810</v>
      </c>
      <c r="C501" t="s">
        <v>1811</v>
      </c>
      <c r="D501" t="s">
        <v>1812</v>
      </c>
      <c r="E501" t="s">
        <v>32</v>
      </c>
      <c r="F501" t="s">
        <v>180</v>
      </c>
      <c r="G501" t="str">
        <f>_xlfn.XLOOKUP(E501,lookup_table!A:A,lookup_table!B:B, "N/A")</f>
        <v>KwaZulu-Natal</v>
      </c>
      <c r="H501" t="str">
        <f t="shared" si="7"/>
        <v>Mismatch</v>
      </c>
      <c r="I501">
        <v>52</v>
      </c>
      <c r="J501" t="s">
        <v>23</v>
      </c>
      <c r="K501" t="s">
        <v>23</v>
      </c>
      <c r="L501" s="9">
        <v>45416</v>
      </c>
    </row>
    <row r="502" spans="1:12">
      <c r="A502" t="s">
        <v>1813</v>
      </c>
      <c r="B502" t="s">
        <v>1814</v>
      </c>
      <c r="C502" t="s">
        <v>1815</v>
      </c>
      <c r="D502" t="s">
        <v>1816</v>
      </c>
      <c r="E502" t="s">
        <v>94</v>
      </c>
      <c r="F502" t="s">
        <v>54</v>
      </c>
      <c r="G502" t="str">
        <f>_xlfn.XLOOKUP(E502,lookup_table!A:A,lookup_table!B:B, "N/A")</f>
        <v>Eastern Cape</v>
      </c>
      <c r="H502" t="str">
        <f t="shared" si="7"/>
        <v>Mismatch</v>
      </c>
      <c r="I502">
        <v>27</v>
      </c>
      <c r="J502" t="s">
        <v>26</v>
      </c>
      <c r="K502" t="s">
        <v>60</v>
      </c>
      <c r="L502" s="9">
        <v>45367</v>
      </c>
    </row>
    <row r="503" spans="1:12">
      <c r="A503" t="s">
        <v>1817</v>
      </c>
      <c r="B503" t="s">
        <v>1818</v>
      </c>
      <c r="C503" t="s">
        <v>23</v>
      </c>
      <c r="D503" t="s">
        <v>1819</v>
      </c>
      <c r="E503" t="s">
        <v>78</v>
      </c>
      <c r="F503" t="s">
        <v>154</v>
      </c>
      <c r="G503" t="str">
        <f>_xlfn.XLOOKUP(E503,lookup_table!A:A,lookup_table!B:B, "N/A")</f>
        <v>Northern Cape</v>
      </c>
      <c r="H503" t="str">
        <f t="shared" si="7"/>
        <v>Mismatch</v>
      </c>
      <c r="I503" t="s">
        <v>39</v>
      </c>
      <c r="J503" t="s">
        <v>18</v>
      </c>
      <c r="K503" t="s">
        <v>60</v>
      </c>
      <c r="L503" s="9">
        <v>45503</v>
      </c>
    </row>
    <row r="504" spans="1:12">
      <c r="A504" t="s">
        <v>1820</v>
      </c>
      <c r="B504" t="s">
        <v>1821</v>
      </c>
      <c r="C504" t="s">
        <v>23</v>
      </c>
      <c r="D504" t="s">
        <v>1822</v>
      </c>
      <c r="E504" t="s">
        <v>38</v>
      </c>
      <c r="F504" t="s">
        <v>79</v>
      </c>
      <c r="G504" t="str">
        <f>_xlfn.XLOOKUP(E504,lookup_table!A:A,lookup_table!B:B, "N/A")</f>
        <v>Western Cape</v>
      </c>
      <c r="H504" t="str">
        <f t="shared" si="7"/>
        <v>Mismatch</v>
      </c>
      <c r="I504" t="s">
        <v>39</v>
      </c>
      <c r="J504" t="s">
        <v>120</v>
      </c>
      <c r="K504" t="s">
        <v>55</v>
      </c>
      <c r="L504" s="9">
        <v>45446</v>
      </c>
    </row>
    <row r="505" spans="1:12">
      <c r="A505" t="s">
        <v>1823</v>
      </c>
      <c r="B505" t="s">
        <v>1824</v>
      </c>
      <c r="C505" t="s">
        <v>1825</v>
      </c>
      <c r="D505" t="s">
        <v>1826</v>
      </c>
      <c r="E505" t="s">
        <v>32</v>
      </c>
      <c r="G505" t="str">
        <f>_xlfn.XLOOKUP(E505,lookup_table!A:A,lookup_table!B:B, "N/A")</f>
        <v>KwaZulu-Natal</v>
      </c>
      <c r="H505" t="str">
        <f t="shared" si="7"/>
        <v>Mismatch</v>
      </c>
      <c r="I505">
        <v>29</v>
      </c>
      <c r="J505" t="s">
        <v>120</v>
      </c>
      <c r="K505" t="s">
        <v>23</v>
      </c>
      <c r="L505" s="9">
        <v>46031</v>
      </c>
    </row>
    <row r="506" spans="1:12">
      <c r="A506" t="s">
        <v>1827</v>
      </c>
      <c r="B506" t="s">
        <v>1828</v>
      </c>
      <c r="C506" t="s">
        <v>1829</v>
      </c>
      <c r="D506" t="s">
        <v>1830</v>
      </c>
      <c r="E506" t="s">
        <v>16</v>
      </c>
      <c r="F506" t="s">
        <v>79</v>
      </c>
      <c r="G506" t="str">
        <f>_xlfn.XLOOKUP(E506,lookup_table!A:A,lookup_table!B:B, "N/A")</f>
        <v>Gauteng</v>
      </c>
      <c r="H506" t="str">
        <f t="shared" si="7"/>
        <v>Mismatch</v>
      </c>
      <c r="I506">
        <v>25</v>
      </c>
      <c r="J506" t="s">
        <v>23</v>
      </c>
      <c r="K506" t="s">
        <v>33</v>
      </c>
      <c r="L506" s="9">
        <v>45294</v>
      </c>
    </row>
    <row r="507" spans="1:12">
      <c r="A507" t="s">
        <v>1831</v>
      </c>
      <c r="B507" t="s">
        <v>1832</v>
      </c>
      <c r="C507" t="s">
        <v>1833</v>
      </c>
      <c r="D507" t="s">
        <v>1834</v>
      </c>
      <c r="E507" t="s">
        <v>78</v>
      </c>
      <c r="F507" t="s">
        <v>180</v>
      </c>
      <c r="G507" t="str">
        <f>_xlfn.XLOOKUP(E507,lookup_table!A:A,lookup_table!B:B, "N/A")</f>
        <v>Northern Cape</v>
      </c>
      <c r="H507" t="str">
        <f t="shared" si="7"/>
        <v>Mismatch</v>
      </c>
      <c r="I507">
        <v>43</v>
      </c>
      <c r="J507" t="s">
        <v>26</v>
      </c>
      <c r="K507" t="s">
        <v>60</v>
      </c>
      <c r="L507" s="9">
        <v>46044</v>
      </c>
    </row>
    <row r="508" spans="1:12">
      <c r="A508" t="s">
        <v>1835</v>
      </c>
      <c r="B508" t="s">
        <v>1836</v>
      </c>
      <c r="C508" t="s">
        <v>23</v>
      </c>
      <c r="D508" t="s">
        <v>1837</v>
      </c>
      <c r="E508" t="s">
        <v>53</v>
      </c>
      <c r="F508" t="s">
        <v>79</v>
      </c>
      <c r="G508" t="str">
        <f>_xlfn.XLOOKUP(E508,lookup_table!A:A,lookup_table!B:B, "N/A")</f>
        <v>Mpumalanga</v>
      </c>
      <c r="H508" t="str">
        <f t="shared" si="7"/>
        <v>Mismatch</v>
      </c>
      <c r="I508" t="s">
        <v>39</v>
      </c>
      <c r="J508" t="s">
        <v>120</v>
      </c>
      <c r="K508" t="s">
        <v>84</v>
      </c>
      <c r="L508" s="9">
        <v>45585</v>
      </c>
    </row>
    <row r="509" spans="1:12">
      <c r="A509" t="s">
        <v>1838</v>
      </c>
      <c r="B509" t="s">
        <v>1839</v>
      </c>
      <c r="C509" t="s">
        <v>1840</v>
      </c>
      <c r="D509" t="s">
        <v>1841</v>
      </c>
      <c r="E509" t="s">
        <v>78</v>
      </c>
      <c r="F509" t="s">
        <v>154</v>
      </c>
      <c r="G509" t="str">
        <f>_xlfn.XLOOKUP(E509,lookup_table!A:A,lookup_table!B:B, "N/A")</f>
        <v>Northern Cape</v>
      </c>
      <c r="H509" t="str">
        <f t="shared" si="7"/>
        <v>Mismatch</v>
      </c>
      <c r="I509">
        <v>28</v>
      </c>
      <c r="J509" t="s">
        <v>18</v>
      </c>
      <c r="K509" t="s">
        <v>33</v>
      </c>
      <c r="L509" s="9">
        <v>45979</v>
      </c>
    </row>
    <row r="510" spans="1:12">
      <c r="A510" t="s">
        <v>1842</v>
      </c>
      <c r="B510" t="s">
        <v>1843</v>
      </c>
      <c r="C510" t="s">
        <v>1844</v>
      </c>
      <c r="D510" t="s">
        <v>23</v>
      </c>
      <c r="E510" t="s">
        <v>32</v>
      </c>
      <c r="F510" t="s">
        <v>79</v>
      </c>
      <c r="G510" t="str">
        <f>_xlfn.XLOOKUP(E510,lookup_table!A:A,lookup_table!B:B, "N/A")</f>
        <v>KwaZulu-Natal</v>
      </c>
      <c r="H510" t="str">
        <f t="shared" si="7"/>
        <v>Mismatch</v>
      </c>
      <c r="I510">
        <v>39</v>
      </c>
      <c r="J510" t="s">
        <v>18</v>
      </c>
      <c r="K510" t="s">
        <v>55</v>
      </c>
      <c r="L510" s="9">
        <v>45902</v>
      </c>
    </row>
    <row r="511" spans="1:12">
      <c r="A511" t="s">
        <v>1845</v>
      </c>
      <c r="B511" t="s">
        <v>1846</v>
      </c>
      <c r="C511" t="s">
        <v>1847</v>
      </c>
      <c r="D511" t="s">
        <v>1848</v>
      </c>
      <c r="E511" t="s">
        <v>32</v>
      </c>
      <c r="F511" t="s">
        <v>50</v>
      </c>
      <c r="G511" t="str">
        <f>_xlfn.XLOOKUP(E511,lookup_table!A:A,lookup_table!B:B, "N/A")</f>
        <v>KwaZulu-Natal</v>
      </c>
      <c r="H511" t="str">
        <f t="shared" si="7"/>
        <v>Match</v>
      </c>
      <c r="I511" t="s">
        <v>39</v>
      </c>
      <c r="J511" t="s">
        <v>18</v>
      </c>
      <c r="K511" t="s">
        <v>60</v>
      </c>
      <c r="L511" s="9">
        <v>45429</v>
      </c>
    </row>
    <row r="512" spans="1:12">
      <c r="A512" t="s">
        <v>1849</v>
      </c>
      <c r="B512" t="s">
        <v>1850</v>
      </c>
      <c r="C512" t="s">
        <v>1851</v>
      </c>
      <c r="D512" t="s">
        <v>1852</v>
      </c>
      <c r="E512" t="s">
        <v>38</v>
      </c>
      <c r="F512" t="s">
        <v>54</v>
      </c>
      <c r="G512" t="str">
        <f>_xlfn.XLOOKUP(E512,lookup_table!A:A,lookup_table!B:B, "N/A")</f>
        <v>Western Cape</v>
      </c>
      <c r="H512" t="str">
        <f t="shared" si="7"/>
        <v>Mismatch</v>
      </c>
      <c r="I512">
        <v>37</v>
      </c>
      <c r="J512" t="s">
        <v>26</v>
      </c>
      <c r="K512" t="s">
        <v>60</v>
      </c>
      <c r="L512" s="9">
        <v>45615</v>
      </c>
    </row>
    <row r="513" spans="1:12">
      <c r="A513" t="s">
        <v>1853</v>
      </c>
      <c r="B513" t="s">
        <v>1854</v>
      </c>
      <c r="C513" t="s">
        <v>1855</v>
      </c>
      <c r="D513" t="s">
        <v>1856</v>
      </c>
      <c r="E513" t="s">
        <v>16</v>
      </c>
      <c r="F513" t="s">
        <v>25</v>
      </c>
      <c r="G513" t="str">
        <f>_xlfn.XLOOKUP(E513,lookup_table!A:A,lookup_table!B:B, "N/A")</f>
        <v>Gauteng</v>
      </c>
      <c r="H513" t="str">
        <f t="shared" si="7"/>
        <v>Mismatch</v>
      </c>
      <c r="I513">
        <v>19</v>
      </c>
      <c r="J513" t="s">
        <v>26</v>
      </c>
      <c r="K513" t="s">
        <v>33</v>
      </c>
      <c r="L513" s="9">
        <v>45441</v>
      </c>
    </row>
    <row r="514" spans="1:12">
      <c r="A514" t="s">
        <v>1857</v>
      </c>
      <c r="B514" t="s">
        <v>1858</v>
      </c>
      <c r="C514" t="s">
        <v>1859</v>
      </c>
      <c r="D514" t="s">
        <v>23</v>
      </c>
      <c r="E514" t="s">
        <v>38</v>
      </c>
      <c r="F514" t="s">
        <v>50</v>
      </c>
      <c r="G514" t="str">
        <f>_xlfn.XLOOKUP(E514,lookup_table!A:A,lookup_table!B:B, "N/A")</f>
        <v>Western Cape</v>
      </c>
      <c r="H514" t="str">
        <f t="shared" si="7"/>
        <v>Mismatch</v>
      </c>
      <c r="I514">
        <v>34</v>
      </c>
      <c r="J514" t="s">
        <v>26</v>
      </c>
      <c r="K514" t="s">
        <v>106</v>
      </c>
      <c r="L514" s="9">
        <v>45645</v>
      </c>
    </row>
    <row r="515" spans="1:12">
      <c r="A515" t="s">
        <v>1860</v>
      </c>
      <c r="B515" t="s">
        <v>1861</v>
      </c>
      <c r="C515" t="s">
        <v>1862</v>
      </c>
      <c r="D515" t="s">
        <v>1863</v>
      </c>
      <c r="E515" t="s">
        <v>32</v>
      </c>
      <c r="F515" t="s">
        <v>17</v>
      </c>
      <c r="G515" t="str">
        <f>_xlfn.XLOOKUP(E515,lookup_table!A:A,lookup_table!B:B, "N/A")</f>
        <v>KwaZulu-Natal</v>
      </c>
      <c r="H515" t="str">
        <f t="shared" ref="H515:H578" si="8">IF(F515=G515, "Match", "Mismatch")</f>
        <v>Mismatch</v>
      </c>
      <c r="I515" t="s">
        <v>39</v>
      </c>
      <c r="J515" t="s">
        <v>26</v>
      </c>
      <c r="K515" t="s">
        <v>60</v>
      </c>
      <c r="L515" s="9">
        <v>45266</v>
      </c>
    </row>
    <row r="516" spans="1:12">
      <c r="A516" t="s">
        <v>1864</v>
      </c>
      <c r="B516" t="s">
        <v>1865</v>
      </c>
      <c r="C516" t="s">
        <v>23</v>
      </c>
      <c r="D516" t="s">
        <v>1866</v>
      </c>
      <c r="E516" t="s">
        <v>38</v>
      </c>
      <c r="F516" t="s">
        <v>50</v>
      </c>
      <c r="G516" t="str">
        <f>_xlfn.XLOOKUP(E516,lookup_table!A:A,lookup_table!B:B, "N/A")</f>
        <v>Western Cape</v>
      </c>
      <c r="H516" t="str">
        <f t="shared" si="8"/>
        <v>Mismatch</v>
      </c>
      <c r="I516">
        <v>42</v>
      </c>
      <c r="J516" t="s">
        <v>26</v>
      </c>
      <c r="K516" t="s">
        <v>60</v>
      </c>
      <c r="L516" s="9">
        <v>45217</v>
      </c>
    </row>
    <row r="517" spans="1:12">
      <c r="A517" t="s">
        <v>1867</v>
      </c>
      <c r="B517" t="s">
        <v>1868</v>
      </c>
      <c r="C517" t="s">
        <v>23</v>
      </c>
      <c r="D517" t="s">
        <v>1869</v>
      </c>
      <c r="E517" t="s">
        <v>16</v>
      </c>
      <c r="G517" t="str">
        <f>_xlfn.XLOOKUP(E517,lookup_table!A:A,lookup_table!B:B, "N/A")</f>
        <v>Gauteng</v>
      </c>
      <c r="H517" t="str">
        <f t="shared" si="8"/>
        <v>Mismatch</v>
      </c>
      <c r="I517">
        <v>26</v>
      </c>
      <c r="J517" t="s">
        <v>66</v>
      </c>
      <c r="K517" t="s">
        <v>33</v>
      </c>
      <c r="L517" s="9">
        <v>46096</v>
      </c>
    </row>
    <row r="518" spans="1:12">
      <c r="A518" t="s">
        <v>1870</v>
      </c>
      <c r="B518" t="s">
        <v>1871</v>
      </c>
      <c r="C518" t="s">
        <v>1872</v>
      </c>
      <c r="D518" t="s">
        <v>23</v>
      </c>
      <c r="E518" t="s">
        <v>94</v>
      </c>
      <c r="F518" t="s">
        <v>54</v>
      </c>
      <c r="G518" t="str">
        <f>_xlfn.XLOOKUP(E518,lookup_table!A:A,lookup_table!B:B, "N/A")</f>
        <v>Eastern Cape</v>
      </c>
      <c r="H518" t="str">
        <f t="shared" si="8"/>
        <v>Mismatch</v>
      </c>
      <c r="I518" t="s">
        <v>39</v>
      </c>
      <c r="J518" t="s">
        <v>66</v>
      </c>
      <c r="K518" t="s">
        <v>27</v>
      </c>
      <c r="L518" s="9">
        <v>46040</v>
      </c>
    </row>
    <row r="519" spans="1:12">
      <c r="A519" t="s">
        <v>1873</v>
      </c>
      <c r="B519" t="s">
        <v>1874</v>
      </c>
      <c r="C519" t="s">
        <v>23</v>
      </c>
      <c r="D519" t="s">
        <v>1875</v>
      </c>
      <c r="E519" t="s">
        <v>70</v>
      </c>
      <c r="F519" t="s">
        <v>79</v>
      </c>
      <c r="G519" t="str">
        <f>_xlfn.XLOOKUP(E519,lookup_table!A:A,lookup_table!B:B, "N/A")</f>
        <v>Eastern Cape</v>
      </c>
      <c r="H519" t="str">
        <f t="shared" si="8"/>
        <v>Mismatch</v>
      </c>
      <c r="I519">
        <v>41</v>
      </c>
      <c r="J519" t="s">
        <v>66</v>
      </c>
      <c r="K519" t="s">
        <v>19</v>
      </c>
      <c r="L519" s="9">
        <v>45571</v>
      </c>
    </row>
    <row r="520" spans="1:12">
      <c r="A520" t="s">
        <v>1876</v>
      </c>
      <c r="B520" t="s">
        <v>1877</v>
      </c>
      <c r="C520" t="s">
        <v>1878</v>
      </c>
      <c r="D520" t="s">
        <v>1879</v>
      </c>
      <c r="E520" t="s">
        <v>16</v>
      </c>
      <c r="F520" t="s">
        <v>25</v>
      </c>
      <c r="G520" t="str">
        <f>_xlfn.XLOOKUP(E520,lookup_table!A:A,lookup_table!B:B, "N/A")</f>
        <v>Gauteng</v>
      </c>
      <c r="H520" t="str">
        <f t="shared" si="8"/>
        <v>Mismatch</v>
      </c>
      <c r="I520" t="s">
        <v>39</v>
      </c>
      <c r="J520" t="s">
        <v>120</v>
      </c>
      <c r="K520" t="s">
        <v>19</v>
      </c>
      <c r="L520" s="9">
        <v>45168</v>
      </c>
    </row>
    <row r="521" spans="1:12">
      <c r="A521" t="s">
        <v>1880</v>
      </c>
      <c r="B521" t="s">
        <v>1881</v>
      </c>
      <c r="C521" t="s">
        <v>1882</v>
      </c>
      <c r="D521" t="s">
        <v>1883</v>
      </c>
      <c r="E521" t="s">
        <v>32</v>
      </c>
      <c r="F521" t="s">
        <v>54</v>
      </c>
      <c r="G521" t="str">
        <f>_xlfn.XLOOKUP(E521,lookup_table!A:A,lookup_table!B:B, "N/A")</f>
        <v>KwaZulu-Natal</v>
      </c>
      <c r="H521" t="str">
        <f t="shared" si="8"/>
        <v>Mismatch</v>
      </c>
      <c r="I521">
        <v>23</v>
      </c>
      <c r="J521" t="s">
        <v>23</v>
      </c>
      <c r="K521" t="s">
        <v>60</v>
      </c>
      <c r="L521" s="9">
        <v>45478</v>
      </c>
    </row>
    <row r="522" spans="1:12">
      <c r="A522" t="s">
        <v>1884</v>
      </c>
      <c r="B522" t="s">
        <v>1885</v>
      </c>
      <c r="C522" t="s">
        <v>1886</v>
      </c>
      <c r="D522" t="s">
        <v>23</v>
      </c>
      <c r="E522" t="s">
        <v>78</v>
      </c>
      <c r="F522" t="s">
        <v>54</v>
      </c>
      <c r="G522" t="str">
        <f>_xlfn.XLOOKUP(E522,lookup_table!A:A,lookup_table!B:B, "N/A")</f>
        <v>Northern Cape</v>
      </c>
      <c r="H522" t="str">
        <f t="shared" si="8"/>
        <v>Mismatch</v>
      </c>
      <c r="I522">
        <v>35</v>
      </c>
      <c r="J522" t="s">
        <v>18</v>
      </c>
      <c r="K522" t="s">
        <v>33</v>
      </c>
      <c r="L522" s="9">
        <v>45529</v>
      </c>
    </row>
    <row r="523" spans="1:12">
      <c r="A523" t="s">
        <v>1887</v>
      </c>
      <c r="B523" t="s">
        <v>1888</v>
      </c>
      <c r="C523" t="s">
        <v>1889</v>
      </c>
      <c r="D523" t="s">
        <v>23</v>
      </c>
      <c r="E523" t="s">
        <v>78</v>
      </c>
      <c r="F523" t="s">
        <v>154</v>
      </c>
      <c r="G523" t="str">
        <f>_xlfn.XLOOKUP(E523,lookup_table!A:A,lookup_table!B:B, "N/A")</f>
        <v>Northern Cape</v>
      </c>
      <c r="H523" t="str">
        <f t="shared" si="8"/>
        <v>Mismatch</v>
      </c>
      <c r="I523">
        <v>22</v>
      </c>
      <c r="J523" t="s">
        <v>66</v>
      </c>
      <c r="K523" t="s">
        <v>84</v>
      </c>
      <c r="L523" s="9">
        <v>45925</v>
      </c>
    </row>
    <row r="524" spans="1:12">
      <c r="A524" t="s">
        <v>1890</v>
      </c>
      <c r="B524" t="s">
        <v>1891</v>
      </c>
      <c r="C524" t="s">
        <v>1892</v>
      </c>
      <c r="D524" t="s">
        <v>1893</v>
      </c>
      <c r="E524" t="s">
        <v>149</v>
      </c>
      <c r="F524" t="s">
        <v>180</v>
      </c>
      <c r="G524" t="str">
        <f>_xlfn.XLOOKUP(E524,lookup_table!A:A,lookup_table!B:B, "N/A")</f>
        <v>Free State</v>
      </c>
      <c r="H524" t="str">
        <f t="shared" si="8"/>
        <v>Mismatch</v>
      </c>
      <c r="I524">
        <v>43</v>
      </c>
      <c r="J524" t="s">
        <v>120</v>
      </c>
      <c r="K524" t="s">
        <v>106</v>
      </c>
      <c r="L524" s="9">
        <v>45915</v>
      </c>
    </row>
    <row r="525" spans="1:12">
      <c r="A525" t="s">
        <v>1894</v>
      </c>
      <c r="B525" t="s">
        <v>1895</v>
      </c>
      <c r="C525" t="s">
        <v>1896</v>
      </c>
      <c r="D525" t="s">
        <v>1897</v>
      </c>
      <c r="E525" t="s">
        <v>53</v>
      </c>
      <c r="F525" t="s">
        <v>50</v>
      </c>
      <c r="G525" t="str">
        <f>_xlfn.XLOOKUP(E525,lookup_table!A:A,lookup_table!B:B, "N/A")</f>
        <v>Mpumalanga</v>
      </c>
      <c r="H525" t="str">
        <f t="shared" si="8"/>
        <v>Mismatch</v>
      </c>
      <c r="I525" t="s">
        <v>39</v>
      </c>
      <c r="J525" t="s">
        <v>120</v>
      </c>
      <c r="K525" t="s">
        <v>33</v>
      </c>
      <c r="L525" s="9">
        <v>45818</v>
      </c>
    </row>
    <row r="526" spans="1:12">
      <c r="A526" t="s">
        <v>1898</v>
      </c>
      <c r="B526" t="s">
        <v>1899</v>
      </c>
      <c r="C526" t="s">
        <v>1900</v>
      </c>
      <c r="D526" t="s">
        <v>1901</v>
      </c>
      <c r="E526" t="s">
        <v>78</v>
      </c>
      <c r="F526" t="s">
        <v>54</v>
      </c>
      <c r="G526" t="str">
        <f>_xlfn.XLOOKUP(E526,lookup_table!A:A,lookup_table!B:B, "N/A")</f>
        <v>Northern Cape</v>
      </c>
      <c r="H526" t="str">
        <f t="shared" si="8"/>
        <v>Mismatch</v>
      </c>
      <c r="I526" t="s">
        <v>39</v>
      </c>
      <c r="J526" t="s">
        <v>66</v>
      </c>
      <c r="K526" t="s">
        <v>106</v>
      </c>
      <c r="L526" s="9">
        <v>45282</v>
      </c>
    </row>
    <row r="527" spans="1:12">
      <c r="A527" t="s">
        <v>1902</v>
      </c>
      <c r="B527" t="s">
        <v>941</v>
      </c>
      <c r="C527" t="s">
        <v>23</v>
      </c>
      <c r="D527" t="s">
        <v>1903</v>
      </c>
      <c r="E527" t="s">
        <v>94</v>
      </c>
      <c r="F527" t="s">
        <v>17</v>
      </c>
      <c r="G527" t="str">
        <f>_xlfn.XLOOKUP(E527,lookup_table!A:A,lookup_table!B:B, "N/A")</f>
        <v>Eastern Cape</v>
      </c>
      <c r="H527" t="str">
        <f t="shared" si="8"/>
        <v>Match</v>
      </c>
      <c r="I527">
        <v>47</v>
      </c>
      <c r="J527" t="s">
        <v>26</v>
      </c>
      <c r="K527" t="s">
        <v>33</v>
      </c>
      <c r="L527" s="9">
        <v>45526</v>
      </c>
    </row>
    <row r="528" spans="1:12">
      <c r="A528" t="s">
        <v>1904</v>
      </c>
      <c r="B528" t="s">
        <v>1905</v>
      </c>
      <c r="C528" t="s">
        <v>23</v>
      </c>
      <c r="D528" t="s">
        <v>1906</v>
      </c>
      <c r="E528" t="s">
        <v>16</v>
      </c>
      <c r="F528" t="s">
        <v>50</v>
      </c>
      <c r="G528" t="str">
        <f>_xlfn.XLOOKUP(E528,lookup_table!A:A,lookup_table!B:B, "N/A")</f>
        <v>Gauteng</v>
      </c>
      <c r="H528" t="str">
        <f t="shared" si="8"/>
        <v>Mismatch</v>
      </c>
      <c r="I528">
        <v>45</v>
      </c>
      <c r="J528" t="s">
        <v>120</v>
      </c>
      <c r="K528" t="s">
        <v>27</v>
      </c>
      <c r="L528" s="9">
        <v>45560</v>
      </c>
    </row>
    <row r="529" spans="1:12">
      <c r="A529" t="s">
        <v>1907</v>
      </c>
      <c r="B529" t="s">
        <v>1908</v>
      </c>
      <c r="C529" t="s">
        <v>1909</v>
      </c>
      <c r="D529" t="s">
        <v>1910</v>
      </c>
      <c r="E529" t="s">
        <v>70</v>
      </c>
      <c r="G529" t="str">
        <f>_xlfn.XLOOKUP(E529,lookup_table!A:A,lookup_table!B:B, "N/A")</f>
        <v>Eastern Cape</v>
      </c>
      <c r="H529" t="str">
        <f t="shared" si="8"/>
        <v>Mismatch</v>
      </c>
      <c r="I529" t="s">
        <v>39</v>
      </c>
      <c r="J529" t="s">
        <v>26</v>
      </c>
      <c r="K529" t="s">
        <v>43</v>
      </c>
      <c r="L529" s="9">
        <v>45714</v>
      </c>
    </row>
    <row r="530" spans="1:12">
      <c r="A530" t="s">
        <v>1911</v>
      </c>
      <c r="B530" t="s">
        <v>1912</v>
      </c>
      <c r="C530" t="s">
        <v>1913</v>
      </c>
      <c r="D530" t="s">
        <v>23</v>
      </c>
      <c r="E530" t="s">
        <v>70</v>
      </c>
      <c r="F530" t="s">
        <v>79</v>
      </c>
      <c r="G530" t="str">
        <f>_xlfn.XLOOKUP(E530,lookup_table!A:A,lookup_table!B:B, "N/A")</f>
        <v>Eastern Cape</v>
      </c>
      <c r="H530" t="str">
        <f t="shared" si="8"/>
        <v>Mismatch</v>
      </c>
      <c r="I530" t="s">
        <v>39</v>
      </c>
      <c r="J530" t="s">
        <v>23</v>
      </c>
      <c r="K530" t="s">
        <v>33</v>
      </c>
      <c r="L530" s="9">
        <v>45538</v>
      </c>
    </row>
    <row r="531" spans="1:12">
      <c r="A531" t="s">
        <v>1914</v>
      </c>
      <c r="B531" t="s">
        <v>1915</v>
      </c>
      <c r="C531" t="s">
        <v>1916</v>
      </c>
      <c r="D531" t="s">
        <v>1917</v>
      </c>
      <c r="E531" t="s">
        <v>78</v>
      </c>
      <c r="G531" t="str">
        <f>_xlfn.XLOOKUP(E531,lookup_table!A:A,lookup_table!B:B, "N/A")</f>
        <v>Northern Cape</v>
      </c>
      <c r="H531" t="str">
        <f t="shared" si="8"/>
        <v>Mismatch</v>
      </c>
      <c r="I531" t="s">
        <v>39</v>
      </c>
      <c r="J531" t="s">
        <v>26</v>
      </c>
      <c r="K531" t="s">
        <v>19</v>
      </c>
      <c r="L531" s="9">
        <v>45428</v>
      </c>
    </row>
    <row r="532" spans="1:12">
      <c r="A532" t="s">
        <v>1918</v>
      </c>
      <c r="B532" t="s">
        <v>1919</v>
      </c>
      <c r="C532" t="s">
        <v>1920</v>
      </c>
      <c r="D532" t="s">
        <v>1921</v>
      </c>
      <c r="E532" t="s">
        <v>32</v>
      </c>
      <c r="F532" t="s">
        <v>65</v>
      </c>
      <c r="G532" t="str">
        <f>_xlfn.XLOOKUP(E532,lookup_table!A:A,lookup_table!B:B, "N/A")</f>
        <v>KwaZulu-Natal</v>
      </c>
      <c r="H532" t="str">
        <f t="shared" si="8"/>
        <v>Mismatch</v>
      </c>
      <c r="I532" t="s">
        <v>39</v>
      </c>
      <c r="J532" t="s">
        <v>26</v>
      </c>
      <c r="K532" t="s">
        <v>27</v>
      </c>
      <c r="L532" s="9">
        <v>46169</v>
      </c>
    </row>
    <row r="533" spans="1:12">
      <c r="A533" t="s">
        <v>1922</v>
      </c>
      <c r="B533" t="s">
        <v>1923</v>
      </c>
      <c r="C533" t="s">
        <v>1924</v>
      </c>
      <c r="D533" t="s">
        <v>1925</v>
      </c>
      <c r="E533" t="s">
        <v>32</v>
      </c>
      <c r="F533" t="s">
        <v>154</v>
      </c>
      <c r="G533" t="str">
        <f>_xlfn.XLOOKUP(E533,lookup_table!A:A,lookup_table!B:B, "N/A")</f>
        <v>KwaZulu-Natal</v>
      </c>
      <c r="H533" t="str">
        <f t="shared" si="8"/>
        <v>Mismatch</v>
      </c>
      <c r="I533">
        <v>23</v>
      </c>
      <c r="J533" t="s">
        <v>120</v>
      </c>
      <c r="K533" t="s">
        <v>33</v>
      </c>
      <c r="L533" s="9">
        <v>45121</v>
      </c>
    </row>
    <row r="534" spans="1:12">
      <c r="A534" t="s">
        <v>1926</v>
      </c>
      <c r="B534" t="s">
        <v>1927</v>
      </c>
      <c r="C534" t="s">
        <v>1928</v>
      </c>
      <c r="D534" t="s">
        <v>1929</v>
      </c>
      <c r="E534" t="s">
        <v>149</v>
      </c>
      <c r="F534" t="s">
        <v>180</v>
      </c>
      <c r="G534" t="str">
        <f>_xlfn.XLOOKUP(E534,lookup_table!A:A,lookup_table!B:B, "N/A")</f>
        <v>Free State</v>
      </c>
      <c r="H534" t="str">
        <f t="shared" si="8"/>
        <v>Mismatch</v>
      </c>
      <c r="I534">
        <v>46</v>
      </c>
      <c r="J534" t="s">
        <v>26</v>
      </c>
      <c r="K534" t="s">
        <v>43</v>
      </c>
      <c r="L534" s="9">
        <v>45509</v>
      </c>
    </row>
    <row r="535" spans="1:12">
      <c r="A535" t="s">
        <v>1930</v>
      </c>
      <c r="B535" t="s">
        <v>1931</v>
      </c>
      <c r="C535" t="s">
        <v>1932</v>
      </c>
      <c r="D535" t="s">
        <v>23</v>
      </c>
      <c r="E535" t="s">
        <v>24</v>
      </c>
      <c r="F535" t="s">
        <v>54</v>
      </c>
      <c r="G535" t="str">
        <f>_xlfn.XLOOKUP(E535,lookup_table!A:A,lookup_table!B:B, "N/A")</f>
        <v>Limpopo</v>
      </c>
      <c r="H535" t="str">
        <f t="shared" si="8"/>
        <v>Mismatch</v>
      </c>
      <c r="I535">
        <v>39</v>
      </c>
      <c r="J535" t="s">
        <v>23</v>
      </c>
      <c r="K535" t="s">
        <v>60</v>
      </c>
      <c r="L535" s="9">
        <v>46113</v>
      </c>
    </row>
    <row r="536" spans="1:12">
      <c r="A536" t="s">
        <v>1933</v>
      </c>
      <c r="B536" t="s">
        <v>1934</v>
      </c>
      <c r="C536" t="s">
        <v>1935</v>
      </c>
      <c r="D536" t="s">
        <v>1936</v>
      </c>
      <c r="E536" t="s">
        <v>32</v>
      </c>
      <c r="F536" t="s">
        <v>50</v>
      </c>
      <c r="G536" t="str">
        <f>_xlfn.XLOOKUP(E536,lookup_table!A:A,lookup_table!B:B, "N/A")</f>
        <v>KwaZulu-Natal</v>
      </c>
      <c r="H536" t="str">
        <f t="shared" si="8"/>
        <v>Match</v>
      </c>
      <c r="I536">
        <v>32</v>
      </c>
      <c r="J536" t="s">
        <v>18</v>
      </c>
      <c r="K536" t="s">
        <v>33</v>
      </c>
      <c r="L536" s="9">
        <v>45788</v>
      </c>
    </row>
    <row r="537" spans="1:12">
      <c r="A537" t="s">
        <v>1937</v>
      </c>
      <c r="B537" t="s">
        <v>1938</v>
      </c>
      <c r="C537" t="s">
        <v>1939</v>
      </c>
      <c r="D537" t="s">
        <v>1940</v>
      </c>
      <c r="E537" t="s">
        <v>32</v>
      </c>
      <c r="F537" t="s">
        <v>65</v>
      </c>
      <c r="G537" t="str">
        <f>_xlfn.XLOOKUP(E537,lookup_table!A:A,lookup_table!B:B, "N/A")</f>
        <v>KwaZulu-Natal</v>
      </c>
      <c r="H537" t="str">
        <f t="shared" si="8"/>
        <v>Mismatch</v>
      </c>
      <c r="I537" t="s">
        <v>39</v>
      </c>
      <c r="J537" t="s">
        <v>26</v>
      </c>
      <c r="K537" t="s">
        <v>23</v>
      </c>
      <c r="L537" s="9">
        <v>45654</v>
      </c>
    </row>
    <row r="538" spans="1:12">
      <c r="A538" t="s">
        <v>1941</v>
      </c>
      <c r="B538" t="s">
        <v>1942</v>
      </c>
      <c r="C538" t="s">
        <v>1943</v>
      </c>
      <c r="D538" t="s">
        <v>1944</v>
      </c>
      <c r="E538" t="s">
        <v>16</v>
      </c>
      <c r="F538" t="s">
        <v>25</v>
      </c>
      <c r="G538" t="str">
        <f>_xlfn.XLOOKUP(E538,lookup_table!A:A,lookup_table!B:B, "N/A")</f>
        <v>Gauteng</v>
      </c>
      <c r="H538" t="str">
        <f t="shared" si="8"/>
        <v>Mismatch</v>
      </c>
      <c r="I538" t="s">
        <v>39</v>
      </c>
      <c r="J538" t="s">
        <v>18</v>
      </c>
      <c r="K538" t="s">
        <v>33</v>
      </c>
      <c r="L538" s="9">
        <v>46158</v>
      </c>
    </row>
    <row r="539" spans="1:12">
      <c r="A539" t="s">
        <v>1945</v>
      </c>
      <c r="B539" t="s">
        <v>1946</v>
      </c>
      <c r="C539" t="s">
        <v>23</v>
      </c>
      <c r="D539" t="s">
        <v>1947</v>
      </c>
      <c r="E539" t="s">
        <v>38</v>
      </c>
      <c r="F539" t="s">
        <v>180</v>
      </c>
      <c r="G539" t="str">
        <f>_xlfn.XLOOKUP(E539,lookup_table!A:A,lookup_table!B:B, "N/A")</f>
        <v>Western Cape</v>
      </c>
      <c r="H539" t="str">
        <f t="shared" si="8"/>
        <v>Mismatch</v>
      </c>
      <c r="I539">
        <v>41</v>
      </c>
      <c r="J539" t="s">
        <v>23</v>
      </c>
      <c r="K539" t="s">
        <v>23</v>
      </c>
      <c r="L539" s="9">
        <v>45931</v>
      </c>
    </row>
    <row r="540" spans="1:12">
      <c r="A540" t="s">
        <v>1948</v>
      </c>
      <c r="B540" t="s">
        <v>1949</v>
      </c>
      <c r="C540" t="s">
        <v>1950</v>
      </c>
      <c r="D540" t="s">
        <v>1951</v>
      </c>
      <c r="E540" t="s">
        <v>32</v>
      </c>
      <c r="F540" t="s">
        <v>154</v>
      </c>
      <c r="G540" t="str">
        <f>_xlfn.XLOOKUP(E540,lookup_table!A:A,lookup_table!B:B, "N/A")</f>
        <v>KwaZulu-Natal</v>
      </c>
      <c r="H540" t="str">
        <f t="shared" si="8"/>
        <v>Mismatch</v>
      </c>
      <c r="I540">
        <v>16</v>
      </c>
      <c r="J540" t="s">
        <v>18</v>
      </c>
      <c r="K540" t="s">
        <v>55</v>
      </c>
      <c r="L540" s="9">
        <v>45433</v>
      </c>
    </row>
    <row r="541" spans="1:12">
      <c r="A541" t="s">
        <v>1952</v>
      </c>
      <c r="B541" t="s">
        <v>1953</v>
      </c>
      <c r="C541" t="s">
        <v>1954</v>
      </c>
      <c r="D541" t="s">
        <v>1955</v>
      </c>
      <c r="E541" t="s">
        <v>16</v>
      </c>
      <c r="F541" t="s">
        <v>25</v>
      </c>
      <c r="G541" t="str">
        <f>_xlfn.XLOOKUP(E541,lookup_table!A:A,lookup_table!B:B, "N/A")</f>
        <v>Gauteng</v>
      </c>
      <c r="H541" t="str">
        <f t="shared" si="8"/>
        <v>Mismatch</v>
      </c>
      <c r="I541" t="s">
        <v>39</v>
      </c>
      <c r="J541" t="s">
        <v>18</v>
      </c>
      <c r="K541" t="s">
        <v>60</v>
      </c>
      <c r="L541" s="9">
        <v>46042</v>
      </c>
    </row>
    <row r="542" spans="1:12">
      <c r="A542" t="s">
        <v>1956</v>
      </c>
      <c r="B542" t="s">
        <v>1957</v>
      </c>
      <c r="C542" t="s">
        <v>1958</v>
      </c>
      <c r="D542" t="s">
        <v>1959</v>
      </c>
      <c r="E542" t="s">
        <v>16</v>
      </c>
      <c r="F542" t="s">
        <v>54</v>
      </c>
      <c r="G542" t="str">
        <f>_xlfn.XLOOKUP(E542,lookup_table!A:A,lookup_table!B:B, "N/A")</f>
        <v>Gauteng</v>
      </c>
      <c r="H542" t="str">
        <f t="shared" si="8"/>
        <v>Mismatch</v>
      </c>
      <c r="I542">
        <v>51</v>
      </c>
      <c r="J542" t="s">
        <v>26</v>
      </c>
      <c r="K542" t="s">
        <v>106</v>
      </c>
      <c r="L542" s="9">
        <v>45519</v>
      </c>
    </row>
    <row r="543" spans="1:12">
      <c r="A543" t="s">
        <v>1960</v>
      </c>
      <c r="B543" t="s">
        <v>1961</v>
      </c>
      <c r="C543" t="s">
        <v>1962</v>
      </c>
      <c r="D543" t="s">
        <v>23</v>
      </c>
      <c r="E543" t="s">
        <v>32</v>
      </c>
      <c r="F543" t="s">
        <v>54</v>
      </c>
      <c r="G543" t="str">
        <f>_xlfn.XLOOKUP(E543,lookup_table!A:A,lookup_table!B:B, "N/A")</f>
        <v>KwaZulu-Natal</v>
      </c>
      <c r="H543" t="str">
        <f t="shared" si="8"/>
        <v>Mismatch</v>
      </c>
      <c r="I543" t="s">
        <v>39</v>
      </c>
      <c r="J543" t="s">
        <v>18</v>
      </c>
      <c r="K543" t="s">
        <v>27</v>
      </c>
      <c r="L543" s="9">
        <v>45135</v>
      </c>
    </row>
    <row r="544" spans="1:12">
      <c r="A544" t="s">
        <v>1963</v>
      </c>
      <c r="B544" t="s">
        <v>1964</v>
      </c>
      <c r="C544" t="s">
        <v>1965</v>
      </c>
      <c r="D544" t="s">
        <v>1966</v>
      </c>
      <c r="E544" t="s">
        <v>24</v>
      </c>
      <c r="F544" t="s">
        <v>180</v>
      </c>
      <c r="G544" t="str">
        <f>_xlfn.XLOOKUP(E544,lookup_table!A:A,lookup_table!B:B, "N/A")</f>
        <v>Limpopo</v>
      </c>
      <c r="H544" t="str">
        <f t="shared" si="8"/>
        <v>Mismatch</v>
      </c>
      <c r="I544">
        <v>23</v>
      </c>
      <c r="J544" t="s">
        <v>26</v>
      </c>
      <c r="K544" t="s">
        <v>27</v>
      </c>
      <c r="L544" s="9">
        <v>45942</v>
      </c>
    </row>
    <row r="545" spans="1:12">
      <c r="A545" t="s">
        <v>1967</v>
      </c>
      <c r="B545" t="s">
        <v>1968</v>
      </c>
      <c r="C545" t="s">
        <v>23</v>
      </c>
      <c r="D545" t="s">
        <v>1969</v>
      </c>
      <c r="E545" t="s">
        <v>38</v>
      </c>
      <c r="F545" t="s">
        <v>154</v>
      </c>
      <c r="G545" t="str">
        <f>_xlfn.XLOOKUP(E545,lookup_table!A:A,lookup_table!B:B, "N/A")</f>
        <v>Western Cape</v>
      </c>
      <c r="H545" t="str">
        <f t="shared" si="8"/>
        <v>Mismatch</v>
      </c>
      <c r="I545">
        <v>30</v>
      </c>
      <c r="J545" t="s">
        <v>18</v>
      </c>
      <c r="K545" t="s">
        <v>106</v>
      </c>
      <c r="L545" s="9">
        <v>45740</v>
      </c>
    </row>
    <row r="546" spans="1:12">
      <c r="A546" t="s">
        <v>1970</v>
      </c>
      <c r="B546" t="s">
        <v>1971</v>
      </c>
      <c r="C546" t="s">
        <v>1972</v>
      </c>
      <c r="D546" t="s">
        <v>1973</v>
      </c>
      <c r="E546" t="s">
        <v>16</v>
      </c>
      <c r="F546" t="s">
        <v>65</v>
      </c>
      <c r="G546" t="str">
        <f>_xlfn.XLOOKUP(E546,lookup_table!A:A,lookup_table!B:B, "N/A")</f>
        <v>Gauteng</v>
      </c>
      <c r="H546" t="str">
        <f t="shared" si="8"/>
        <v>Match</v>
      </c>
      <c r="I546" t="s">
        <v>39</v>
      </c>
      <c r="J546" t="s">
        <v>23</v>
      </c>
      <c r="K546" t="s">
        <v>43</v>
      </c>
      <c r="L546" s="9">
        <v>45204</v>
      </c>
    </row>
    <row r="547" spans="1:12">
      <c r="A547" t="s">
        <v>1974</v>
      </c>
      <c r="B547" t="s">
        <v>1975</v>
      </c>
      <c r="C547" t="s">
        <v>1976</v>
      </c>
      <c r="D547" t="s">
        <v>1977</v>
      </c>
      <c r="E547" t="s">
        <v>32</v>
      </c>
      <c r="F547" t="s">
        <v>17</v>
      </c>
      <c r="G547" t="str">
        <f>_xlfn.XLOOKUP(E547,lookup_table!A:A,lookup_table!B:B, "N/A")</f>
        <v>KwaZulu-Natal</v>
      </c>
      <c r="H547" t="str">
        <f t="shared" si="8"/>
        <v>Mismatch</v>
      </c>
      <c r="I547">
        <v>22</v>
      </c>
      <c r="J547" t="s">
        <v>18</v>
      </c>
      <c r="K547" t="s">
        <v>60</v>
      </c>
      <c r="L547" s="9">
        <v>46137</v>
      </c>
    </row>
    <row r="548" spans="1:12">
      <c r="A548" t="s">
        <v>1978</v>
      </c>
      <c r="B548" t="s">
        <v>1979</v>
      </c>
      <c r="C548" t="s">
        <v>23</v>
      </c>
      <c r="D548" t="s">
        <v>1980</v>
      </c>
      <c r="E548" t="s">
        <v>32</v>
      </c>
      <c r="F548" t="s">
        <v>50</v>
      </c>
      <c r="G548" t="str">
        <f>_xlfn.XLOOKUP(E548,lookup_table!A:A,lookup_table!B:B, "N/A")</f>
        <v>KwaZulu-Natal</v>
      </c>
      <c r="H548" t="str">
        <f t="shared" si="8"/>
        <v>Match</v>
      </c>
      <c r="I548">
        <v>44</v>
      </c>
      <c r="J548" t="s">
        <v>18</v>
      </c>
      <c r="K548" t="s">
        <v>55</v>
      </c>
      <c r="L548" s="9">
        <v>45185</v>
      </c>
    </row>
    <row r="549" spans="1:12">
      <c r="A549" t="s">
        <v>1981</v>
      </c>
      <c r="B549" t="s">
        <v>1982</v>
      </c>
      <c r="C549" t="s">
        <v>23</v>
      </c>
      <c r="D549" t="s">
        <v>1983</v>
      </c>
      <c r="E549" t="s">
        <v>16</v>
      </c>
      <c r="F549" t="s">
        <v>180</v>
      </c>
      <c r="G549" t="str">
        <f>_xlfn.XLOOKUP(E549,lookup_table!A:A,lookup_table!B:B, "N/A")</f>
        <v>Gauteng</v>
      </c>
      <c r="H549" t="str">
        <f t="shared" si="8"/>
        <v>Mismatch</v>
      </c>
      <c r="I549">
        <v>40</v>
      </c>
      <c r="J549" t="s">
        <v>26</v>
      </c>
      <c r="K549" t="s">
        <v>60</v>
      </c>
      <c r="L549" s="9">
        <v>45477</v>
      </c>
    </row>
    <row r="550" spans="1:12">
      <c r="A550" t="s">
        <v>1984</v>
      </c>
      <c r="B550" t="s">
        <v>1985</v>
      </c>
      <c r="C550" t="s">
        <v>1986</v>
      </c>
      <c r="D550" t="s">
        <v>1987</v>
      </c>
      <c r="E550" t="s">
        <v>70</v>
      </c>
      <c r="F550" t="s">
        <v>17</v>
      </c>
      <c r="G550" t="str">
        <f>_xlfn.XLOOKUP(E550,lookup_table!A:A,lookup_table!B:B, "N/A")</f>
        <v>Eastern Cape</v>
      </c>
      <c r="H550" t="str">
        <f t="shared" si="8"/>
        <v>Match</v>
      </c>
      <c r="I550">
        <v>16</v>
      </c>
      <c r="J550" t="s">
        <v>26</v>
      </c>
      <c r="K550" t="s">
        <v>60</v>
      </c>
      <c r="L550" s="9">
        <v>45760</v>
      </c>
    </row>
    <row r="551" spans="1:12">
      <c r="A551" t="s">
        <v>1988</v>
      </c>
      <c r="B551" t="s">
        <v>1989</v>
      </c>
      <c r="C551" t="s">
        <v>23</v>
      </c>
      <c r="D551" t="s">
        <v>1990</v>
      </c>
      <c r="E551" t="s">
        <v>16</v>
      </c>
      <c r="F551" t="s">
        <v>50</v>
      </c>
      <c r="G551" t="str">
        <f>_xlfn.XLOOKUP(E551,lookup_table!A:A,lookup_table!B:B, "N/A")</f>
        <v>Gauteng</v>
      </c>
      <c r="H551" t="str">
        <f t="shared" si="8"/>
        <v>Mismatch</v>
      </c>
      <c r="I551">
        <v>35</v>
      </c>
      <c r="J551" t="s">
        <v>26</v>
      </c>
      <c r="K551" t="s">
        <v>55</v>
      </c>
      <c r="L551" s="9">
        <v>45333</v>
      </c>
    </row>
    <row r="552" spans="1:12">
      <c r="A552" t="s">
        <v>1991</v>
      </c>
      <c r="B552" t="s">
        <v>1992</v>
      </c>
      <c r="C552" t="s">
        <v>1993</v>
      </c>
      <c r="D552" t="s">
        <v>1994</v>
      </c>
      <c r="E552" t="s">
        <v>94</v>
      </c>
      <c r="F552" t="s">
        <v>25</v>
      </c>
      <c r="G552" t="str">
        <f>_xlfn.XLOOKUP(E552,lookup_table!A:A,lookup_table!B:B, "N/A")</f>
        <v>Eastern Cape</v>
      </c>
      <c r="H552" t="str">
        <f t="shared" si="8"/>
        <v>Mismatch</v>
      </c>
      <c r="I552">
        <v>16</v>
      </c>
      <c r="J552" t="s">
        <v>18</v>
      </c>
      <c r="K552" t="s">
        <v>27</v>
      </c>
      <c r="L552" s="9">
        <v>45821</v>
      </c>
    </row>
    <row r="553" spans="1:12">
      <c r="A553" t="s">
        <v>1995</v>
      </c>
      <c r="B553" t="s">
        <v>1996</v>
      </c>
      <c r="C553" t="s">
        <v>1997</v>
      </c>
      <c r="D553" t="s">
        <v>1998</v>
      </c>
      <c r="E553" t="s">
        <v>111</v>
      </c>
      <c r="F553" t="s">
        <v>17</v>
      </c>
      <c r="G553" t="str">
        <f>_xlfn.XLOOKUP(E553,lookup_table!A:A,lookup_table!B:B, "N/A")</f>
        <v>Gauteng</v>
      </c>
      <c r="H553" t="str">
        <f t="shared" si="8"/>
        <v>Mismatch</v>
      </c>
      <c r="I553" t="s">
        <v>39</v>
      </c>
      <c r="J553" t="s">
        <v>26</v>
      </c>
      <c r="K553" t="s">
        <v>33</v>
      </c>
      <c r="L553" s="9">
        <v>45566</v>
      </c>
    </row>
    <row r="554" spans="1:12">
      <c r="A554" t="s">
        <v>1999</v>
      </c>
      <c r="B554" t="s">
        <v>2000</v>
      </c>
      <c r="C554" t="s">
        <v>2001</v>
      </c>
      <c r="D554" t="s">
        <v>2002</v>
      </c>
      <c r="E554" t="s">
        <v>149</v>
      </c>
      <c r="F554" t="s">
        <v>79</v>
      </c>
      <c r="G554" t="str">
        <f>_xlfn.XLOOKUP(E554,lookup_table!A:A,lookup_table!B:B, "N/A")</f>
        <v>Free State</v>
      </c>
      <c r="H554" t="str">
        <f t="shared" si="8"/>
        <v>Mismatch</v>
      </c>
      <c r="I554">
        <v>30</v>
      </c>
      <c r="J554" t="s">
        <v>23</v>
      </c>
      <c r="K554" t="s">
        <v>60</v>
      </c>
      <c r="L554" s="9">
        <v>45428</v>
      </c>
    </row>
    <row r="555" spans="1:12">
      <c r="A555" t="s">
        <v>2003</v>
      </c>
      <c r="B555" t="s">
        <v>2004</v>
      </c>
      <c r="C555" t="s">
        <v>23</v>
      </c>
      <c r="D555" t="s">
        <v>2005</v>
      </c>
      <c r="E555" t="s">
        <v>24</v>
      </c>
      <c r="F555" t="s">
        <v>89</v>
      </c>
      <c r="G555" t="str">
        <f>_xlfn.XLOOKUP(E555,lookup_table!A:A,lookup_table!B:B, "N/A")</f>
        <v>Limpopo</v>
      </c>
      <c r="H555" t="str">
        <f t="shared" si="8"/>
        <v>Mismatch</v>
      </c>
      <c r="I555">
        <v>16</v>
      </c>
      <c r="J555" t="s">
        <v>26</v>
      </c>
      <c r="K555" t="s">
        <v>60</v>
      </c>
      <c r="L555" s="9">
        <v>45273</v>
      </c>
    </row>
    <row r="556" spans="1:12">
      <c r="A556" t="s">
        <v>2006</v>
      </c>
      <c r="B556" t="s">
        <v>2007</v>
      </c>
      <c r="C556" t="s">
        <v>2008</v>
      </c>
      <c r="D556" t="s">
        <v>2009</v>
      </c>
      <c r="E556" t="s">
        <v>111</v>
      </c>
      <c r="F556" t="s">
        <v>17</v>
      </c>
      <c r="G556" t="str">
        <f>_xlfn.XLOOKUP(E556,lookup_table!A:A,lookup_table!B:B, "N/A")</f>
        <v>Gauteng</v>
      </c>
      <c r="H556" t="str">
        <f t="shared" si="8"/>
        <v>Mismatch</v>
      </c>
      <c r="I556">
        <v>37</v>
      </c>
      <c r="J556" t="s">
        <v>26</v>
      </c>
      <c r="K556" t="s">
        <v>33</v>
      </c>
      <c r="L556" s="9">
        <v>45937</v>
      </c>
    </row>
    <row r="557" spans="1:12">
      <c r="A557" t="s">
        <v>2010</v>
      </c>
      <c r="B557" t="s">
        <v>2011</v>
      </c>
      <c r="C557" t="s">
        <v>2012</v>
      </c>
      <c r="D557" t="s">
        <v>2013</v>
      </c>
      <c r="E557" t="s">
        <v>24</v>
      </c>
      <c r="F557" t="s">
        <v>65</v>
      </c>
      <c r="G557" t="str">
        <f>_xlfn.XLOOKUP(E557,lookup_table!A:A,lookup_table!B:B, "N/A")</f>
        <v>Limpopo</v>
      </c>
      <c r="H557" t="str">
        <f t="shared" si="8"/>
        <v>Mismatch</v>
      </c>
      <c r="I557" t="s">
        <v>39</v>
      </c>
      <c r="J557" t="s">
        <v>120</v>
      </c>
      <c r="K557" t="s">
        <v>33</v>
      </c>
      <c r="L557" s="9">
        <v>45470</v>
      </c>
    </row>
    <row r="558" spans="1:12">
      <c r="A558" t="s">
        <v>2014</v>
      </c>
      <c r="B558" t="s">
        <v>2015</v>
      </c>
      <c r="C558" t="s">
        <v>2016</v>
      </c>
      <c r="D558" t="s">
        <v>2017</v>
      </c>
      <c r="E558" t="s">
        <v>32</v>
      </c>
      <c r="F558" t="s">
        <v>17</v>
      </c>
      <c r="G558" t="str">
        <f>_xlfn.XLOOKUP(E558,lookup_table!A:A,lookup_table!B:B, "N/A")</f>
        <v>KwaZulu-Natal</v>
      </c>
      <c r="H558" t="str">
        <f t="shared" si="8"/>
        <v>Mismatch</v>
      </c>
      <c r="I558">
        <v>39</v>
      </c>
      <c r="J558" t="s">
        <v>26</v>
      </c>
      <c r="K558" t="s">
        <v>106</v>
      </c>
      <c r="L558" s="9">
        <v>46026</v>
      </c>
    </row>
    <row r="559" spans="1:12">
      <c r="A559" t="s">
        <v>2018</v>
      </c>
      <c r="B559" t="s">
        <v>2019</v>
      </c>
      <c r="C559" t="s">
        <v>2020</v>
      </c>
      <c r="D559" t="s">
        <v>2021</v>
      </c>
      <c r="E559" t="s">
        <v>38</v>
      </c>
      <c r="F559" t="s">
        <v>25</v>
      </c>
      <c r="G559" t="str">
        <f>_xlfn.XLOOKUP(E559,lookup_table!A:A,lookup_table!B:B, "N/A")</f>
        <v>Western Cape</v>
      </c>
      <c r="H559" t="str">
        <f t="shared" si="8"/>
        <v>Mismatch</v>
      </c>
      <c r="I559">
        <v>48</v>
      </c>
      <c r="J559" t="s">
        <v>26</v>
      </c>
      <c r="K559" t="s">
        <v>106</v>
      </c>
      <c r="L559" s="9">
        <v>45256</v>
      </c>
    </row>
    <row r="560" spans="1:12">
      <c r="A560" t="s">
        <v>2022</v>
      </c>
      <c r="B560" t="s">
        <v>2023</v>
      </c>
      <c r="C560" t="s">
        <v>23</v>
      </c>
      <c r="D560" t="s">
        <v>23</v>
      </c>
      <c r="E560" t="s">
        <v>149</v>
      </c>
      <c r="F560" t="s">
        <v>79</v>
      </c>
      <c r="G560" t="str">
        <f>_xlfn.XLOOKUP(E560,lookup_table!A:A,lookup_table!B:B, "N/A")</f>
        <v>Free State</v>
      </c>
      <c r="H560" t="str">
        <f t="shared" si="8"/>
        <v>Mismatch</v>
      </c>
      <c r="I560">
        <v>46</v>
      </c>
      <c r="J560" t="s">
        <v>18</v>
      </c>
      <c r="K560" t="s">
        <v>43</v>
      </c>
      <c r="L560" s="9">
        <v>45397</v>
      </c>
    </row>
    <row r="561" spans="1:12">
      <c r="A561" t="s">
        <v>2024</v>
      </c>
      <c r="B561" t="s">
        <v>2025</v>
      </c>
      <c r="C561" t="s">
        <v>2026</v>
      </c>
      <c r="D561" t="s">
        <v>2027</v>
      </c>
      <c r="E561" t="s">
        <v>32</v>
      </c>
      <c r="F561" t="s">
        <v>17</v>
      </c>
      <c r="G561" t="str">
        <f>_xlfn.XLOOKUP(E561,lookup_table!A:A,lookup_table!B:B, "N/A")</f>
        <v>KwaZulu-Natal</v>
      </c>
      <c r="H561" t="str">
        <f t="shared" si="8"/>
        <v>Mismatch</v>
      </c>
      <c r="I561" t="s">
        <v>39</v>
      </c>
      <c r="J561" t="s">
        <v>26</v>
      </c>
      <c r="K561" t="s">
        <v>55</v>
      </c>
      <c r="L561" s="9">
        <v>45425</v>
      </c>
    </row>
    <row r="562" spans="1:12">
      <c r="A562" t="s">
        <v>2028</v>
      </c>
      <c r="B562" t="s">
        <v>2029</v>
      </c>
      <c r="C562" t="s">
        <v>23</v>
      </c>
      <c r="D562" t="s">
        <v>23</v>
      </c>
      <c r="E562" t="s">
        <v>149</v>
      </c>
      <c r="F562" t="s">
        <v>89</v>
      </c>
      <c r="G562" t="str">
        <f>_xlfn.XLOOKUP(E562,lookup_table!A:A,lookup_table!B:B, "N/A")</f>
        <v>Free State</v>
      </c>
      <c r="H562" t="str">
        <f t="shared" si="8"/>
        <v>Mismatch</v>
      </c>
      <c r="I562">
        <v>44</v>
      </c>
      <c r="J562" t="s">
        <v>23</v>
      </c>
      <c r="K562" t="s">
        <v>60</v>
      </c>
      <c r="L562" s="9">
        <v>45861</v>
      </c>
    </row>
    <row r="563" spans="1:12">
      <c r="A563" t="s">
        <v>2030</v>
      </c>
      <c r="B563" t="s">
        <v>2031</v>
      </c>
      <c r="C563" t="s">
        <v>2032</v>
      </c>
      <c r="D563" t="s">
        <v>2033</v>
      </c>
      <c r="E563" t="s">
        <v>38</v>
      </c>
      <c r="F563" t="s">
        <v>17</v>
      </c>
      <c r="G563" t="str">
        <f>_xlfn.XLOOKUP(E563,lookup_table!A:A,lookup_table!B:B, "N/A")</f>
        <v>Western Cape</v>
      </c>
      <c r="H563" t="str">
        <f t="shared" si="8"/>
        <v>Mismatch</v>
      </c>
      <c r="I563">
        <v>20</v>
      </c>
      <c r="J563" t="s">
        <v>26</v>
      </c>
      <c r="K563" t="s">
        <v>33</v>
      </c>
      <c r="L563" s="9">
        <v>45860</v>
      </c>
    </row>
    <row r="564" spans="1:12">
      <c r="A564" t="s">
        <v>2034</v>
      </c>
      <c r="B564" t="s">
        <v>2035</v>
      </c>
      <c r="C564" t="s">
        <v>2036</v>
      </c>
      <c r="D564" t="s">
        <v>2037</v>
      </c>
      <c r="E564" t="s">
        <v>38</v>
      </c>
      <c r="F564" t="s">
        <v>154</v>
      </c>
      <c r="G564" t="str">
        <f>_xlfn.XLOOKUP(E564,lookup_table!A:A,lookup_table!B:B, "N/A")</f>
        <v>Western Cape</v>
      </c>
      <c r="H564" t="str">
        <f t="shared" si="8"/>
        <v>Mismatch</v>
      </c>
      <c r="I564">
        <v>32</v>
      </c>
      <c r="J564" t="s">
        <v>26</v>
      </c>
      <c r="K564" t="s">
        <v>60</v>
      </c>
      <c r="L564" s="9">
        <v>45026</v>
      </c>
    </row>
    <row r="565" spans="1:12">
      <c r="A565" t="s">
        <v>2038</v>
      </c>
      <c r="B565" t="s">
        <v>2039</v>
      </c>
      <c r="C565" t="s">
        <v>2040</v>
      </c>
      <c r="D565" t="s">
        <v>2041</v>
      </c>
      <c r="E565" t="s">
        <v>32</v>
      </c>
      <c r="F565" t="s">
        <v>180</v>
      </c>
      <c r="G565" t="str">
        <f>_xlfn.XLOOKUP(E565,lookup_table!A:A,lookup_table!B:B, "N/A")</f>
        <v>KwaZulu-Natal</v>
      </c>
      <c r="H565" t="str">
        <f t="shared" si="8"/>
        <v>Mismatch</v>
      </c>
      <c r="I565">
        <v>16</v>
      </c>
      <c r="J565" t="s">
        <v>18</v>
      </c>
      <c r="K565" t="s">
        <v>84</v>
      </c>
      <c r="L565" s="9">
        <v>45532</v>
      </c>
    </row>
    <row r="566" spans="1:12">
      <c r="A566" t="s">
        <v>2042</v>
      </c>
      <c r="B566" t="s">
        <v>2043</v>
      </c>
      <c r="C566" t="s">
        <v>2044</v>
      </c>
      <c r="D566" t="s">
        <v>23</v>
      </c>
      <c r="E566" t="s">
        <v>16</v>
      </c>
      <c r="F566" t="s">
        <v>79</v>
      </c>
      <c r="G566" t="str">
        <f>_xlfn.XLOOKUP(E566,lookup_table!A:A,lookup_table!B:B, "N/A")</f>
        <v>Gauteng</v>
      </c>
      <c r="H566" t="str">
        <f t="shared" si="8"/>
        <v>Mismatch</v>
      </c>
      <c r="I566">
        <v>28</v>
      </c>
      <c r="J566" t="s">
        <v>18</v>
      </c>
      <c r="K566" t="s">
        <v>84</v>
      </c>
      <c r="L566" s="9">
        <v>45231</v>
      </c>
    </row>
    <row r="567" spans="1:12">
      <c r="A567" t="s">
        <v>2045</v>
      </c>
      <c r="B567" t="s">
        <v>2046</v>
      </c>
      <c r="C567" t="s">
        <v>23</v>
      </c>
      <c r="D567" t="s">
        <v>23</v>
      </c>
      <c r="E567" t="s">
        <v>38</v>
      </c>
      <c r="F567" t="s">
        <v>50</v>
      </c>
      <c r="G567" t="str">
        <f>_xlfn.XLOOKUP(E567,lookup_table!A:A,lookup_table!B:B, "N/A")</f>
        <v>Western Cape</v>
      </c>
      <c r="H567" t="str">
        <f t="shared" si="8"/>
        <v>Mismatch</v>
      </c>
      <c r="I567" t="s">
        <v>39</v>
      </c>
      <c r="J567" t="s">
        <v>120</v>
      </c>
      <c r="K567" t="s">
        <v>19</v>
      </c>
      <c r="L567" s="9">
        <v>45724</v>
      </c>
    </row>
    <row r="568" spans="1:12">
      <c r="A568" t="s">
        <v>2047</v>
      </c>
      <c r="B568" t="s">
        <v>2048</v>
      </c>
      <c r="C568" t="s">
        <v>2049</v>
      </c>
      <c r="D568" t="s">
        <v>2050</v>
      </c>
      <c r="E568" t="s">
        <v>78</v>
      </c>
      <c r="G568" t="str">
        <f>_xlfn.XLOOKUP(E568,lookup_table!A:A,lookup_table!B:B, "N/A")</f>
        <v>Northern Cape</v>
      </c>
      <c r="H568" t="str">
        <f t="shared" si="8"/>
        <v>Mismatch</v>
      </c>
      <c r="I568">
        <v>37</v>
      </c>
      <c r="J568" t="s">
        <v>120</v>
      </c>
      <c r="K568" t="s">
        <v>33</v>
      </c>
      <c r="L568" s="9">
        <v>46015</v>
      </c>
    </row>
    <row r="569" spans="1:12">
      <c r="A569" t="s">
        <v>2051</v>
      </c>
      <c r="B569" t="s">
        <v>2052</v>
      </c>
      <c r="C569" t="s">
        <v>23</v>
      </c>
      <c r="D569" t="s">
        <v>2053</v>
      </c>
      <c r="E569" t="s">
        <v>53</v>
      </c>
      <c r="F569" t="s">
        <v>79</v>
      </c>
      <c r="G569" t="str">
        <f>_xlfn.XLOOKUP(E569,lookup_table!A:A,lookup_table!B:B, "N/A")</f>
        <v>Mpumalanga</v>
      </c>
      <c r="H569" t="str">
        <f t="shared" si="8"/>
        <v>Mismatch</v>
      </c>
      <c r="I569">
        <v>26</v>
      </c>
      <c r="J569" t="s">
        <v>23</v>
      </c>
      <c r="K569" t="s">
        <v>60</v>
      </c>
      <c r="L569" s="9">
        <v>45324</v>
      </c>
    </row>
    <row r="570" spans="1:12">
      <c r="A570" t="s">
        <v>2054</v>
      </c>
      <c r="B570" t="s">
        <v>1052</v>
      </c>
      <c r="C570" t="s">
        <v>2055</v>
      </c>
      <c r="D570" t="s">
        <v>2056</v>
      </c>
      <c r="E570" t="s">
        <v>24</v>
      </c>
      <c r="F570" t="s">
        <v>17</v>
      </c>
      <c r="G570" t="str">
        <f>_xlfn.XLOOKUP(E570,lookup_table!A:A,lookup_table!B:B, "N/A")</f>
        <v>Limpopo</v>
      </c>
      <c r="H570" t="str">
        <f t="shared" si="8"/>
        <v>Mismatch</v>
      </c>
      <c r="I570">
        <v>49</v>
      </c>
      <c r="J570" t="s">
        <v>120</v>
      </c>
      <c r="K570" t="s">
        <v>27</v>
      </c>
      <c r="L570" s="9">
        <v>45370</v>
      </c>
    </row>
    <row r="571" spans="1:12">
      <c r="A571" t="s">
        <v>2057</v>
      </c>
      <c r="B571" t="s">
        <v>2058</v>
      </c>
      <c r="C571" t="s">
        <v>2059</v>
      </c>
      <c r="D571" t="s">
        <v>2060</v>
      </c>
      <c r="E571" t="s">
        <v>70</v>
      </c>
      <c r="F571" t="s">
        <v>65</v>
      </c>
      <c r="G571" t="str">
        <f>_xlfn.XLOOKUP(E571,lookup_table!A:A,lookup_table!B:B, "N/A")</f>
        <v>Eastern Cape</v>
      </c>
      <c r="H571" t="str">
        <f t="shared" si="8"/>
        <v>Mismatch</v>
      </c>
      <c r="I571">
        <v>35</v>
      </c>
      <c r="J571" t="s">
        <v>66</v>
      </c>
      <c r="K571" t="s">
        <v>33</v>
      </c>
      <c r="L571" s="9">
        <v>45327</v>
      </c>
    </row>
    <row r="572" spans="1:12">
      <c r="A572" t="s">
        <v>2061</v>
      </c>
      <c r="B572" t="s">
        <v>2062</v>
      </c>
      <c r="C572" t="s">
        <v>326</v>
      </c>
      <c r="D572" t="s">
        <v>23</v>
      </c>
      <c r="E572" t="s">
        <v>111</v>
      </c>
      <c r="F572" t="s">
        <v>79</v>
      </c>
      <c r="G572" t="str">
        <f>_xlfn.XLOOKUP(E572,lookup_table!A:A,lookup_table!B:B, "N/A")</f>
        <v>Gauteng</v>
      </c>
      <c r="H572" t="str">
        <f t="shared" si="8"/>
        <v>Mismatch</v>
      </c>
      <c r="I572">
        <v>28</v>
      </c>
      <c r="J572" t="s">
        <v>18</v>
      </c>
      <c r="K572" t="s">
        <v>19</v>
      </c>
      <c r="L572" s="9">
        <v>45402</v>
      </c>
    </row>
    <row r="573" spans="1:12">
      <c r="A573" t="s">
        <v>2063</v>
      </c>
      <c r="B573" t="s">
        <v>2064</v>
      </c>
      <c r="C573" t="s">
        <v>2065</v>
      </c>
      <c r="D573" t="s">
        <v>23</v>
      </c>
      <c r="E573" t="s">
        <v>53</v>
      </c>
      <c r="F573" t="s">
        <v>89</v>
      </c>
      <c r="G573" t="str">
        <f>_xlfn.XLOOKUP(E573,lookup_table!A:A,lookup_table!B:B, "N/A")</f>
        <v>Mpumalanga</v>
      </c>
      <c r="H573" t="str">
        <f t="shared" si="8"/>
        <v>Mismatch</v>
      </c>
      <c r="I573">
        <v>35</v>
      </c>
      <c r="J573" t="s">
        <v>66</v>
      </c>
      <c r="K573" t="s">
        <v>27</v>
      </c>
      <c r="L573" s="9">
        <v>45321</v>
      </c>
    </row>
    <row r="574" spans="1:12">
      <c r="A574" t="s">
        <v>2066</v>
      </c>
      <c r="B574" t="s">
        <v>2067</v>
      </c>
      <c r="C574" t="s">
        <v>2068</v>
      </c>
      <c r="D574" t="s">
        <v>23</v>
      </c>
      <c r="E574" t="s">
        <v>16</v>
      </c>
      <c r="F574" t="s">
        <v>180</v>
      </c>
      <c r="G574" t="str">
        <f>_xlfn.XLOOKUP(E574,lookup_table!A:A,lookup_table!B:B, "N/A")</f>
        <v>Gauteng</v>
      </c>
      <c r="H574" t="str">
        <f t="shared" si="8"/>
        <v>Mismatch</v>
      </c>
      <c r="I574">
        <v>22</v>
      </c>
      <c r="J574" t="s">
        <v>26</v>
      </c>
      <c r="K574" t="s">
        <v>23</v>
      </c>
      <c r="L574" s="9">
        <v>45369</v>
      </c>
    </row>
    <row r="575" spans="1:12">
      <c r="A575" t="s">
        <v>2069</v>
      </c>
      <c r="B575" t="s">
        <v>2070</v>
      </c>
      <c r="C575" t="s">
        <v>2071</v>
      </c>
      <c r="D575" t="s">
        <v>2072</v>
      </c>
      <c r="E575" t="s">
        <v>53</v>
      </c>
      <c r="F575" t="s">
        <v>54</v>
      </c>
      <c r="G575" t="str">
        <f>_xlfn.XLOOKUP(E575,lookup_table!A:A,lookup_table!B:B, "N/A")</f>
        <v>Mpumalanga</v>
      </c>
      <c r="H575" t="str">
        <f t="shared" si="8"/>
        <v>Mismatch</v>
      </c>
      <c r="I575" t="s">
        <v>39</v>
      </c>
      <c r="J575" t="s">
        <v>18</v>
      </c>
      <c r="K575" t="s">
        <v>19</v>
      </c>
      <c r="L575" s="9">
        <v>45397</v>
      </c>
    </row>
    <row r="576" spans="1:12">
      <c r="A576" t="s">
        <v>2073</v>
      </c>
      <c r="B576" t="s">
        <v>2074</v>
      </c>
      <c r="C576" t="s">
        <v>2075</v>
      </c>
      <c r="D576" t="s">
        <v>2076</v>
      </c>
      <c r="E576" t="s">
        <v>38</v>
      </c>
      <c r="G576" t="str">
        <f>_xlfn.XLOOKUP(E576,lookup_table!A:A,lookup_table!B:B, "N/A")</f>
        <v>Western Cape</v>
      </c>
      <c r="H576" t="str">
        <f t="shared" si="8"/>
        <v>Mismatch</v>
      </c>
      <c r="I576">
        <v>28</v>
      </c>
      <c r="J576" t="s">
        <v>66</v>
      </c>
      <c r="K576" t="s">
        <v>60</v>
      </c>
      <c r="L576" s="9">
        <v>45865</v>
      </c>
    </row>
    <row r="577" spans="1:12">
      <c r="A577" t="s">
        <v>2077</v>
      </c>
      <c r="B577" t="s">
        <v>2078</v>
      </c>
      <c r="C577" t="s">
        <v>23</v>
      </c>
      <c r="D577" t="s">
        <v>2079</v>
      </c>
      <c r="E577" t="s">
        <v>53</v>
      </c>
      <c r="G577" t="str">
        <f>_xlfn.XLOOKUP(E577,lookup_table!A:A,lookup_table!B:B, "N/A")</f>
        <v>Mpumalanga</v>
      </c>
      <c r="H577" t="str">
        <f t="shared" si="8"/>
        <v>Mismatch</v>
      </c>
      <c r="I577">
        <v>24</v>
      </c>
      <c r="J577" t="s">
        <v>26</v>
      </c>
      <c r="K577" t="s">
        <v>106</v>
      </c>
      <c r="L577" s="9">
        <v>46328</v>
      </c>
    </row>
    <row r="578" spans="1:12">
      <c r="A578" t="s">
        <v>2080</v>
      </c>
      <c r="B578" t="s">
        <v>2081</v>
      </c>
      <c r="C578" t="s">
        <v>2082</v>
      </c>
      <c r="D578" t="s">
        <v>2083</v>
      </c>
      <c r="E578" t="s">
        <v>70</v>
      </c>
      <c r="F578" t="s">
        <v>50</v>
      </c>
      <c r="G578" t="str">
        <f>_xlfn.XLOOKUP(E578,lookup_table!A:A,lookup_table!B:B, "N/A")</f>
        <v>Eastern Cape</v>
      </c>
      <c r="H578" t="str">
        <f t="shared" si="8"/>
        <v>Mismatch</v>
      </c>
      <c r="I578">
        <v>33</v>
      </c>
      <c r="J578" t="s">
        <v>18</v>
      </c>
      <c r="K578" t="s">
        <v>84</v>
      </c>
      <c r="L578" s="9">
        <v>46104</v>
      </c>
    </row>
    <row r="579" spans="1:12">
      <c r="A579" t="s">
        <v>2084</v>
      </c>
      <c r="B579" t="s">
        <v>2085</v>
      </c>
      <c r="C579" t="s">
        <v>2086</v>
      </c>
      <c r="D579" t="s">
        <v>23</v>
      </c>
      <c r="E579" t="s">
        <v>38</v>
      </c>
      <c r="F579" t="s">
        <v>65</v>
      </c>
      <c r="G579" t="str">
        <f>_xlfn.XLOOKUP(E579,lookup_table!A:A,lookup_table!B:B, "N/A")</f>
        <v>Western Cape</v>
      </c>
      <c r="H579" t="str">
        <f t="shared" ref="H579:H601" si="9">IF(F579=G579, "Match", "Mismatch")</f>
        <v>Mismatch</v>
      </c>
      <c r="I579">
        <v>35</v>
      </c>
      <c r="J579" t="s">
        <v>18</v>
      </c>
      <c r="K579" t="s">
        <v>60</v>
      </c>
      <c r="L579" s="9">
        <v>46130</v>
      </c>
    </row>
    <row r="580" spans="1:12">
      <c r="A580" t="s">
        <v>2087</v>
      </c>
      <c r="B580" t="s">
        <v>2088</v>
      </c>
      <c r="C580" t="s">
        <v>2089</v>
      </c>
      <c r="D580" t="s">
        <v>2090</v>
      </c>
      <c r="E580" t="s">
        <v>38</v>
      </c>
      <c r="F580" t="s">
        <v>89</v>
      </c>
      <c r="G580" t="str">
        <f>_xlfn.XLOOKUP(E580,lookup_table!A:A,lookup_table!B:B, "N/A")</f>
        <v>Western Cape</v>
      </c>
      <c r="H580" t="str">
        <f t="shared" si="9"/>
        <v>Match</v>
      </c>
      <c r="I580">
        <v>20</v>
      </c>
      <c r="J580" t="s">
        <v>26</v>
      </c>
      <c r="K580" t="s">
        <v>60</v>
      </c>
      <c r="L580" s="9">
        <v>45190</v>
      </c>
    </row>
    <row r="581" spans="1:12">
      <c r="A581" t="s">
        <v>2091</v>
      </c>
      <c r="B581" t="s">
        <v>2092</v>
      </c>
      <c r="C581" t="s">
        <v>2093</v>
      </c>
      <c r="D581" t="s">
        <v>23</v>
      </c>
      <c r="E581" t="s">
        <v>38</v>
      </c>
      <c r="F581" t="s">
        <v>17</v>
      </c>
      <c r="G581" t="str">
        <f>_xlfn.XLOOKUP(E581,lookup_table!A:A,lookup_table!B:B, "N/A")</f>
        <v>Western Cape</v>
      </c>
      <c r="H581" t="str">
        <f t="shared" si="9"/>
        <v>Mismatch</v>
      </c>
      <c r="I581" t="s">
        <v>39</v>
      </c>
      <c r="J581" t="s">
        <v>26</v>
      </c>
      <c r="K581" t="s">
        <v>60</v>
      </c>
      <c r="L581" s="9">
        <v>45773</v>
      </c>
    </row>
    <row r="582" spans="1:12">
      <c r="A582" t="s">
        <v>2094</v>
      </c>
      <c r="B582" t="s">
        <v>2095</v>
      </c>
      <c r="C582" t="s">
        <v>23</v>
      </c>
      <c r="D582" t="s">
        <v>2096</v>
      </c>
      <c r="E582" t="s">
        <v>53</v>
      </c>
      <c r="F582" t="s">
        <v>25</v>
      </c>
      <c r="G582" t="str">
        <f>_xlfn.XLOOKUP(E582,lookup_table!A:A,lookup_table!B:B, "N/A")</f>
        <v>Mpumalanga</v>
      </c>
      <c r="H582" t="str">
        <f t="shared" si="9"/>
        <v>Mismatch</v>
      </c>
      <c r="I582" t="s">
        <v>39</v>
      </c>
      <c r="J582" t="s">
        <v>26</v>
      </c>
      <c r="K582" t="s">
        <v>19</v>
      </c>
      <c r="L582" s="9">
        <v>45180</v>
      </c>
    </row>
    <row r="583" spans="1:12">
      <c r="A583" t="s">
        <v>2097</v>
      </c>
      <c r="B583" t="s">
        <v>2098</v>
      </c>
      <c r="C583" t="s">
        <v>2099</v>
      </c>
      <c r="D583" t="s">
        <v>2100</v>
      </c>
      <c r="E583" t="s">
        <v>78</v>
      </c>
      <c r="F583" t="s">
        <v>180</v>
      </c>
      <c r="G583" t="str">
        <f>_xlfn.XLOOKUP(E583,lookup_table!A:A,lookup_table!B:B, "N/A")</f>
        <v>Northern Cape</v>
      </c>
      <c r="H583" t="str">
        <f t="shared" si="9"/>
        <v>Mismatch</v>
      </c>
      <c r="I583">
        <v>36</v>
      </c>
      <c r="J583" t="s">
        <v>23</v>
      </c>
      <c r="K583" t="s">
        <v>27</v>
      </c>
      <c r="L583" s="9">
        <v>45356</v>
      </c>
    </row>
    <row r="584" spans="1:12">
      <c r="A584" t="s">
        <v>2101</v>
      </c>
      <c r="B584" t="s">
        <v>2102</v>
      </c>
      <c r="C584" t="s">
        <v>2103</v>
      </c>
      <c r="D584" t="s">
        <v>23</v>
      </c>
      <c r="E584" t="s">
        <v>16</v>
      </c>
      <c r="F584" t="s">
        <v>17</v>
      </c>
      <c r="G584" t="str">
        <f>_xlfn.XLOOKUP(E584,lookup_table!A:A,lookup_table!B:B, "N/A")</f>
        <v>Gauteng</v>
      </c>
      <c r="H584" t="str">
        <f t="shared" si="9"/>
        <v>Mismatch</v>
      </c>
      <c r="I584">
        <v>23</v>
      </c>
      <c r="J584" t="s">
        <v>26</v>
      </c>
      <c r="K584" t="s">
        <v>84</v>
      </c>
      <c r="L584" s="9">
        <v>45161</v>
      </c>
    </row>
    <row r="585" spans="1:12">
      <c r="A585" t="s">
        <v>2104</v>
      </c>
      <c r="B585" t="s">
        <v>2105</v>
      </c>
      <c r="C585" t="s">
        <v>2106</v>
      </c>
      <c r="D585" t="s">
        <v>2107</v>
      </c>
      <c r="E585" t="s">
        <v>32</v>
      </c>
      <c r="F585" t="s">
        <v>89</v>
      </c>
      <c r="G585" t="str">
        <f>_xlfn.XLOOKUP(E585,lookup_table!A:A,lookup_table!B:B, "N/A")</f>
        <v>KwaZulu-Natal</v>
      </c>
      <c r="H585" t="str">
        <f t="shared" si="9"/>
        <v>Mismatch</v>
      </c>
      <c r="I585">
        <v>44</v>
      </c>
      <c r="J585" t="s">
        <v>18</v>
      </c>
      <c r="K585" t="s">
        <v>19</v>
      </c>
      <c r="L585" s="9">
        <v>45422</v>
      </c>
    </row>
    <row r="586" spans="1:12">
      <c r="A586" t="s">
        <v>2108</v>
      </c>
      <c r="B586" t="s">
        <v>2109</v>
      </c>
      <c r="C586" t="s">
        <v>23</v>
      </c>
      <c r="D586" t="s">
        <v>2110</v>
      </c>
      <c r="E586" t="s">
        <v>16</v>
      </c>
      <c r="G586" t="str">
        <f>_xlfn.XLOOKUP(E586,lookup_table!A:A,lookup_table!B:B, "N/A")</f>
        <v>Gauteng</v>
      </c>
      <c r="H586" t="str">
        <f t="shared" si="9"/>
        <v>Mismatch</v>
      </c>
      <c r="I586">
        <v>31</v>
      </c>
      <c r="J586" t="s">
        <v>18</v>
      </c>
      <c r="K586" t="s">
        <v>33</v>
      </c>
      <c r="L586" s="9">
        <v>45508</v>
      </c>
    </row>
    <row r="587" spans="1:12">
      <c r="A587" t="s">
        <v>2111</v>
      </c>
      <c r="B587" t="s">
        <v>2112</v>
      </c>
      <c r="C587" t="s">
        <v>23</v>
      </c>
      <c r="D587" t="s">
        <v>23</v>
      </c>
      <c r="E587" t="s">
        <v>149</v>
      </c>
      <c r="F587" t="s">
        <v>89</v>
      </c>
      <c r="G587" t="str">
        <f>_xlfn.XLOOKUP(E587,lookup_table!A:A,lookup_table!B:B, "N/A")</f>
        <v>Free State</v>
      </c>
      <c r="H587" t="str">
        <f t="shared" si="9"/>
        <v>Mismatch</v>
      </c>
      <c r="I587">
        <v>20</v>
      </c>
      <c r="J587" t="s">
        <v>66</v>
      </c>
      <c r="K587" t="s">
        <v>33</v>
      </c>
      <c r="L587" s="9">
        <v>46066</v>
      </c>
    </row>
    <row r="588" spans="1:12">
      <c r="A588" t="s">
        <v>2113</v>
      </c>
      <c r="B588" t="s">
        <v>2114</v>
      </c>
      <c r="C588" t="s">
        <v>2115</v>
      </c>
      <c r="D588" t="s">
        <v>23</v>
      </c>
      <c r="E588" t="s">
        <v>16</v>
      </c>
      <c r="F588" t="s">
        <v>79</v>
      </c>
      <c r="G588" t="str">
        <f>_xlfn.XLOOKUP(E588,lookup_table!A:A,lookup_table!B:B, "N/A")</f>
        <v>Gauteng</v>
      </c>
      <c r="H588" t="str">
        <f t="shared" si="9"/>
        <v>Mismatch</v>
      </c>
      <c r="I588">
        <v>28</v>
      </c>
      <c r="J588" t="s">
        <v>18</v>
      </c>
      <c r="K588" t="s">
        <v>55</v>
      </c>
      <c r="L588" s="9">
        <v>45228</v>
      </c>
    </row>
    <row r="589" spans="1:12">
      <c r="A589" t="s">
        <v>2116</v>
      </c>
      <c r="B589" t="s">
        <v>2117</v>
      </c>
      <c r="C589" t="s">
        <v>23</v>
      </c>
      <c r="D589" t="s">
        <v>2118</v>
      </c>
      <c r="E589" t="s">
        <v>149</v>
      </c>
      <c r="F589" t="s">
        <v>50</v>
      </c>
      <c r="G589" t="str">
        <f>_xlfn.XLOOKUP(E589,lookup_table!A:A,lookup_table!B:B, "N/A")</f>
        <v>Free State</v>
      </c>
      <c r="H589" t="str">
        <f t="shared" si="9"/>
        <v>Mismatch</v>
      </c>
      <c r="I589">
        <v>43</v>
      </c>
      <c r="J589" t="s">
        <v>18</v>
      </c>
      <c r="K589" t="s">
        <v>27</v>
      </c>
      <c r="L589" s="9">
        <v>45475</v>
      </c>
    </row>
    <row r="590" spans="1:12">
      <c r="A590" t="s">
        <v>2119</v>
      </c>
      <c r="B590" t="s">
        <v>2120</v>
      </c>
      <c r="C590" t="s">
        <v>23</v>
      </c>
      <c r="D590" t="s">
        <v>2121</v>
      </c>
      <c r="E590" t="s">
        <v>16</v>
      </c>
      <c r="F590" t="s">
        <v>25</v>
      </c>
      <c r="G590" t="str">
        <f>_xlfn.XLOOKUP(E590,lookup_table!A:A,lookup_table!B:B, "N/A")</f>
        <v>Gauteng</v>
      </c>
      <c r="H590" t="str">
        <f t="shared" si="9"/>
        <v>Mismatch</v>
      </c>
      <c r="I590" t="s">
        <v>39</v>
      </c>
      <c r="J590" t="s">
        <v>23</v>
      </c>
      <c r="K590" t="s">
        <v>33</v>
      </c>
      <c r="L590" s="9">
        <v>45369</v>
      </c>
    </row>
    <row r="591" spans="1:12">
      <c r="A591" t="s">
        <v>2122</v>
      </c>
      <c r="B591" t="s">
        <v>2123</v>
      </c>
      <c r="C591" t="s">
        <v>2124</v>
      </c>
      <c r="D591" t="s">
        <v>2125</v>
      </c>
      <c r="E591" t="s">
        <v>16</v>
      </c>
      <c r="F591" t="s">
        <v>50</v>
      </c>
      <c r="G591" t="str">
        <f>_xlfn.XLOOKUP(E591,lookup_table!A:A,lookup_table!B:B, "N/A")</f>
        <v>Gauteng</v>
      </c>
      <c r="H591" t="str">
        <f t="shared" si="9"/>
        <v>Mismatch</v>
      </c>
      <c r="I591">
        <v>39</v>
      </c>
      <c r="J591" t="s">
        <v>120</v>
      </c>
      <c r="K591" t="s">
        <v>60</v>
      </c>
      <c r="L591" s="9">
        <v>45413</v>
      </c>
    </row>
    <row r="592" spans="1:12">
      <c r="A592" t="s">
        <v>2126</v>
      </c>
      <c r="B592" t="s">
        <v>2127</v>
      </c>
      <c r="C592" t="s">
        <v>23</v>
      </c>
      <c r="D592" t="s">
        <v>2128</v>
      </c>
      <c r="E592" t="s">
        <v>94</v>
      </c>
      <c r="F592" t="s">
        <v>65</v>
      </c>
      <c r="G592" t="str">
        <f>_xlfn.XLOOKUP(E592,lookup_table!A:A,lookup_table!B:B, "N/A")</f>
        <v>Eastern Cape</v>
      </c>
      <c r="H592" t="str">
        <f t="shared" si="9"/>
        <v>Mismatch</v>
      </c>
      <c r="I592">
        <v>23</v>
      </c>
      <c r="J592" t="s">
        <v>26</v>
      </c>
      <c r="K592" t="s">
        <v>60</v>
      </c>
      <c r="L592" s="9">
        <v>46045</v>
      </c>
    </row>
    <row r="593" spans="1:12">
      <c r="A593" t="s">
        <v>2129</v>
      </c>
      <c r="B593" t="s">
        <v>2130</v>
      </c>
      <c r="C593" t="s">
        <v>23</v>
      </c>
      <c r="D593" t="s">
        <v>2131</v>
      </c>
      <c r="E593" t="s">
        <v>16</v>
      </c>
      <c r="G593" t="str">
        <f>_xlfn.XLOOKUP(E593,lookup_table!A:A,lookup_table!B:B, "N/A")</f>
        <v>Gauteng</v>
      </c>
      <c r="H593" t="str">
        <f t="shared" si="9"/>
        <v>Mismatch</v>
      </c>
      <c r="I593" t="s">
        <v>39</v>
      </c>
      <c r="J593" t="s">
        <v>66</v>
      </c>
      <c r="K593" t="s">
        <v>55</v>
      </c>
      <c r="L593" s="9">
        <v>45218</v>
      </c>
    </row>
    <row r="594" spans="1:12">
      <c r="A594" t="s">
        <v>2132</v>
      </c>
      <c r="B594" t="s">
        <v>2133</v>
      </c>
      <c r="C594" t="s">
        <v>23</v>
      </c>
      <c r="D594" t="s">
        <v>2134</v>
      </c>
      <c r="E594" t="s">
        <v>94</v>
      </c>
      <c r="F594" t="s">
        <v>50</v>
      </c>
      <c r="G594" t="str">
        <f>_xlfn.XLOOKUP(E594,lookup_table!A:A,lookup_table!B:B, "N/A")</f>
        <v>Eastern Cape</v>
      </c>
      <c r="H594" t="str">
        <f t="shared" si="9"/>
        <v>Mismatch</v>
      </c>
      <c r="I594">
        <v>40</v>
      </c>
      <c r="J594" t="s">
        <v>26</v>
      </c>
      <c r="K594" t="s">
        <v>19</v>
      </c>
      <c r="L594" s="9">
        <v>45615</v>
      </c>
    </row>
    <row r="595" spans="1:12">
      <c r="A595" t="s">
        <v>2135</v>
      </c>
      <c r="B595" t="s">
        <v>2136</v>
      </c>
      <c r="C595" t="s">
        <v>2137</v>
      </c>
      <c r="D595" t="s">
        <v>2138</v>
      </c>
      <c r="E595" t="s">
        <v>32</v>
      </c>
      <c r="F595" t="s">
        <v>25</v>
      </c>
      <c r="G595" t="str">
        <f>_xlfn.XLOOKUP(E595,lookup_table!A:A,lookup_table!B:B, "N/A")</f>
        <v>KwaZulu-Natal</v>
      </c>
      <c r="H595" t="str">
        <f t="shared" si="9"/>
        <v>Mismatch</v>
      </c>
      <c r="I595">
        <v>53</v>
      </c>
      <c r="J595" t="s">
        <v>26</v>
      </c>
      <c r="K595" t="s">
        <v>106</v>
      </c>
      <c r="L595" s="9">
        <v>45493</v>
      </c>
    </row>
    <row r="596" spans="1:12">
      <c r="A596" t="s">
        <v>2139</v>
      </c>
      <c r="B596" t="s">
        <v>2140</v>
      </c>
      <c r="C596" t="s">
        <v>2141</v>
      </c>
      <c r="D596" t="s">
        <v>2142</v>
      </c>
      <c r="E596" t="s">
        <v>16</v>
      </c>
      <c r="F596" t="s">
        <v>25</v>
      </c>
      <c r="G596" t="str">
        <f>_xlfn.XLOOKUP(E596,lookup_table!A:A,lookup_table!B:B, "N/A")</f>
        <v>Gauteng</v>
      </c>
      <c r="H596" t="str">
        <f t="shared" si="9"/>
        <v>Mismatch</v>
      </c>
      <c r="I596">
        <v>26</v>
      </c>
      <c r="J596" t="s">
        <v>120</v>
      </c>
      <c r="K596" t="s">
        <v>23</v>
      </c>
      <c r="L596" s="9">
        <v>45229</v>
      </c>
    </row>
    <row r="597" spans="1:12">
      <c r="A597" t="s">
        <v>2143</v>
      </c>
      <c r="B597" t="s">
        <v>2144</v>
      </c>
      <c r="C597" t="s">
        <v>2145</v>
      </c>
      <c r="D597" t="s">
        <v>2146</v>
      </c>
      <c r="E597" t="s">
        <v>32</v>
      </c>
      <c r="F597" t="s">
        <v>50</v>
      </c>
      <c r="G597" t="str">
        <f>_xlfn.XLOOKUP(E597,lookup_table!A:A,lookup_table!B:B, "N/A")</f>
        <v>KwaZulu-Natal</v>
      </c>
      <c r="H597" t="str">
        <f t="shared" si="9"/>
        <v>Match</v>
      </c>
      <c r="I597">
        <v>23</v>
      </c>
      <c r="J597" t="s">
        <v>18</v>
      </c>
      <c r="K597" t="s">
        <v>60</v>
      </c>
      <c r="L597" s="9">
        <v>45149</v>
      </c>
    </row>
    <row r="598" spans="1:12">
      <c r="A598" t="s">
        <v>2147</v>
      </c>
      <c r="B598" t="s">
        <v>2148</v>
      </c>
      <c r="C598" t="s">
        <v>2149</v>
      </c>
      <c r="D598" t="s">
        <v>2150</v>
      </c>
      <c r="E598" t="s">
        <v>94</v>
      </c>
      <c r="F598" t="s">
        <v>180</v>
      </c>
      <c r="G598" t="str">
        <f>_xlfn.XLOOKUP(E598,lookup_table!A:A,lookup_table!B:B, "N/A")</f>
        <v>Eastern Cape</v>
      </c>
      <c r="H598" t="str">
        <f t="shared" si="9"/>
        <v>Mismatch</v>
      </c>
      <c r="I598">
        <v>55</v>
      </c>
      <c r="J598" t="s">
        <v>26</v>
      </c>
      <c r="K598" t="s">
        <v>33</v>
      </c>
      <c r="L598" s="9">
        <v>45964</v>
      </c>
    </row>
    <row r="599" spans="1:12">
      <c r="A599" t="s">
        <v>2151</v>
      </c>
      <c r="B599" t="s">
        <v>2152</v>
      </c>
      <c r="C599" t="s">
        <v>2153</v>
      </c>
      <c r="D599" t="s">
        <v>2154</v>
      </c>
      <c r="E599" t="s">
        <v>78</v>
      </c>
      <c r="F599" t="s">
        <v>79</v>
      </c>
      <c r="G599" t="str">
        <f>_xlfn.XLOOKUP(E599,lookup_table!A:A,lookup_table!B:B, "N/A")</f>
        <v>Northern Cape</v>
      </c>
      <c r="H599" t="str">
        <f t="shared" si="9"/>
        <v>Match</v>
      </c>
      <c r="I599">
        <v>16</v>
      </c>
      <c r="J599" t="s">
        <v>18</v>
      </c>
      <c r="K599" t="s">
        <v>27</v>
      </c>
      <c r="L599" s="9">
        <v>45279</v>
      </c>
    </row>
    <row r="600" spans="1:12">
      <c r="A600" t="s">
        <v>2155</v>
      </c>
      <c r="B600" t="s">
        <v>2156</v>
      </c>
      <c r="C600" t="s">
        <v>2157</v>
      </c>
      <c r="D600" t="s">
        <v>2158</v>
      </c>
      <c r="E600" t="s">
        <v>53</v>
      </c>
      <c r="F600" t="s">
        <v>180</v>
      </c>
      <c r="G600" t="str">
        <f>_xlfn.XLOOKUP(E600,lookup_table!A:A,lookup_table!B:B, "N/A")</f>
        <v>Mpumalanga</v>
      </c>
      <c r="H600" t="str">
        <f t="shared" si="9"/>
        <v>Match</v>
      </c>
      <c r="I600" t="s">
        <v>39</v>
      </c>
      <c r="J600" t="s">
        <v>18</v>
      </c>
      <c r="K600" t="s">
        <v>60</v>
      </c>
      <c r="L600" s="9">
        <v>46061</v>
      </c>
    </row>
    <row r="601" spans="1:12">
      <c r="A601" t="s">
        <v>2159</v>
      </c>
      <c r="B601" t="s">
        <v>2160</v>
      </c>
      <c r="C601" t="s">
        <v>1761</v>
      </c>
      <c r="D601" t="s">
        <v>2161</v>
      </c>
      <c r="E601" t="s">
        <v>38</v>
      </c>
      <c r="F601" t="s">
        <v>180</v>
      </c>
      <c r="G601" t="str">
        <f>_xlfn.XLOOKUP(E601,lookup_table!A:A,lookup_table!B:B, "N/A")</f>
        <v>Western Cape</v>
      </c>
      <c r="H601" t="str">
        <f t="shared" si="9"/>
        <v>Mismatch</v>
      </c>
      <c r="I601" t="s">
        <v>39</v>
      </c>
      <c r="J601" t="s">
        <v>18</v>
      </c>
      <c r="K601" t="s">
        <v>60</v>
      </c>
      <c r="L601" s="9">
        <v>45507</v>
      </c>
    </row>
  </sheetData>
  <autoFilter ref="A1:L601" xr:uid="{00000000-0009-0000-0000-000001000000}"/>
  <hyperlinks>
    <hyperlink ref="C10" r:id="rId1" xr:uid="{842FDCD2-E922-47ED-89DB-4AFD977ED31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2618-1B67-4233-BC57-AE74AFB6C169}">
  <dimension ref="A1:B11"/>
  <sheetViews>
    <sheetView topLeftCell="A2" workbookViewId="0">
      <selection activeCell="E4" sqref="E4:I23"/>
    </sheetView>
  </sheetViews>
  <sheetFormatPr defaultRowHeight="15"/>
  <cols>
    <col min="1" max="1" width="13" bestFit="1" customWidth="1"/>
    <col min="2" max="2" width="13.7109375" bestFit="1" customWidth="1"/>
    <col min="6" max="6" width="20" bestFit="1" customWidth="1"/>
    <col min="7" max="7" width="21.5703125" bestFit="1" customWidth="1"/>
  </cols>
  <sheetData>
    <row r="1" spans="1:2">
      <c r="A1" s="3" t="s">
        <v>4</v>
      </c>
      <c r="B1" s="3" t="s">
        <v>5</v>
      </c>
    </row>
    <row r="2" spans="1:2">
      <c r="A2" t="s">
        <v>16</v>
      </c>
      <c r="B2" t="s">
        <v>65</v>
      </c>
    </row>
    <row r="3" spans="1:2">
      <c r="A3" t="s">
        <v>111</v>
      </c>
      <c r="B3" t="s">
        <v>65</v>
      </c>
    </row>
    <row r="4" spans="1:2">
      <c r="A4" t="s">
        <v>38</v>
      </c>
      <c r="B4" t="s">
        <v>89</v>
      </c>
    </row>
    <row r="5" spans="1:2">
      <c r="A5" t="s">
        <v>32</v>
      </c>
      <c r="B5" t="s">
        <v>50</v>
      </c>
    </row>
    <row r="6" spans="1:2">
      <c r="A6" t="s">
        <v>70</v>
      </c>
      <c r="B6" t="s">
        <v>17</v>
      </c>
    </row>
    <row r="7" spans="1:2">
      <c r="A7" t="s">
        <v>149</v>
      </c>
      <c r="B7" t="s">
        <v>25</v>
      </c>
    </row>
    <row r="8" spans="1:2">
      <c r="A8" t="s">
        <v>24</v>
      </c>
      <c r="B8" t="s">
        <v>154</v>
      </c>
    </row>
    <row r="9" spans="1:2">
      <c r="A9" t="s">
        <v>78</v>
      </c>
      <c r="B9" t="s">
        <v>79</v>
      </c>
    </row>
    <row r="10" spans="1:2">
      <c r="A10" t="s">
        <v>94</v>
      </c>
      <c r="B10" t="s">
        <v>17</v>
      </c>
    </row>
    <row r="11" spans="1:2">
      <c r="A11" t="s">
        <v>53</v>
      </c>
      <c r="B11" t="s">
        <v>180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7B1D-9BF6-4BF0-B522-DAA46B6D77A9}">
  <dimension ref="A1:N6"/>
  <sheetViews>
    <sheetView topLeftCell="E1" workbookViewId="0">
      <selection activeCell="N7" sqref="N7"/>
    </sheetView>
  </sheetViews>
  <sheetFormatPr defaultRowHeight="15"/>
  <cols>
    <col min="1" max="1" width="46" customWidth="1"/>
    <col min="5" max="5" width="36.28515625" bestFit="1" customWidth="1"/>
    <col min="6" max="6" width="10.5703125" bestFit="1" customWidth="1"/>
    <col min="8" max="8" width="45.5703125" customWidth="1"/>
    <col min="12" max="12" width="46.42578125" bestFit="1" customWidth="1"/>
  </cols>
  <sheetData>
    <row r="1" spans="1:14" ht="18.75">
      <c r="A1" s="6" t="s">
        <v>2162</v>
      </c>
      <c r="E1" s="4" t="s">
        <v>2163</v>
      </c>
      <c r="H1" s="8" t="s">
        <v>2164</v>
      </c>
      <c r="L1" s="4" t="s">
        <v>2165</v>
      </c>
    </row>
    <row r="2" spans="1:14">
      <c r="A2" t="s">
        <v>2166</v>
      </c>
      <c r="B2">
        <f>COUNTA(Students!B:B)</f>
        <v>601</v>
      </c>
      <c r="E2" t="s">
        <v>2167</v>
      </c>
      <c r="F2">
        <f>COUNTIF(Students!I:I, "Invalid")</f>
        <v>0</v>
      </c>
      <c r="H2" t="s">
        <v>2168</v>
      </c>
      <c r="I2">
        <f>COUNTA(Students!D:D) - I3</f>
        <v>601</v>
      </c>
      <c r="L2" s="22" t="s">
        <v>2169</v>
      </c>
      <c r="M2">
        <f>COUNTIF(Enrollments!I:I, "Normal")</f>
        <v>2306</v>
      </c>
      <c r="N2" s="23">
        <f>M2/SUM(M2,M3,M4,M5)</f>
        <v>0.65885714285714281</v>
      </c>
    </row>
    <row r="3" spans="1:14">
      <c r="A3" t="s">
        <v>2170</v>
      </c>
      <c r="B3">
        <f>COUNTIF(Students!H:H, "Match")</f>
        <v>71</v>
      </c>
      <c r="E3" t="s">
        <v>2171</v>
      </c>
      <c r="F3">
        <f>COUNTIF(Students!I:I, "Blank")</f>
        <v>0</v>
      </c>
      <c r="H3" t="s">
        <v>2172</v>
      </c>
      <c r="I3">
        <f>COUNTIF(Students!D:D, "Blank")</f>
        <v>0</v>
      </c>
      <c r="L3" t="s">
        <v>2173</v>
      </c>
      <c r="M3">
        <f>COUNTIF(Enrollments!I:I, "Review")</f>
        <v>120</v>
      </c>
      <c r="N3" s="23">
        <f>M3/SUM(M2,M3,M4,M5)</f>
        <v>3.4285714285714287E-2</v>
      </c>
    </row>
    <row r="4" spans="1:14">
      <c r="A4" t="s">
        <v>2174</v>
      </c>
      <c r="B4">
        <f>COUNTIF(Students!H:H, "Mismatch")</f>
        <v>529</v>
      </c>
      <c r="E4" t="s">
        <v>2175</v>
      </c>
      <c r="F4">
        <f>COUNTA(Students!#REF!)- (F3+F2)</f>
        <v>1</v>
      </c>
      <c r="L4" t="s">
        <v>2176</v>
      </c>
      <c r="M4">
        <f>COUNTIF(Enrollments!I:I, "Zero Amount")</f>
        <v>344</v>
      </c>
      <c r="N4" s="23">
        <f>M4/SUM(M2,M3,M4,M5)</f>
        <v>9.8285714285714282E-2</v>
      </c>
    </row>
    <row r="5" spans="1:14">
      <c r="A5" t="s">
        <v>2177</v>
      </c>
      <c r="B5" s="5">
        <f>B3/B2</f>
        <v>0.11813643926788686</v>
      </c>
      <c r="L5" t="s">
        <v>23</v>
      </c>
      <c r="M5">
        <f>COUNTIF(Enrollments!I:I, "Unknown")</f>
        <v>730</v>
      </c>
      <c r="N5" s="23">
        <f>M5/SUM(M2,M3,M4,M5)</f>
        <v>0.20857142857142857</v>
      </c>
    </row>
    <row r="6" spans="1:14">
      <c r="A6" t="s">
        <v>2178</v>
      </c>
      <c r="B6" s="5">
        <f>B4/B2</f>
        <v>0.88019966722129783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pane ySplit="1" topLeftCell="A2" activePane="bottomLeft" state="frozen"/>
      <selection pane="bottomLeft" activeCell="I1" sqref="I1"/>
    </sheetView>
  </sheetViews>
  <sheetFormatPr defaultRowHeight="15"/>
  <cols>
    <col min="1" max="1" width="11" customWidth="1"/>
    <col min="2" max="2" width="32" customWidth="1"/>
    <col min="3" max="3" width="20" customWidth="1"/>
    <col min="4" max="4" width="15" customWidth="1"/>
    <col min="5" max="5" width="11" style="14" customWidth="1"/>
    <col min="6" max="6" width="16" style="14" customWidth="1"/>
    <col min="7" max="8" width="15" customWidth="1"/>
  </cols>
  <sheetData>
    <row r="1" spans="1:8">
      <c r="A1" s="2" t="s">
        <v>2179</v>
      </c>
      <c r="B1" s="1" t="s">
        <v>2180</v>
      </c>
      <c r="C1" s="1" t="s">
        <v>2181</v>
      </c>
      <c r="D1" s="1" t="s">
        <v>2182</v>
      </c>
      <c r="E1" s="13" t="s">
        <v>2183</v>
      </c>
      <c r="F1" s="13" t="s">
        <v>2184</v>
      </c>
      <c r="G1" s="1" t="s">
        <v>2185</v>
      </c>
      <c r="H1" s="1" t="s">
        <v>2186</v>
      </c>
    </row>
    <row r="2" spans="1:8">
      <c r="A2" t="s">
        <v>2187</v>
      </c>
      <c r="B2" t="s">
        <v>2188</v>
      </c>
      <c r="C2" t="s">
        <v>2189</v>
      </c>
      <c r="D2" t="s">
        <v>2190</v>
      </c>
      <c r="E2" s="14">
        <v>799</v>
      </c>
      <c r="F2" s="14">
        <v>8</v>
      </c>
      <c r="G2" t="s">
        <v>2191</v>
      </c>
      <c r="H2" t="s">
        <v>2192</v>
      </c>
    </row>
    <row r="3" spans="1:8">
      <c r="A3" t="s">
        <v>2193</v>
      </c>
      <c r="B3" t="s">
        <v>2194</v>
      </c>
      <c r="C3" t="s">
        <v>2195</v>
      </c>
      <c r="D3" t="s">
        <v>2196</v>
      </c>
      <c r="E3" s="14">
        <v>0</v>
      </c>
      <c r="F3" s="14">
        <v>8</v>
      </c>
      <c r="G3" t="s">
        <v>2197</v>
      </c>
      <c r="H3" t="s">
        <v>23</v>
      </c>
    </row>
    <row r="4" spans="1:8">
      <c r="A4" t="s">
        <v>2198</v>
      </c>
      <c r="B4" t="s">
        <v>2199</v>
      </c>
      <c r="C4" t="s">
        <v>2200</v>
      </c>
      <c r="D4" t="s">
        <v>2190</v>
      </c>
      <c r="F4" s="14">
        <v>4</v>
      </c>
      <c r="G4" t="s">
        <v>2201</v>
      </c>
      <c r="H4" t="s">
        <v>2192</v>
      </c>
    </row>
    <row r="5" spans="1:8">
      <c r="A5" t="s">
        <v>2202</v>
      </c>
      <c r="B5" t="s">
        <v>2203</v>
      </c>
      <c r="C5" t="s">
        <v>2200</v>
      </c>
      <c r="D5" t="s">
        <v>2204</v>
      </c>
      <c r="E5" s="14">
        <v>999.99</v>
      </c>
      <c r="F5" s="14">
        <v>6</v>
      </c>
      <c r="G5" t="s">
        <v>2201</v>
      </c>
      <c r="H5" t="s">
        <v>2192</v>
      </c>
    </row>
    <row r="6" spans="1:8">
      <c r="A6" t="s">
        <v>2205</v>
      </c>
      <c r="B6" t="s">
        <v>2206</v>
      </c>
      <c r="C6" t="s">
        <v>2200</v>
      </c>
      <c r="D6" t="s">
        <v>2204</v>
      </c>
      <c r="E6" s="14">
        <v>1500</v>
      </c>
      <c r="F6" s="14">
        <v>6</v>
      </c>
      <c r="G6" t="s">
        <v>2207</v>
      </c>
      <c r="H6" t="s">
        <v>2208</v>
      </c>
    </row>
    <row r="7" spans="1:8">
      <c r="A7" t="s">
        <v>2209</v>
      </c>
      <c r="B7" t="s">
        <v>2210</v>
      </c>
      <c r="C7" t="s">
        <v>2211</v>
      </c>
      <c r="D7" t="s">
        <v>2204</v>
      </c>
      <c r="E7" s="14">
        <v>499</v>
      </c>
      <c r="F7" s="14">
        <v>6</v>
      </c>
      <c r="G7" t="s">
        <v>2212</v>
      </c>
      <c r="H7" t="s">
        <v>2192</v>
      </c>
    </row>
    <row r="8" spans="1:8">
      <c r="A8" t="s">
        <v>2213</v>
      </c>
      <c r="B8" t="s">
        <v>2214</v>
      </c>
      <c r="C8" t="s">
        <v>2189</v>
      </c>
      <c r="D8" t="s">
        <v>2190</v>
      </c>
      <c r="E8" s="14">
        <v>1500</v>
      </c>
      <c r="G8" t="s">
        <v>2215</v>
      </c>
      <c r="H8" t="s">
        <v>2208</v>
      </c>
    </row>
    <row r="9" spans="1:8">
      <c r="A9" t="s">
        <v>2216</v>
      </c>
      <c r="B9" t="s">
        <v>2217</v>
      </c>
      <c r="C9" t="s">
        <v>2189</v>
      </c>
      <c r="D9" t="s">
        <v>2204</v>
      </c>
      <c r="E9" s="14">
        <v>1200</v>
      </c>
      <c r="F9" s="14">
        <v>12</v>
      </c>
      <c r="G9" t="s">
        <v>2191</v>
      </c>
      <c r="H9" t="s">
        <v>2192</v>
      </c>
    </row>
    <row r="10" spans="1:8">
      <c r="A10" t="s">
        <v>2218</v>
      </c>
      <c r="B10" t="s">
        <v>2219</v>
      </c>
      <c r="C10" t="s">
        <v>2220</v>
      </c>
      <c r="D10" t="s">
        <v>2204</v>
      </c>
      <c r="E10" s="14">
        <v>1500</v>
      </c>
      <c r="F10" s="14">
        <v>12</v>
      </c>
      <c r="G10" t="s">
        <v>2221</v>
      </c>
      <c r="H10" t="s">
        <v>2192</v>
      </c>
    </row>
    <row r="11" spans="1:8">
      <c r="A11" t="s">
        <v>2222</v>
      </c>
      <c r="B11" t="s">
        <v>2223</v>
      </c>
      <c r="C11" t="s">
        <v>2224</v>
      </c>
      <c r="D11" t="s">
        <v>2190</v>
      </c>
      <c r="E11" s="14">
        <v>0</v>
      </c>
      <c r="G11" t="s">
        <v>2221</v>
      </c>
      <c r="H11" t="s">
        <v>23</v>
      </c>
    </row>
    <row r="12" spans="1:8">
      <c r="A12" t="s">
        <v>2225</v>
      </c>
      <c r="B12" t="s">
        <v>2226</v>
      </c>
      <c r="C12" t="s">
        <v>2227</v>
      </c>
      <c r="D12" t="s">
        <v>2190</v>
      </c>
      <c r="F12" s="14">
        <v>10</v>
      </c>
      <c r="G12" t="s">
        <v>2215</v>
      </c>
      <c r="H12" t="s">
        <v>2192</v>
      </c>
    </row>
    <row r="13" spans="1:8">
      <c r="A13" t="s">
        <v>2228</v>
      </c>
      <c r="B13" t="s">
        <v>2229</v>
      </c>
      <c r="C13" t="s">
        <v>2220</v>
      </c>
      <c r="D13" t="s">
        <v>2196</v>
      </c>
      <c r="E13" s="14">
        <v>799</v>
      </c>
      <c r="F13" s="14">
        <v>4</v>
      </c>
      <c r="G13" t="s">
        <v>2230</v>
      </c>
      <c r="H13" t="s">
        <v>2192</v>
      </c>
    </row>
    <row r="14" spans="1:8">
      <c r="A14" t="s">
        <v>2231</v>
      </c>
      <c r="B14" t="s">
        <v>2232</v>
      </c>
      <c r="C14" t="s">
        <v>2224</v>
      </c>
      <c r="D14" t="s">
        <v>2196</v>
      </c>
      <c r="E14" s="14">
        <v>3000</v>
      </c>
      <c r="F14" s="14">
        <v>6</v>
      </c>
      <c r="G14" t="s">
        <v>2230</v>
      </c>
      <c r="H14" t="s">
        <v>2192</v>
      </c>
    </row>
    <row r="15" spans="1:8">
      <c r="A15" t="s">
        <v>2233</v>
      </c>
      <c r="B15" t="s">
        <v>2234</v>
      </c>
      <c r="C15" t="s">
        <v>2227</v>
      </c>
      <c r="D15" t="s">
        <v>2204</v>
      </c>
      <c r="E15" s="14">
        <v>2500</v>
      </c>
      <c r="F15" s="14">
        <v>4</v>
      </c>
      <c r="G15" t="s">
        <v>2207</v>
      </c>
      <c r="H15" t="s">
        <v>2192</v>
      </c>
    </row>
    <row r="16" spans="1:8">
      <c r="A16" t="s">
        <v>2235</v>
      </c>
      <c r="B16" t="s">
        <v>2236</v>
      </c>
      <c r="C16" t="s">
        <v>2195</v>
      </c>
      <c r="D16" t="s">
        <v>2196</v>
      </c>
      <c r="E16" s="14">
        <v>3000</v>
      </c>
      <c r="G16" t="s">
        <v>2201</v>
      </c>
      <c r="H16" t="s">
        <v>2192</v>
      </c>
    </row>
    <row r="17" spans="1:8">
      <c r="A17" t="s">
        <v>2237</v>
      </c>
      <c r="B17" t="s">
        <v>2238</v>
      </c>
      <c r="C17" t="s">
        <v>2239</v>
      </c>
      <c r="D17" t="s">
        <v>2204</v>
      </c>
      <c r="E17" s="14">
        <v>1500</v>
      </c>
      <c r="F17" s="14">
        <v>4</v>
      </c>
      <c r="G17" t="s">
        <v>2240</v>
      </c>
      <c r="H17" t="s">
        <v>2208</v>
      </c>
    </row>
    <row r="18" spans="1:8">
      <c r="A18" t="s">
        <v>2241</v>
      </c>
      <c r="B18" t="s">
        <v>2242</v>
      </c>
      <c r="C18" t="s">
        <v>2189</v>
      </c>
      <c r="D18" t="s">
        <v>2196</v>
      </c>
      <c r="E18" s="14">
        <v>2500</v>
      </c>
      <c r="F18" s="14">
        <v>6</v>
      </c>
      <c r="G18" t="s">
        <v>2243</v>
      </c>
      <c r="H18" t="s">
        <v>2192</v>
      </c>
    </row>
    <row r="19" spans="1:8">
      <c r="A19" t="s">
        <v>2244</v>
      </c>
      <c r="B19" t="s">
        <v>2245</v>
      </c>
      <c r="C19" t="s">
        <v>2246</v>
      </c>
      <c r="D19" t="s">
        <v>2196</v>
      </c>
      <c r="E19" s="14">
        <v>1200</v>
      </c>
      <c r="G19" t="s">
        <v>2240</v>
      </c>
      <c r="H19" t="s">
        <v>2192</v>
      </c>
    </row>
    <row r="20" spans="1:8">
      <c r="A20" t="s">
        <v>2247</v>
      </c>
      <c r="B20" t="s">
        <v>2248</v>
      </c>
      <c r="C20" t="s">
        <v>2220</v>
      </c>
      <c r="D20" t="s">
        <v>2204</v>
      </c>
      <c r="G20" t="s">
        <v>2221</v>
      </c>
      <c r="H20" t="s">
        <v>23</v>
      </c>
    </row>
    <row r="21" spans="1:8">
      <c r="A21" t="s">
        <v>2249</v>
      </c>
      <c r="B21" t="s">
        <v>2250</v>
      </c>
      <c r="C21" t="s">
        <v>2224</v>
      </c>
      <c r="D21" t="s">
        <v>2204</v>
      </c>
      <c r="E21" s="14">
        <v>1500</v>
      </c>
      <c r="F21" s="14">
        <v>10</v>
      </c>
      <c r="G21" t="s">
        <v>2240</v>
      </c>
      <c r="H21" t="s">
        <v>2208</v>
      </c>
    </row>
    <row r="22" spans="1:8">
      <c r="A22" t="s">
        <v>2251</v>
      </c>
      <c r="B22" t="s">
        <v>2252</v>
      </c>
      <c r="C22" t="s">
        <v>2227</v>
      </c>
      <c r="D22" t="s">
        <v>2190</v>
      </c>
      <c r="E22" s="14">
        <v>1500</v>
      </c>
      <c r="G22" t="s">
        <v>2230</v>
      </c>
      <c r="H22" t="s">
        <v>2192</v>
      </c>
    </row>
    <row r="23" spans="1:8">
      <c r="A23" t="s">
        <v>2253</v>
      </c>
      <c r="B23" t="s">
        <v>2254</v>
      </c>
      <c r="C23" t="s">
        <v>2255</v>
      </c>
      <c r="D23" t="s">
        <v>2190</v>
      </c>
      <c r="E23" s="14">
        <v>1200</v>
      </c>
      <c r="F23" s="14">
        <v>10</v>
      </c>
      <c r="G23" t="s">
        <v>2256</v>
      </c>
      <c r="H23" t="s">
        <v>2192</v>
      </c>
    </row>
    <row r="24" spans="1:8">
      <c r="A24" t="s">
        <v>2257</v>
      </c>
      <c r="B24" t="s">
        <v>2258</v>
      </c>
      <c r="C24" t="s">
        <v>2189</v>
      </c>
      <c r="D24" t="s">
        <v>2190</v>
      </c>
      <c r="F24" s="14">
        <v>10</v>
      </c>
      <c r="G24" t="s">
        <v>2212</v>
      </c>
      <c r="H24" t="s">
        <v>2208</v>
      </c>
    </row>
    <row r="25" spans="1:8">
      <c r="A25" t="s">
        <v>2259</v>
      </c>
      <c r="B25" t="s">
        <v>2260</v>
      </c>
      <c r="C25" t="s">
        <v>2255</v>
      </c>
      <c r="D25" t="s">
        <v>2190</v>
      </c>
      <c r="E25" s="14">
        <v>0</v>
      </c>
      <c r="F25" s="14">
        <v>4</v>
      </c>
      <c r="G25" t="s">
        <v>2191</v>
      </c>
      <c r="H25" t="s">
        <v>2208</v>
      </c>
    </row>
    <row r="26" spans="1:8">
      <c r="A26" t="s">
        <v>2261</v>
      </c>
      <c r="B26" t="s">
        <v>2262</v>
      </c>
      <c r="C26" t="s">
        <v>2211</v>
      </c>
      <c r="D26" t="s">
        <v>2196</v>
      </c>
      <c r="F26" s="14">
        <v>10</v>
      </c>
      <c r="G26" t="s">
        <v>2263</v>
      </c>
      <c r="H26" t="s">
        <v>23</v>
      </c>
    </row>
    <row r="27" spans="1:8">
      <c r="A27" t="s">
        <v>2264</v>
      </c>
      <c r="B27" t="s">
        <v>2265</v>
      </c>
      <c r="C27" t="s">
        <v>2220</v>
      </c>
      <c r="D27" t="s">
        <v>2196</v>
      </c>
      <c r="E27" s="14">
        <v>2500</v>
      </c>
      <c r="F27" s="14">
        <v>10</v>
      </c>
      <c r="G27" t="s">
        <v>2266</v>
      </c>
      <c r="H27" t="s">
        <v>2208</v>
      </c>
    </row>
    <row r="28" spans="1:8">
      <c r="A28" t="s">
        <v>2267</v>
      </c>
      <c r="B28" t="s">
        <v>2268</v>
      </c>
      <c r="C28" t="s">
        <v>2227</v>
      </c>
      <c r="D28" t="s">
        <v>2196</v>
      </c>
      <c r="E28" s="14">
        <v>999.99</v>
      </c>
      <c r="F28" s="14">
        <v>8</v>
      </c>
      <c r="G28" t="s">
        <v>2230</v>
      </c>
      <c r="H28" t="s">
        <v>2208</v>
      </c>
    </row>
    <row r="29" spans="1:8">
      <c r="A29" t="s">
        <v>2269</v>
      </c>
      <c r="B29" t="s">
        <v>2270</v>
      </c>
      <c r="C29" t="s">
        <v>2220</v>
      </c>
      <c r="D29" t="s">
        <v>2204</v>
      </c>
      <c r="E29" s="14">
        <v>499</v>
      </c>
      <c r="F29" s="14">
        <v>8</v>
      </c>
      <c r="G29" t="s">
        <v>2201</v>
      </c>
      <c r="H29" t="s">
        <v>23</v>
      </c>
    </row>
    <row r="30" spans="1:8">
      <c r="A30" t="s">
        <v>2271</v>
      </c>
      <c r="B30" t="s">
        <v>2272</v>
      </c>
      <c r="C30" t="s">
        <v>2224</v>
      </c>
      <c r="D30" t="s">
        <v>2190</v>
      </c>
      <c r="E30" s="14">
        <v>1200</v>
      </c>
      <c r="F30" s="14">
        <v>10</v>
      </c>
      <c r="G30" t="s">
        <v>2256</v>
      </c>
      <c r="H30" t="s">
        <v>2192</v>
      </c>
    </row>
    <row r="31" spans="1:8">
      <c r="A31" t="s">
        <v>2273</v>
      </c>
      <c r="B31" t="s">
        <v>2274</v>
      </c>
      <c r="C31" t="s">
        <v>2195</v>
      </c>
      <c r="D31" t="s">
        <v>2204</v>
      </c>
      <c r="E31" s="14">
        <v>799</v>
      </c>
      <c r="F31" s="14">
        <v>8</v>
      </c>
      <c r="G31" t="s">
        <v>2215</v>
      </c>
      <c r="H31" t="s">
        <v>2192</v>
      </c>
    </row>
  </sheetData>
  <autoFilter ref="A1:H31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pane ySplit="1" topLeftCell="A2" activePane="bottomLeft" state="frozen"/>
      <selection pane="bottomLeft" activeCell="H7" sqref="H7"/>
    </sheetView>
  </sheetViews>
  <sheetFormatPr defaultRowHeight="15"/>
  <cols>
    <col min="1" max="1" width="15" customWidth="1"/>
    <col min="2" max="3" width="20" customWidth="1"/>
    <col min="4" max="4" width="18" style="14" customWidth="1"/>
    <col min="5" max="5" width="10" style="12" customWidth="1"/>
    <col min="6" max="6" width="13" style="12" bestFit="1" customWidth="1"/>
  </cols>
  <sheetData>
    <row r="1" spans="1:6">
      <c r="A1" s="1" t="s">
        <v>2185</v>
      </c>
      <c r="B1" s="1" t="s">
        <v>1</v>
      </c>
      <c r="C1" s="1" t="s">
        <v>2275</v>
      </c>
      <c r="D1" s="13" t="s">
        <v>2276</v>
      </c>
      <c r="E1" s="11" t="s">
        <v>2277</v>
      </c>
      <c r="F1" s="11" t="s">
        <v>4</v>
      </c>
    </row>
    <row r="2" spans="1:6">
      <c r="A2" t="s">
        <v>2278</v>
      </c>
      <c r="B2" t="s">
        <v>2279</v>
      </c>
      <c r="C2" t="s">
        <v>2211</v>
      </c>
      <c r="D2" s="14">
        <v>15</v>
      </c>
      <c r="E2" s="12">
        <v>4.0999999999999996</v>
      </c>
      <c r="F2" s="12" t="s">
        <v>24</v>
      </c>
    </row>
    <row r="3" spans="1:6">
      <c r="A3" t="s">
        <v>2263</v>
      </c>
      <c r="B3" t="s">
        <v>2280</v>
      </c>
      <c r="C3" t="s">
        <v>2227</v>
      </c>
      <c r="D3" s="14">
        <v>1</v>
      </c>
      <c r="E3" s="12">
        <v>3.5</v>
      </c>
      <c r="F3" s="12" t="s">
        <v>94</v>
      </c>
    </row>
    <row r="4" spans="1:6">
      <c r="A4" t="s">
        <v>2281</v>
      </c>
      <c r="B4" t="s">
        <v>2282</v>
      </c>
      <c r="C4" t="s">
        <v>2220</v>
      </c>
      <c r="D4" s="14">
        <v>3</v>
      </c>
      <c r="E4" s="12">
        <v>3.4</v>
      </c>
      <c r="F4" s="12" t="s">
        <v>16</v>
      </c>
    </row>
    <row r="5" spans="1:6">
      <c r="A5" t="s">
        <v>2215</v>
      </c>
      <c r="B5" t="s">
        <v>2283</v>
      </c>
      <c r="C5" t="s">
        <v>2200</v>
      </c>
      <c r="E5" s="12">
        <v>4.0999999999999996</v>
      </c>
      <c r="F5" s="12" t="s">
        <v>94</v>
      </c>
    </row>
    <row r="6" spans="1:6">
      <c r="A6" t="s">
        <v>2284</v>
      </c>
      <c r="B6" t="s">
        <v>2285</v>
      </c>
      <c r="C6" t="s">
        <v>2189</v>
      </c>
      <c r="D6" s="14">
        <v>10</v>
      </c>
      <c r="F6" s="12" t="s">
        <v>16</v>
      </c>
    </row>
    <row r="7" spans="1:6">
      <c r="A7" t="s">
        <v>2256</v>
      </c>
      <c r="B7" t="s">
        <v>2286</v>
      </c>
      <c r="C7" t="s">
        <v>2200</v>
      </c>
      <c r="D7" s="14">
        <v>2</v>
      </c>
      <c r="E7" s="12">
        <v>4.2</v>
      </c>
      <c r="F7" s="12" t="s">
        <v>70</v>
      </c>
    </row>
    <row r="8" spans="1:6">
      <c r="A8" t="s">
        <v>2287</v>
      </c>
      <c r="B8" t="s">
        <v>2288</v>
      </c>
      <c r="C8" t="s">
        <v>2227</v>
      </c>
      <c r="D8" s="14">
        <v>1</v>
      </c>
      <c r="E8" s="12">
        <v>5</v>
      </c>
      <c r="F8" s="12" t="s">
        <v>53</v>
      </c>
    </row>
    <row r="9" spans="1:6">
      <c r="A9" t="s">
        <v>2289</v>
      </c>
      <c r="B9" t="s">
        <v>2290</v>
      </c>
      <c r="C9" t="s">
        <v>2255</v>
      </c>
      <c r="D9" s="14">
        <v>2</v>
      </c>
      <c r="E9" s="12">
        <v>3</v>
      </c>
      <c r="F9" s="12" t="s">
        <v>53</v>
      </c>
    </row>
    <row r="10" spans="1:6">
      <c r="A10" t="s">
        <v>2291</v>
      </c>
      <c r="B10" t="s">
        <v>2292</v>
      </c>
      <c r="C10" t="s">
        <v>2224</v>
      </c>
      <c r="D10" s="14">
        <v>7</v>
      </c>
      <c r="E10" s="12">
        <v>2.7</v>
      </c>
      <c r="F10" s="12" t="s">
        <v>16</v>
      </c>
    </row>
    <row r="11" spans="1:6">
      <c r="A11" t="s">
        <v>2293</v>
      </c>
      <c r="B11" t="s">
        <v>2294</v>
      </c>
      <c r="C11" t="s">
        <v>2239</v>
      </c>
      <c r="D11" s="14">
        <v>3</v>
      </c>
      <c r="E11" s="12">
        <v>4.3</v>
      </c>
      <c r="F11" s="12" t="s">
        <v>24</v>
      </c>
    </row>
    <row r="12" spans="1:6">
      <c r="A12" t="s">
        <v>2240</v>
      </c>
      <c r="B12" t="s">
        <v>2295</v>
      </c>
      <c r="C12" t="s">
        <v>2239</v>
      </c>
      <c r="F12" s="12" t="s">
        <v>32</v>
      </c>
    </row>
    <row r="13" spans="1:6">
      <c r="A13" t="s">
        <v>2296</v>
      </c>
      <c r="B13" t="s">
        <v>2297</v>
      </c>
      <c r="C13" t="s">
        <v>2220</v>
      </c>
      <c r="D13" s="14">
        <v>2</v>
      </c>
      <c r="E13" s="12">
        <v>3</v>
      </c>
      <c r="F13" s="12" t="s">
        <v>38</v>
      </c>
    </row>
    <row r="14" spans="1:6">
      <c r="A14" t="s">
        <v>2298</v>
      </c>
      <c r="B14" t="s">
        <v>2299</v>
      </c>
      <c r="C14" t="s">
        <v>2200</v>
      </c>
      <c r="D14" s="14">
        <v>3</v>
      </c>
      <c r="E14" s="12">
        <v>4.2</v>
      </c>
      <c r="F14" s="12" t="s">
        <v>38</v>
      </c>
    </row>
    <row r="15" spans="1:6">
      <c r="A15" t="s">
        <v>2207</v>
      </c>
      <c r="B15" t="s">
        <v>2300</v>
      </c>
      <c r="C15" t="s">
        <v>2239</v>
      </c>
      <c r="E15" s="12">
        <v>2.8</v>
      </c>
      <c r="F15" s="12" t="s">
        <v>32</v>
      </c>
    </row>
    <row r="16" spans="1:6">
      <c r="A16" t="s">
        <v>2266</v>
      </c>
      <c r="B16" t="s">
        <v>2301</v>
      </c>
      <c r="C16" t="s">
        <v>2220</v>
      </c>
      <c r="D16" s="14">
        <v>5</v>
      </c>
      <c r="E16" s="12">
        <v>2.7</v>
      </c>
      <c r="F16" s="12" t="s">
        <v>94</v>
      </c>
    </row>
    <row r="17" spans="1:6">
      <c r="A17" t="s">
        <v>2302</v>
      </c>
      <c r="B17" t="s">
        <v>2303</v>
      </c>
      <c r="C17" t="s">
        <v>2246</v>
      </c>
      <c r="D17" s="14">
        <v>2</v>
      </c>
      <c r="E17" s="12">
        <v>3.8</v>
      </c>
      <c r="F17" s="12" t="s">
        <v>149</v>
      </c>
    </row>
    <row r="18" spans="1:6">
      <c r="A18" t="s">
        <v>2304</v>
      </c>
      <c r="B18" t="s">
        <v>2305</v>
      </c>
      <c r="C18" t="s">
        <v>2239</v>
      </c>
      <c r="D18" s="14">
        <v>3</v>
      </c>
      <c r="E18" s="12">
        <v>4.9000000000000004</v>
      </c>
      <c r="F18" s="12" t="s">
        <v>38</v>
      </c>
    </row>
    <row r="19" spans="1:6">
      <c r="A19" t="s">
        <v>2306</v>
      </c>
      <c r="B19" t="s">
        <v>2307</v>
      </c>
      <c r="C19" t="s">
        <v>2227</v>
      </c>
      <c r="D19" s="14">
        <v>7</v>
      </c>
      <c r="F19" s="12" t="s">
        <v>70</v>
      </c>
    </row>
    <row r="20" spans="1:6">
      <c r="A20" t="s">
        <v>2197</v>
      </c>
      <c r="B20" t="s">
        <v>2308</v>
      </c>
      <c r="C20" t="s">
        <v>2255</v>
      </c>
      <c r="E20" s="12">
        <v>3.7</v>
      </c>
      <c r="F20" s="12" t="s">
        <v>149</v>
      </c>
    </row>
    <row r="21" spans="1:6">
      <c r="A21" t="s">
        <v>2243</v>
      </c>
      <c r="B21" t="s">
        <v>2309</v>
      </c>
      <c r="C21" t="s">
        <v>2239</v>
      </c>
      <c r="D21" s="14">
        <v>10</v>
      </c>
      <c r="E21" s="12">
        <v>3.8</v>
      </c>
      <c r="F21" s="12" t="s">
        <v>16</v>
      </c>
    </row>
    <row r="22" spans="1:6">
      <c r="A22" t="s">
        <v>2221</v>
      </c>
      <c r="B22" t="s">
        <v>2310</v>
      </c>
      <c r="C22" t="s">
        <v>2200</v>
      </c>
      <c r="D22" s="14">
        <v>1</v>
      </c>
      <c r="E22" s="12">
        <v>3</v>
      </c>
      <c r="F22" s="12" t="s">
        <v>94</v>
      </c>
    </row>
    <row r="23" spans="1:6">
      <c r="A23" t="s">
        <v>2201</v>
      </c>
      <c r="B23" t="s">
        <v>2311</v>
      </c>
      <c r="C23" t="s">
        <v>2227</v>
      </c>
      <c r="D23" s="14">
        <v>3</v>
      </c>
      <c r="E23" s="12">
        <v>3</v>
      </c>
      <c r="F23" s="12" t="s">
        <v>149</v>
      </c>
    </row>
    <row r="24" spans="1:6">
      <c r="A24" t="s">
        <v>2191</v>
      </c>
      <c r="B24" t="s">
        <v>2312</v>
      </c>
      <c r="C24" t="s">
        <v>2255</v>
      </c>
      <c r="D24" s="14">
        <v>3</v>
      </c>
      <c r="E24" s="12">
        <v>3.6</v>
      </c>
      <c r="F24" s="12" t="s">
        <v>70</v>
      </c>
    </row>
    <row r="25" spans="1:6">
      <c r="A25" t="s">
        <v>2230</v>
      </c>
      <c r="B25" t="s">
        <v>2313</v>
      </c>
      <c r="C25" t="s">
        <v>2255</v>
      </c>
      <c r="D25" s="14">
        <v>7</v>
      </c>
      <c r="E25" s="12">
        <v>4.8</v>
      </c>
      <c r="F25" s="12" t="s">
        <v>24</v>
      </c>
    </row>
    <row r="26" spans="1:6">
      <c r="A26" t="s">
        <v>2212</v>
      </c>
      <c r="B26" t="s">
        <v>2314</v>
      </c>
      <c r="C26" t="s">
        <v>2189</v>
      </c>
      <c r="D26" s="14">
        <v>2</v>
      </c>
      <c r="E26" s="12">
        <v>4.2</v>
      </c>
      <c r="F26" s="12" t="s">
        <v>16</v>
      </c>
    </row>
  </sheetData>
  <autoFilter ref="A1:F26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501"/>
  <sheetViews>
    <sheetView workbookViewId="0">
      <pane ySplit="1" topLeftCell="A6" activePane="bottomLeft" state="frozen"/>
      <selection pane="bottomLeft" activeCell="J4" sqref="J4"/>
    </sheetView>
  </sheetViews>
  <sheetFormatPr defaultRowHeight="15"/>
  <cols>
    <col min="1" max="1" width="15" customWidth="1"/>
    <col min="2" max="2" width="12" customWidth="1"/>
    <col min="3" max="3" width="11" customWidth="1"/>
    <col min="4" max="4" width="16.28515625" style="9" customWidth="1"/>
    <col min="5" max="5" width="13" customWidth="1"/>
    <col min="6" max="6" width="16" style="20" customWidth="1"/>
    <col min="7" max="7" width="16" customWidth="1"/>
    <col min="8" max="10" width="17" customWidth="1"/>
  </cols>
  <sheetData>
    <row r="1" spans="1:10" ht="19.5" customHeight="1">
      <c r="A1" s="1" t="s">
        <v>2315</v>
      </c>
      <c r="B1" s="1" t="s">
        <v>0</v>
      </c>
      <c r="C1" s="1" t="s">
        <v>2179</v>
      </c>
      <c r="D1" s="10" t="s">
        <v>2316</v>
      </c>
      <c r="E1" s="1" t="s">
        <v>2317</v>
      </c>
      <c r="F1" s="21" t="s">
        <v>2318</v>
      </c>
      <c r="G1" s="2" t="s">
        <v>2319</v>
      </c>
      <c r="H1" s="2" t="s">
        <v>2320</v>
      </c>
      <c r="I1" s="2" t="s">
        <v>2321</v>
      </c>
      <c r="J1" s="1" t="s">
        <v>2322</v>
      </c>
    </row>
    <row r="2" spans="1:10" ht="18" customHeight="1">
      <c r="A2" t="s">
        <v>2323</v>
      </c>
      <c r="B2" t="s">
        <v>562</v>
      </c>
      <c r="C2" t="s">
        <v>2244</v>
      </c>
      <c r="D2" s="9">
        <v>46003</v>
      </c>
      <c r="E2" t="s">
        <v>2324</v>
      </c>
      <c r="F2" s="20">
        <v>75</v>
      </c>
      <c r="G2" t="s">
        <v>2325</v>
      </c>
      <c r="H2">
        <v>1200</v>
      </c>
      <c r="I2" s="16" t="str">
        <f>IF(H2="", "Unknown", IF(H2=0, "Zero Amount", IF(H2&lt;1, "Review", IF(H2&gt;1, "Normal"))))</f>
        <v>Normal</v>
      </c>
      <c r="J2">
        <v>2</v>
      </c>
    </row>
    <row r="3" spans="1:10">
      <c r="A3" t="s">
        <v>2326</v>
      </c>
      <c r="B3" t="s">
        <v>1397</v>
      </c>
      <c r="C3" t="s">
        <v>2247</v>
      </c>
      <c r="D3" s="9">
        <v>45934</v>
      </c>
      <c r="E3" t="s">
        <v>2327</v>
      </c>
      <c r="F3" s="20">
        <v>20</v>
      </c>
      <c r="G3" t="s">
        <v>2328</v>
      </c>
      <c r="I3" s="16" t="str">
        <f t="shared" ref="I3:I66" si="0">IF(H3="", "Unknown", IF(H3=0, "Zero Amount", IF(H3&lt;1, "Review", IF(H3&gt;1, "Normal"))))</f>
        <v>Unknown</v>
      </c>
      <c r="J3" t="s">
        <v>39</v>
      </c>
    </row>
    <row r="4" spans="1:10">
      <c r="A4" t="s">
        <v>2329</v>
      </c>
      <c r="B4" t="s">
        <v>1422</v>
      </c>
      <c r="C4" t="s">
        <v>2187</v>
      </c>
      <c r="D4" s="9">
        <v>45804</v>
      </c>
      <c r="E4" t="s">
        <v>2330</v>
      </c>
      <c r="F4" s="20">
        <v>100</v>
      </c>
      <c r="G4" t="s">
        <v>2331</v>
      </c>
      <c r="H4">
        <v>591.44000000000005</v>
      </c>
      <c r="I4" s="16" t="str">
        <f t="shared" si="0"/>
        <v>Normal</v>
      </c>
      <c r="J4" t="s">
        <v>39</v>
      </c>
    </row>
    <row r="5" spans="1:10">
      <c r="A5" t="s">
        <v>2332</v>
      </c>
      <c r="B5" t="s">
        <v>2030</v>
      </c>
      <c r="C5" t="s">
        <v>2233</v>
      </c>
      <c r="D5" s="9">
        <v>45145</v>
      </c>
      <c r="E5" t="s">
        <v>2324</v>
      </c>
      <c r="F5" s="20">
        <v>75</v>
      </c>
      <c r="G5" t="s">
        <v>2331</v>
      </c>
      <c r="H5">
        <v>-2500</v>
      </c>
      <c r="I5" s="16" t="str">
        <f t="shared" si="0"/>
        <v>Review</v>
      </c>
      <c r="J5" t="s">
        <v>39</v>
      </c>
    </row>
    <row r="6" spans="1:10">
      <c r="A6" t="s">
        <v>2333</v>
      </c>
      <c r="B6" t="s">
        <v>1040</v>
      </c>
      <c r="C6" t="s">
        <v>2205</v>
      </c>
      <c r="D6" s="9">
        <v>45370</v>
      </c>
      <c r="E6" t="s">
        <v>2330</v>
      </c>
      <c r="G6" t="s">
        <v>2325</v>
      </c>
      <c r="H6">
        <v>1500</v>
      </c>
      <c r="I6" s="16" t="str">
        <f t="shared" si="0"/>
        <v>Normal</v>
      </c>
      <c r="J6" t="s">
        <v>39</v>
      </c>
    </row>
    <row r="7" spans="1:10">
      <c r="A7" t="s">
        <v>2334</v>
      </c>
      <c r="B7" t="s">
        <v>1418</v>
      </c>
      <c r="C7" t="s">
        <v>2202</v>
      </c>
      <c r="D7" s="9">
        <v>45189</v>
      </c>
      <c r="E7" t="s">
        <v>2327</v>
      </c>
      <c r="G7" t="s">
        <v>23</v>
      </c>
      <c r="H7">
        <v>999.99</v>
      </c>
      <c r="I7" s="16" t="str">
        <f t="shared" si="0"/>
        <v>Normal</v>
      </c>
      <c r="J7">
        <v>2</v>
      </c>
    </row>
    <row r="8" spans="1:10">
      <c r="A8" t="s">
        <v>2335</v>
      </c>
      <c r="B8" t="s">
        <v>387</v>
      </c>
      <c r="C8" t="s">
        <v>2241</v>
      </c>
      <c r="D8" s="9">
        <v>45254</v>
      </c>
      <c r="E8" t="s">
        <v>2330</v>
      </c>
      <c r="G8" t="s">
        <v>2331</v>
      </c>
      <c r="H8">
        <v>2500</v>
      </c>
      <c r="I8" s="16" t="str">
        <f t="shared" si="0"/>
        <v>Normal</v>
      </c>
      <c r="J8">
        <v>5</v>
      </c>
    </row>
    <row r="9" spans="1:10">
      <c r="A9" t="s">
        <v>2336</v>
      </c>
      <c r="B9" t="s">
        <v>224</v>
      </c>
      <c r="C9" t="s">
        <v>2209</v>
      </c>
      <c r="D9" s="9">
        <v>45874</v>
      </c>
      <c r="E9" t="s">
        <v>2337</v>
      </c>
      <c r="F9" s="20">
        <v>5</v>
      </c>
      <c r="G9" t="s">
        <v>2328</v>
      </c>
      <c r="H9">
        <v>499</v>
      </c>
      <c r="I9" s="16" t="str">
        <f t="shared" si="0"/>
        <v>Normal</v>
      </c>
      <c r="J9">
        <v>3</v>
      </c>
    </row>
    <row r="10" spans="1:10">
      <c r="A10" t="s">
        <v>2338</v>
      </c>
      <c r="B10" t="s">
        <v>1770</v>
      </c>
      <c r="C10" t="s">
        <v>2247</v>
      </c>
      <c r="D10" s="9">
        <v>45112</v>
      </c>
      <c r="E10" t="s">
        <v>2330</v>
      </c>
      <c r="G10" t="s">
        <v>2339</v>
      </c>
      <c r="I10" s="16" t="str">
        <f t="shared" si="0"/>
        <v>Unknown</v>
      </c>
      <c r="J10" t="s">
        <v>39</v>
      </c>
    </row>
    <row r="11" spans="1:10">
      <c r="A11" t="s">
        <v>2340</v>
      </c>
      <c r="B11" t="s">
        <v>502</v>
      </c>
      <c r="C11" t="s">
        <v>2205</v>
      </c>
      <c r="D11" s="9">
        <v>46157</v>
      </c>
      <c r="E11" t="s">
        <v>2330</v>
      </c>
      <c r="G11" t="s">
        <v>2331</v>
      </c>
      <c r="H11">
        <v>1500</v>
      </c>
      <c r="I11" s="16" t="str">
        <f t="shared" si="0"/>
        <v>Normal</v>
      </c>
      <c r="J11" t="s">
        <v>39</v>
      </c>
    </row>
    <row r="12" spans="1:10">
      <c r="A12" t="s">
        <v>2341</v>
      </c>
      <c r="B12" t="s">
        <v>953</v>
      </c>
      <c r="C12" t="s">
        <v>2253</v>
      </c>
      <c r="D12" s="9">
        <v>46147</v>
      </c>
      <c r="E12" t="s">
        <v>2337</v>
      </c>
      <c r="F12" s="20">
        <v>20</v>
      </c>
      <c r="G12" t="s">
        <v>2331</v>
      </c>
      <c r="H12">
        <v>1200</v>
      </c>
      <c r="I12" s="16" t="str">
        <f t="shared" si="0"/>
        <v>Normal</v>
      </c>
      <c r="J12" t="s">
        <v>39</v>
      </c>
    </row>
    <row r="13" spans="1:10">
      <c r="A13" t="s">
        <v>2342</v>
      </c>
      <c r="B13" t="s">
        <v>1736</v>
      </c>
      <c r="C13" t="s">
        <v>2241</v>
      </c>
      <c r="D13" s="9">
        <v>45214</v>
      </c>
      <c r="E13" t="s">
        <v>2330</v>
      </c>
      <c r="G13" t="s">
        <v>2325</v>
      </c>
      <c r="H13">
        <v>2500</v>
      </c>
      <c r="I13" s="16" t="str">
        <f t="shared" si="0"/>
        <v>Normal</v>
      </c>
      <c r="J13">
        <v>4</v>
      </c>
    </row>
    <row r="14" spans="1:10">
      <c r="A14" t="s">
        <v>2343</v>
      </c>
      <c r="B14" t="s">
        <v>1158</v>
      </c>
      <c r="C14" t="s">
        <v>2251</v>
      </c>
      <c r="D14" s="9">
        <v>45904</v>
      </c>
      <c r="E14" t="s">
        <v>2330</v>
      </c>
      <c r="G14" t="s">
        <v>2331</v>
      </c>
      <c r="H14">
        <v>1500</v>
      </c>
      <c r="I14" s="16" t="str">
        <f t="shared" si="0"/>
        <v>Normal</v>
      </c>
      <c r="J14">
        <v>4</v>
      </c>
    </row>
    <row r="15" spans="1:10">
      <c r="A15" t="s">
        <v>2344</v>
      </c>
      <c r="B15" t="s">
        <v>331</v>
      </c>
      <c r="C15" t="s">
        <v>2198</v>
      </c>
      <c r="D15" s="9">
        <v>45468</v>
      </c>
      <c r="E15" t="s">
        <v>2330</v>
      </c>
      <c r="F15" s="20">
        <v>100</v>
      </c>
      <c r="G15" t="s">
        <v>2345</v>
      </c>
      <c r="I15" s="16" t="str">
        <f t="shared" si="0"/>
        <v>Unknown</v>
      </c>
      <c r="J15" t="s">
        <v>39</v>
      </c>
    </row>
    <row r="16" spans="1:10">
      <c r="A16" t="s">
        <v>2346</v>
      </c>
      <c r="B16" t="s">
        <v>350</v>
      </c>
      <c r="C16" t="s">
        <v>2259</v>
      </c>
      <c r="D16" s="9">
        <v>45755</v>
      </c>
      <c r="E16" t="s">
        <v>23</v>
      </c>
      <c r="G16" t="s">
        <v>2328</v>
      </c>
      <c r="H16">
        <v>0</v>
      </c>
      <c r="I16" s="16" t="str">
        <f t="shared" si="0"/>
        <v>Zero Amount</v>
      </c>
      <c r="J16" t="s">
        <v>39</v>
      </c>
    </row>
    <row r="17" spans="1:10">
      <c r="A17" t="s">
        <v>2347</v>
      </c>
      <c r="B17" t="s">
        <v>1884</v>
      </c>
      <c r="C17" t="s">
        <v>2273</v>
      </c>
      <c r="D17" s="9">
        <v>45319</v>
      </c>
      <c r="E17" t="s">
        <v>2327</v>
      </c>
      <c r="F17" s="20">
        <v>20</v>
      </c>
      <c r="G17" t="s">
        <v>2331</v>
      </c>
      <c r="H17">
        <v>799</v>
      </c>
      <c r="I17" s="16" t="str">
        <f t="shared" si="0"/>
        <v>Normal</v>
      </c>
      <c r="J17">
        <v>5</v>
      </c>
    </row>
    <row r="18" spans="1:10">
      <c r="A18" t="s">
        <v>2348</v>
      </c>
      <c r="B18" t="s">
        <v>1515</v>
      </c>
      <c r="C18" t="s">
        <v>2187</v>
      </c>
      <c r="D18" s="9">
        <v>45624</v>
      </c>
      <c r="E18" t="s">
        <v>2330</v>
      </c>
      <c r="F18" s="20">
        <v>100</v>
      </c>
      <c r="G18" t="s">
        <v>2331</v>
      </c>
      <c r="H18">
        <v>799</v>
      </c>
      <c r="I18" s="16" t="str">
        <f t="shared" si="0"/>
        <v>Normal</v>
      </c>
      <c r="J18" t="s">
        <v>39</v>
      </c>
    </row>
    <row r="19" spans="1:10">
      <c r="A19" t="s">
        <v>2349</v>
      </c>
      <c r="B19" t="s">
        <v>936</v>
      </c>
      <c r="C19" t="s">
        <v>2259</v>
      </c>
      <c r="D19" s="9">
        <v>45714</v>
      </c>
      <c r="E19" t="s">
        <v>2330</v>
      </c>
      <c r="F19" s="20">
        <v>100</v>
      </c>
      <c r="G19" t="s">
        <v>2339</v>
      </c>
      <c r="H19">
        <v>0</v>
      </c>
      <c r="I19" s="16" t="str">
        <f t="shared" si="0"/>
        <v>Zero Amount</v>
      </c>
      <c r="J19">
        <v>4</v>
      </c>
    </row>
    <row r="20" spans="1:10">
      <c r="A20" t="s">
        <v>2350</v>
      </c>
      <c r="B20" t="s">
        <v>2351</v>
      </c>
      <c r="C20" t="s">
        <v>2271</v>
      </c>
      <c r="D20" s="9">
        <v>45584</v>
      </c>
      <c r="E20" t="s">
        <v>2327</v>
      </c>
      <c r="F20" s="20">
        <v>0</v>
      </c>
      <c r="G20" t="s">
        <v>2331</v>
      </c>
      <c r="H20">
        <v>1200</v>
      </c>
      <c r="I20" s="16" t="str">
        <f t="shared" si="0"/>
        <v>Normal</v>
      </c>
      <c r="J20">
        <v>3</v>
      </c>
    </row>
    <row r="21" spans="1:10">
      <c r="A21" t="s">
        <v>2352</v>
      </c>
      <c r="B21" t="s">
        <v>233</v>
      </c>
      <c r="C21" t="s">
        <v>2233</v>
      </c>
      <c r="D21" s="9">
        <v>45276</v>
      </c>
      <c r="E21" t="s">
        <v>2337</v>
      </c>
      <c r="F21" s="20">
        <v>5</v>
      </c>
      <c r="G21" t="s">
        <v>2331</v>
      </c>
      <c r="H21">
        <v>1312.91</v>
      </c>
      <c r="I21" s="16" t="str">
        <f t="shared" si="0"/>
        <v>Normal</v>
      </c>
      <c r="J21">
        <v>3</v>
      </c>
    </row>
    <row r="22" spans="1:10">
      <c r="A22" t="s">
        <v>2353</v>
      </c>
      <c r="B22" t="s">
        <v>953</v>
      </c>
      <c r="C22" t="s">
        <v>2267</v>
      </c>
      <c r="D22" s="9">
        <v>45461</v>
      </c>
      <c r="E22" t="s">
        <v>2324</v>
      </c>
      <c r="F22" s="20">
        <v>40</v>
      </c>
      <c r="G22" t="s">
        <v>2345</v>
      </c>
      <c r="H22">
        <v>999.99</v>
      </c>
      <c r="I22" s="16" t="str">
        <f t="shared" si="0"/>
        <v>Normal</v>
      </c>
      <c r="J22">
        <v>2</v>
      </c>
    </row>
    <row r="23" spans="1:10">
      <c r="A23" t="s">
        <v>2354</v>
      </c>
      <c r="B23" t="s">
        <v>821</v>
      </c>
      <c r="C23" t="s">
        <v>2187</v>
      </c>
      <c r="D23" s="9">
        <v>45267</v>
      </c>
      <c r="E23" t="s">
        <v>2337</v>
      </c>
      <c r="F23" s="20">
        <v>5</v>
      </c>
      <c r="G23" t="s">
        <v>2345</v>
      </c>
      <c r="H23">
        <v>799</v>
      </c>
      <c r="I23" s="16" t="str">
        <f t="shared" si="0"/>
        <v>Normal</v>
      </c>
      <c r="J23">
        <v>2</v>
      </c>
    </row>
    <row r="24" spans="1:10">
      <c r="A24" t="s">
        <v>2355</v>
      </c>
      <c r="B24" t="s">
        <v>1719</v>
      </c>
      <c r="C24" t="s">
        <v>2271</v>
      </c>
      <c r="D24" s="9">
        <v>45159</v>
      </c>
      <c r="E24" t="s">
        <v>23</v>
      </c>
      <c r="G24" t="s">
        <v>23</v>
      </c>
      <c r="H24">
        <v>1200</v>
      </c>
      <c r="I24" s="16" t="str">
        <f t="shared" si="0"/>
        <v>Normal</v>
      </c>
      <c r="J24" t="s">
        <v>39</v>
      </c>
    </row>
    <row r="25" spans="1:10">
      <c r="A25" t="s">
        <v>2356</v>
      </c>
      <c r="B25" t="s">
        <v>1242</v>
      </c>
      <c r="C25" t="s">
        <v>2222</v>
      </c>
      <c r="D25" s="9">
        <v>45856</v>
      </c>
      <c r="E25" t="s">
        <v>2324</v>
      </c>
      <c r="F25" s="20">
        <v>10</v>
      </c>
      <c r="G25" t="s">
        <v>2339</v>
      </c>
      <c r="H25">
        <v>0</v>
      </c>
      <c r="I25" s="16" t="str">
        <f t="shared" si="0"/>
        <v>Zero Amount</v>
      </c>
      <c r="J25">
        <v>3</v>
      </c>
    </row>
    <row r="26" spans="1:10">
      <c r="A26" t="s">
        <v>2357</v>
      </c>
      <c r="B26" t="s">
        <v>1500</v>
      </c>
      <c r="C26" t="s">
        <v>2228</v>
      </c>
      <c r="D26" s="9">
        <v>45785</v>
      </c>
      <c r="E26" t="s">
        <v>2324</v>
      </c>
      <c r="F26" s="20">
        <v>55</v>
      </c>
      <c r="G26" t="s">
        <v>2339</v>
      </c>
      <c r="I26" s="16" t="str">
        <f t="shared" si="0"/>
        <v>Unknown</v>
      </c>
      <c r="J26">
        <v>5</v>
      </c>
    </row>
    <row r="27" spans="1:10">
      <c r="A27" t="s">
        <v>2358</v>
      </c>
      <c r="B27" t="s">
        <v>1532</v>
      </c>
      <c r="C27" t="s">
        <v>2202</v>
      </c>
      <c r="D27" s="9">
        <v>44968</v>
      </c>
      <c r="E27" t="s">
        <v>2330</v>
      </c>
      <c r="F27" s="20">
        <v>100</v>
      </c>
      <c r="G27" t="s">
        <v>2345</v>
      </c>
      <c r="H27">
        <v>999.99</v>
      </c>
      <c r="I27" s="16" t="str">
        <f t="shared" si="0"/>
        <v>Normal</v>
      </c>
      <c r="J27" t="s">
        <v>39</v>
      </c>
    </row>
    <row r="28" spans="1:10">
      <c r="A28" t="s">
        <v>2359</v>
      </c>
      <c r="B28" t="s">
        <v>867</v>
      </c>
      <c r="C28" t="s">
        <v>2237</v>
      </c>
      <c r="D28" s="9">
        <v>45973</v>
      </c>
      <c r="E28" t="s">
        <v>2324</v>
      </c>
      <c r="F28" s="20">
        <v>40</v>
      </c>
      <c r="G28" t="s">
        <v>2339</v>
      </c>
      <c r="H28">
        <v>1500</v>
      </c>
      <c r="I28" s="16" t="str">
        <f t="shared" si="0"/>
        <v>Normal</v>
      </c>
      <c r="J28">
        <v>3</v>
      </c>
    </row>
    <row r="29" spans="1:10">
      <c r="A29" t="s">
        <v>2360</v>
      </c>
      <c r="B29" t="s">
        <v>1988</v>
      </c>
      <c r="C29" t="s">
        <v>2264</v>
      </c>
      <c r="D29" s="9">
        <v>45240</v>
      </c>
      <c r="E29" t="s">
        <v>2324</v>
      </c>
      <c r="F29" s="20">
        <v>55</v>
      </c>
      <c r="G29" t="s">
        <v>2331</v>
      </c>
      <c r="H29">
        <v>2500</v>
      </c>
      <c r="I29" s="16" t="str">
        <f t="shared" si="0"/>
        <v>Normal</v>
      </c>
      <c r="J29">
        <v>5</v>
      </c>
    </row>
    <row r="30" spans="1:10">
      <c r="A30" t="s">
        <v>2361</v>
      </c>
      <c r="B30" t="s">
        <v>1617</v>
      </c>
      <c r="C30" t="s">
        <v>2187</v>
      </c>
      <c r="D30" s="9">
        <v>45601</v>
      </c>
      <c r="E30" t="s">
        <v>2330</v>
      </c>
      <c r="F30" s="20">
        <v>100</v>
      </c>
      <c r="G30" t="s">
        <v>2345</v>
      </c>
      <c r="H30">
        <v>514.54999999999995</v>
      </c>
      <c r="I30" s="16" t="str">
        <f t="shared" si="0"/>
        <v>Normal</v>
      </c>
      <c r="J30" t="s">
        <v>39</v>
      </c>
    </row>
    <row r="31" spans="1:10">
      <c r="A31" t="s">
        <v>2362</v>
      </c>
      <c r="B31" t="s">
        <v>527</v>
      </c>
      <c r="C31" t="s">
        <v>2231</v>
      </c>
      <c r="D31" s="9">
        <v>45658</v>
      </c>
      <c r="E31" t="s">
        <v>2324</v>
      </c>
      <c r="F31" s="20">
        <v>10</v>
      </c>
      <c r="G31" t="s">
        <v>23</v>
      </c>
      <c r="H31">
        <v>3000</v>
      </c>
      <c r="I31" s="16" t="str">
        <f t="shared" si="0"/>
        <v>Normal</v>
      </c>
      <c r="J31" t="s">
        <v>39</v>
      </c>
    </row>
    <row r="32" spans="1:10">
      <c r="A32" t="s">
        <v>2363</v>
      </c>
      <c r="B32" t="s">
        <v>1015</v>
      </c>
      <c r="C32" t="s">
        <v>2202</v>
      </c>
      <c r="D32" s="9">
        <v>46014</v>
      </c>
      <c r="E32" t="s">
        <v>23</v>
      </c>
      <c r="G32" t="s">
        <v>2339</v>
      </c>
      <c r="H32">
        <v>999.99</v>
      </c>
      <c r="I32" s="16" t="str">
        <f t="shared" si="0"/>
        <v>Normal</v>
      </c>
      <c r="J32">
        <v>5</v>
      </c>
    </row>
    <row r="33" spans="1:10">
      <c r="A33" t="s">
        <v>2364</v>
      </c>
      <c r="B33" t="s">
        <v>1229</v>
      </c>
      <c r="C33" t="s">
        <v>2261</v>
      </c>
      <c r="D33" s="9">
        <v>45253</v>
      </c>
      <c r="E33" t="s">
        <v>2337</v>
      </c>
      <c r="F33" s="20">
        <v>5</v>
      </c>
      <c r="G33" t="s">
        <v>2345</v>
      </c>
      <c r="I33" s="16" t="str">
        <f t="shared" si="0"/>
        <v>Unknown</v>
      </c>
      <c r="J33" t="s">
        <v>39</v>
      </c>
    </row>
    <row r="34" spans="1:10">
      <c r="A34" t="s">
        <v>2365</v>
      </c>
      <c r="B34" t="s">
        <v>502</v>
      </c>
      <c r="C34" t="s">
        <v>2205</v>
      </c>
      <c r="D34" s="9">
        <v>46097</v>
      </c>
      <c r="E34" t="s">
        <v>2330</v>
      </c>
      <c r="F34" s="20">
        <v>100</v>
      </c>
      <c r="G34" t="s">
        <v>2331</v>
      </c>
      <c r="H34">
        <v>1500</v>
      </c>
      <c r="I34" s="16" t="str">
        <f t="shared" si="0"/>
        <v>Normal</v>
      </c>
      <c r="J34">
        <v>1</v>
      </c>
    </row>
    <row r="35" spans="1:10">
      <c r="A35" t="s">
        <v>2366</v>
      </c>
      <c r="B35" t="s">
        <v>1599</v>
      </c>
      <c r="C35" t="s">
        <v>2249</v>
      </c>
      <c r="D35" s="9">
        <v>45124</v>
      </c>
      <c r="E35" t="s">
        <v>2330</v>
      </c>
      <c r="F35" s="20">
        <v>100</v>
      </c>
      <c r="G35" t="s">
        <v>2345</v>
      </c>
      <c r="H35">
        <v>1500</v>
      </c>
      <c r="I35" s="16" t="str">
        <f t="shared" si="0"/>
        <v>Normal</v>
      </c>
      <c r="J35">
        <v>4</v>
      </c>
    </row>
    <row r="36" spans="1:10">
      <c r="A36" t="s">
        <v>2367</v>
      </c>
      <c r="B36" t="s">
        <v>1802</v>
      </c>
      <c r="C36" t="s">
        <v>2198</v>
      </c>
      <c r="D36" s="9">
        <v>45301</v>
      </c>
      <c r="E36" t="s">
        <v>2330</v>
      </c>
      <c r="F36" s="20">
        <v>100</v>
      </c>
      <c r="G36" t="s">
        <v>2339</v>
      </c>
      <c r="I36" s="16" t="str">
        <f t="shared" si="0"/>
        <v>Unknown</v>
      </c>
      <c r="J36">
        <v>4</v>
      </c>
    </row>
    <row r="37" spans="1:10">
      <c r="A37" t="s">
        <v>2368</v>
      </c>
      <c r="B37" t="s">
        <v>953</v>
      </c>
      <c r="C37" t="s">
        <v>2218</v>
      </c>
      <c r="D37" s="9">
        <v>45259</v>
      </c>
      <c r="E37" t="s">
        <v>2330</v>
      </c>
      <c r="G37" t="s">
        <v>2328</v>
      </c>
      <c r="H37">
        <v>1500</v>
      </c>
      <c r="I37" s="16" t="str">
        <f t="shared" si="0"/>
        <v>Normal</v>
      </c>
      <c r="J37">
        <v>1</v>
      </c>
    </row>
    <row r="38" spans="1:10">
      <c r="A38" t="s">
        <v>2369</v>
      </c>
      <c r="B38" t="s">
        <v>765</v>
      </c>
      <c r="C38" t="s">
        <v>2237</v>
      </c>
      <c r="D38" s="9">
        <v>45816</v>
      </c>
      <c r="E38" t="s">
        <v>2324</v>
      </c>
      <c r="F38" s="20">
        <v>75</v>
      </c>
      <c r="G38" t="s">
        <v>2325</v>
      </c>
      <c r="H38">
        <v>-1500</v>
      </c>
      <c r="I38" s="16" t="str">
        <f t="shared" si="0"/>
        <v>Review</v>
      </c>
      <c r="J38">
        <v>5</v>
      </c>
    </row>
    <row r="39" spans="1:10">
      <c r="A39" t="s">
        <v>2370</v>
      </c>
      <c r="B39" t="s">
        <v>34</v>
      </c>
      <c r="C39" t="s">
        <v>2251</v>
      </c>
      <c r="D39" s="9">
        <v>45345</v>
      </c>
      <c r="E39" t="s">
        <v>2327</v>
      </c>
      <c r="F39" s="20">
        <v>5</v>
      </c>
      <c r="G39" t="s">
        <v>2345</v>
      </c>
      <c r="H39">
        <v>1500</v>
      </c>
      <c r="I39" s="16" t="str">
        <f t="shared" si="0"/>
        <v>Normal</v>
      </c>
      <c r="J39" t="s">
        <v>39</v>
      </c>
    </row>
    <row r="40" spans="1:10">
      <c r="A40" t="s">
        <v>2371</v>
      </c>
      <c r="B40" t="s">
        <v>1043</v>
      </c>
      <c r="C40" t="s">
        <v>2213</v>
      </c>
      <c r="D40" s="9">
        <v>46061</v>
      </c>
      <c r="E40" t="s">
        <v>2337</v>
      </c>
      <c r="F40" s="20">
        <v>0</v>
      </c>
      <c r="G40" t="s">
        <v>2345</v>
      </c>
      <c r="H40">
        <v>1500</v>
      </c>
      <c r="I40" s="16" t="str">
        <f t="shared" si="0"/>
        <v>Normal</v>
      </c>
      <c r="J40">
        <v>4</v>
      </c>
    </row>
    <row r="41" spans="1:10">
      <c r="A41" t="s">
        <v>2372</v>
      </c>
      <c r="B41" t="s">
        <v>1425</v>
      </c>
      <c r="C41" t="s">
        <v>2233</v>
      </c>
      <c r="D41" s="9">
        <v>45519</v>
      </c>
      <c r="E41" t="s">
        <v>2330</v>
      </c>
      <c r="G41" t="s">
        <v>2328</v>
      </c>
      <c r="H41">
        <v>2500</v>
      </c>
      <c r="I41" s="16" t="str">
        <f t="shared" si="0"/>
        <v>Normal</v>
      </c>
      <c r="J41">
        <v>1</v>
      </c>
    </row>
    <row r="42" spans="1:10">
      <c r="A42" t="s">
        <v>2373</v>
      </c>
      <c r="B42" t="s">
        <v>1776</v>
      </c>
      <c r="C42" t="s">
        <v>2193</v>
      </c>
      <c r="D42" s="9">
        <v>46067</v>
      </c>
      <c r="E42" t="s">
        <v>2337</v>
      </c>
      <c r="F42" s="20">
        <v>0</v>
      </c>
      <c r="G42" t="s">
        <v>2331</v>
      </c>
      <c r="H42">
        <v>0</v>
      </c>
      <c r="I42" s="16" t="str">
        <f t="shared" si="0"/>
        <v>Zero Amount</v>
      </c>
      <c r="J42">
        <v>2</v>
      </c>
    </row>
    <row r="43" spans="1:10">
      <c r="A43" t="s">
        <v>2374</v>
      </c>
      <c r="B43" t="s">
        <v>1069</v>
      </c>
      <c r="C43" t="s">
        <v>2228</v>
      </c>
      <c r="D43" s="9">
        <v>45999</v>
      </c>
      <c r="E43" t="s">
        <v>2337</v>
      </c>
      <c r="F43" s="20">
        <v>5</v>
      </c>
      <c r="G43" t="s">
        <v>2339</v>
      </c>
      <c r="I43" s="16" t="str">
        <f t="shared" si="0"/>
        <v>Unknown</v>
      </c>
      <c r="J43">
        <v>3</v>
      </c>
    </row>
    <row r="44" spans="1:10">
      <c r="A44" t="s">
        <v>2375</v>
      </c>
      <c r="B44" t="s">
        <v>196</v>
      </c>
      <c r="C44" t="s">
        <v>2187</v>
      </c>
      <c r="D44" s="9">
        <v>45221</v>
      </c>
      <c r="E44" t="s">
        <v>2324</v>
      </c>
      <c r="F44" s="20">
        <v>25</v>
      </c>
      <c r="G44" t="s">
        <v>2331</v>
      </c>
      <c r="H44">
        <v>799</v>
      </c>
      <c r="I44" s="16" t="str">
        <f t="shared" si="0"/>
        <v>Normal</v>
      </c>
      <c r="J44">
        <v>2</v>
      </c>
    </row>
    <row r="45" spans="1:10">
      <c r="A45" t="s">
        <v>2376</v>
      </c>
      <c r="B45" t="s">
        <v>1606</v>
      </c>
      <c r="C45" t="s">
        <v>2209</v>
      </c>
      <c r="D45" s="9">
        <v>45283</v>
      </c>
      <c r="E45" t="s">
        <v>23</v>
      </c>
      <c r="G45" t="s">
        <v>2331</v>
      </c>
      <c r="H45">
        <v>499</v>
      </c>
      <c r="I45" s="16" t="str">
        <f t="shared" si="0"/>
        <v>Normal</v>
      </c>
      <c r="J45">
        <v>3</v>
      </c>
    </row>
    <row r="46" spans="1:10">
      <c r="A46" t="s">
        <v>2377</v>
      </c>
      <c r="B46" t="s">
        <v>394</v>
      </c>
      <c r="C46" t="s">
        <v>2253</v>
      </c>
      <c r="D46" s="9">
        <v>45218</v>
      </c>
      <c r="E46" t="s">
        <v>2327</v>
      </c>
      <c r="F46" s="20">
        <v>15</v>
      </c>
      <c r="G46" t="s">
        <v>2331</v>
      </c>
      <c r="H46">
        <v>1200</v>
      </c>
      <c r="I46" s="16" t="str">
        <f t="shared" si="0"/>
        <v>Normal</v>
      </c>
      <c r="J46">
        <v>3</v>
      </c>
    </row>
    <row r="47" spans="1:10">
      <c r="A47" t="s">
        <v>2378</v>
      </c>
      <c r="B47" t="s">
        <v>1544</v>
      </c>
      <c r="C47" t="s">
        <v>2241</v>
      </c>
      <c r="D47" s="9">
        <v>45209</v>
      </c>
      <c r="E47" t="s">
        <v>2324</v>
      </c>
      <c r="F47" s="20">
        <v>25</v>
      </c>
      <c r="G47" t="s">
        <v>2328</v>
      </c>
      <c r="H47">
        <v>2500</v>
      </c>
      <c r="I47" s="16" t="str">
        <f t="shared" si="0"/>
        <v>Normal</v>
      </c>
      <c r="J47">
        <v>2</v>
      </c>
    </row>
    <row r="48" spans="1:10">
      <c r="A48" t="s">
        <v>2379</v>
      </c>
      <c r="B48" t="s">
        <v>360</v>
      </c>
      <c r="C48" t="s">
        <v>2271</v>
      </c>
      <c r="D48" s="9">
        <v>46145</v>
      </c>
      <c r="E48" t="s">
        <v>2327</v>
      </c>
      <c r="G48" t="s">
        <v>2325</v>
      </c>
      <c r="H48">
        <v>1200</v>
      </c>
      <c r="I48" s="16" t="str">
        <f t="shared" si="0"/>
        <v>Normal</v>
      </c>
      <c r="J48" t="s">
        <v>39</v>
      </c>
    </row>
    <row r="49" spans="1:10">
      <c r="A49" t="s">
        <v>2380</v>
      </c>
      <c r="B49" t="s">
        <v>745</v>
      </c>
      <c r="C49" t="s">
        <v>2257</v>
      </c>
      <c r="D49" s="9">
        <v>45489</v>
      </c>
      <c r="E49" t="s">
        <v>2324</v>
      </c>
      <c r="F49" s="20">
        <v>10</v>
      </c>
      <c r="G49" t="s">
        <v>2345</v>
      </c>
      <c r="I49" s="16" t="str">
        <f t="shared" si="0"/>
        <v>Unknown</v>
      </c>
      <c r="J49">
        <v>5</v>
      </c>
    </row>
    <row r="50" spans="1:10">
      <c r="A50" t="s">
        <v>2381</v>
      </c>
      <c r="B50" t="s">
        <v>1759</v>
      </c>
      <c r="C50" t="s">
        <v>2261</v>
      </c>
      <c r="D50" s="9">
        <v>45772</v>
      </c>
      <c r="E50" t="s">
        <v>2327</v>
      </c>
      <c r="F50" s="20">
        <v>0</v>
      </c>
      <c r="G50" t="s">
        <v>2345</v>
      </c>
      <c r="I50" s="16" t="str">
        <f t="shared" si="0"/>
        <v>Unknown</v>
      </c>
      <c r="J50" t="s">
        <v>39</v>
      </c>
    </row>
    <row r="51" spans="1:10">
      <c r="A51" t="s">
        <v>2382</v>
      </c>
      <c r="B51" t="s">
        <v>2069</v>
      </c>
      <c r="C51" t="s">
        <v>2228</v>
      </c>
      <c r="D51" s="9">
        <v>45227</v>
      </c>
      <c r="E51" t="s">
        <v>23</v>
      </c>
      <c r="G51" t="s">
        <v>2331</v>
      </c>
      <c r="H51">
        <v>799</v>
      </c>
      <c r="I51" s="16" t="str">
        <f t="shared" si="0"/>
        <v>Normal</v>
      </c>
      <c r="J51" t="s">
        <v>39</v>
      </c>
    </row>
    <row r="52" spans="1:10">
      <c r="A52" t="s">
        <v>2383</v>
      </c>
      <c r="B52" t="s">
        <v>1790</v>
      </c>
      <c r="C52" t="s">
        <v>2233</v>
      </c>
      <c r="D52" s="9">
        <v>46109</v>
      </c>
      <c r="E52" t="s">
        <v>2330</v>
      </c>
      <c r="F52" s="20">
        <v>100</v>
      </c>
      <c r="G52" t="s">
        <v>2339</v>
      </c>
      <c r="H52">
        <v>2500</v>
      </c>
      <c r="I52" s="16" t="str">
        <f t="shared" si="0"/>
        <v>Normal</v>
      </c>
      <c r="J52" t="s">
        <v>39</v>
      </c>
    </row>
    <row r="53" spans="1:10">
      <c r="A53" t="s">
        <v>2384</v>
      </c>
      <c r="B53" t="s">
        <v>1103</v>
      </c>
      <c r="C53" t="s">
        <v>2193</v>
      </c>
      <c r="D53" s="9">
        <v>46106</v>
      </c>
      <c r="E53" t="s">
        <v>2330</v>
      </c>
      <c r="F53" s="20">
        <v>100</v>
      </c>
      <c r="G53" t="s">
        <v>2328</v>
      </c>
      <c r="H53">
        <v>0</v>
      </c>
      <c r="I53" s="16" t="str">
        <f t="shared" si="0"/>
        <v>Zero Amount</v>
      </c>
      <c r="J53">
        <v>1</v>
      </c>
    </row>
    <row r="54" spans="1:10">
      <c r="A54" t="s">
        <v>2385</v>
      </c>
      <c r="B54" t="s">
        <v>1835</v>
      </c>
      <c r="C54" t="s">
        <v>2253</v>
      </c>
      <c r="D54" s="9">
        <v>46079</v>
      </c>
      <c r="E54" t="s">
        <v>2324</v>
      </c>
      <c r="F54" s="20">
        <v>25</v>
      </c>
      <c r="G54" t="s">
        <v>2328</v>
      </c>
      <c r="H54">
        <v>1200</v>
      </c>
      <c r="I54" s="16" t="str">
        <f t="shared" si="0"/>
        <v>Normal</v>
      </c>
      <c r="J54">
        <v>5</v>
      </c>
    </row>
    <row r="55" spans="1:10">
      <c r="A55" t="s">
        <v>2386</v>
      </c>
      <c r="B55" t="s">
        <v>2077</v>
      </c>
      <c r="C55" t="s">
        <v>2261</v>
      </c>
      <c r="D55" s="9">
        <v>45760</v>
      </c>
      <c r="E55" t="s">
        <v>2337</v>
      </c>
      <c r="G55" t="s">
        <v>2345</v>
      </c>
      <c r="I55" s="16" t="str">
        <f t="shared" si="0"/>
        <v>Unknown</v>
      </c>
      <c r="J55">
        <v>2</v>
      </c>
    </row>
    <row r="56" spans="1:10">
      <c r="A56" t="s">
        <v>2387</v>
      </c>
      <c r="B56" t="s">
        <v>626</v>
      </c>
      <c r="C56" t="s">
        <v>2247</v>
      </c>
      <c r="D56" s="9">
        <v>45293</v>
      </c>
      <c r="E56" t="s">
        <v>2330</v>
      </c>
      <c r="F56" s="20">
        <v>100</v>
      </c>
      <c r="G56" t="s">
        <v>2345</v>
      </c>
      <c r="I56" s="16" t="str">
        <f t="shared" si="0"/>
        <v>Unknown</v>
      </c>
      <c r="J56">
        <v>5</v>
      </c>
    </row>
    <row r="57" spans="1:10">
      <c r="A57" t="s">
        <v>2388</v>
      </c>
      <c r="B57" t="s">
        <v>1153</v>
      </c>
      <c r="C57" t="s">
        <v>2269</v>
      </c>
      <c r="D57" s="9">
        <v>45679</v>
      </c>
      <c r="E57" t="s">
        <v>2330</v>
      </c>
      <c r="G57" t="s">
        <v>2339</v>
      </c>
      <c r="H57">
        <v>499</v>
      </c>
      <c r="I57" s="16" t="str">
        <f t="shared" si="0"/>
        <v>Normal</v>
      </c>
      <c r="J57">
        <v>2</v>
      </c>
    </row>
    <row r="58" spans="1:10">
      <c r="A58" t="s">
        <v>2389</v>
      </c>
      <c r="B58" t="s">
        <v>861</v>
      </c>
      <c r="C58" t="s">
        <v>2193</v>
      </c>
      <c r="D58" s="9">
        <v>45755</v>
      </c>
      <c r="E58" t="s">
        <v>2330</v>
      </c>
      <c r="F58" s="20">
        <v>100</v>
      </c>
      <c r="G58" t="s">
        <v>2339</v>
      </c>
      <c r="H58">
        <v>0</v>
      </c>
      <c r="I58" s="16" t="str">
        <f t="shared" si="0"/>
        <v>Zero Amount</v>
      </c>
      <c r="J58">
        <v>2</v>
      </c>
    </row>
    <row r="59" spans="1:10">
      <c r="A59" t="s">
        <v>2390</v>
      </c>
      <c r="B59" t="s">
        <v>1058</v>
      </c>
      <c r="C59" t="s">
        <v>2273</v>
      </c>
      <c r="D59" s="9">
        <v>45842</v>
      </c>
      <c r="E59" t="s">
        <v>2330</v>
      </c>
      <c r="G59" t="s">
        <v>2325</v>
      </c>
      <c r="H59">
        <v>799</v>
      </c>
      <c r="I59" s="16" t="str">
        <f t="shared" si="0"/>
        <v>Normal</v>
      </c>
      <c r="J59" t="s">
        <v>39</v>
      </c>
    </row>
    <row r="60" spans="1:10">
      <c r="A60" t="s">
        <v>2391</v>
      </c>
      <c r="B60" t="s">
        <v>809</v>
      </c>
      <c r="C60" t="s">
        <v>2244</v>
      </c>
      <c r="D60" s="9">
        <v>45262</v>
      </c>
      <c r="E60" t="s">
        <v>2330</v>
      </c>
      <c r="F60" s="20">
        <v>100</v>
      </c>
      <c r="G60" t="s">
        <v>2331</v>
      </c>
      <c r="H60">
        <v>1200</v>
      </c>
      <c r="I60" s="16" t="str">
        <f t="shared" si="0"/>
        <v>Normal</v>
      </c>
      <c r="J60">
        <v>3</v>
      </c>
    </row>
    <row r="61" spans="1:10">
      <c r="A61" t="s">
        <v>2392</v>
      </c>
      <c r="B61" t="s">
        <v>1229</v>
      </c>
      <c r="C61" t="s">
        <v>2198</v>
      </c>
      <c r="D61" s="9">
        <v>45829</v>
      </c>
      <c r="E61" t="s">
        <v>2330</v>
      </c>
      <c r="G61" t="s">
        <v>2345</v>
      </c>
      <c r="I61" s="16" t="str">
        <f t="shared" si="0"/>
        <v>Unknown</v>
      </c>
      <c r="J61" t="s">
        <v>39</v>
      </c>
    </row>
    <row r="62" spans="1:10">
      <c r="A62" t="s">
        <v>2393</v>
      </c>
      <c r="B62" t="s">
        <v>1229</v>
      </c>
      <c r="C62" t="s">
        <v>2193</v>
      </c>
      <c r="D62" s="9">
        <v>45428</v>
      </c>
      <c r="E62" t="s">
        <v>2330</v>
      </c>
      <c r="F62" s="20">
        <v>100</v>
      </c>
      <c r="G62" t="s">
        <v>2345</v>
      </c>
      <c r="H62">
        <v>0</v>
      </c>
      <c r="I62" s="16" t="str">
        <f t="shared" si="0"/>
        <v>Zero Amount</v>
      </c>
      <c r="J62">
        <v>3</v>
      </c>
    </row>
    <row r="63" spans="1:10">
      <c r="A63" t="s">
        <v>2394</v>
      </c>
      <c r="B63" t="s">
        <v>688</v>
      </c>
      <c r="C63" t="s">
        <v>2218</v>
      </c>
      <c r="D63" s="9">
        <v>45994</v>
      </c>
      <c r="E63" t="s">
        <v>2324</v>
      </c>
      <c r="F63" s="20">
        <v>75</v>
      </c>
      <c r="G63" t="s">
        <v>2345</v>
      </c>
      <c r="H63">
        <v>1500</v>
      </c>
      <c r="I63" s="16" t="str">
        <f t="shared" si="0"/>
        <v>Normal</v>
      </c>
      <c r="J63">
        <v>4</v>
      </c>
    </row>
    <row r="64" spans="1:10">
      <c r="A64" t="s">
        <v>2395</v>
      </c>
      <c r="B64" t="s">
        <v>2042</v>
      </c>
      <c r="C64" t="s">
        <v>2213</v>
      </c>
      <c r="D64" s="9">
        <v>45450</v>
      </c>
      <c r="E64" t="s">
        <v>2330</v>
      </c>
      <c r="F64" s="20">
        <v>100</v>
      </c>
      <c r="G64" t="s">
        <v>2328</v>
      </c>
      <c r="H64">
        <v>1500</v>
      </c>
      <c r="I64" s="16" t="str">
        <f t="shared" si="0"/>
        <v>Normal</v>
      </c>
      <c r="J64">
        <v>3</v>
      </c>
    </row>
    <row r="65" spans="1:10">
      <c r="A65" t="s">
        <v>2396</v>
      </c>
      <c r="B65" t="s">
        <v>611</v>
      </c>
      <c r="C65" t="s">
        <v>2235</v>
      </c>
      <c r="D65" s="9">
        <v>45211</v>
      </c>
      <c r="E65" t="s">
        <v>2337</v>
      </c>
      <c r="F65" s="20">
        <v>15</v>
      </c>
      <c r="G65" t="s">
        <v>2331</v>
      </c>
      <c r="H65">
        <v>3000</v>
      </c>
      <c r="I65" s="16" t="str">
        <f t="shared" si="0"/>
        <v>Normal</v>
      </c>
      <c r="J65" t="s">
        <v>39</v>
      </c>
    </row>
    <row r="66" spans="1:10">
      <c r="A66" t="s">
        <v>2397</v>
      </c>
      <c r="B66" t="s">
        <v>1838</v>
      </c>
      <c r="C66" t="s">
        <v>2209</v>
      </c>
      <c r="D66" s="9">
        <v>46102</v>
      </c>
      <c r="E66" t="s">
        <v>2327</v>
      </c>
      <c r="F66" s="20">
        <v>5</v>
      </c>
      <c r="G66" t="s">
        <v>2339</v>
      </c>
      <c r="H66">
        <v>499</v>
      </c>
      <c r="I66" s="16" t="str">
        <f t="shared" si="0"/>
        <v>Normal</v>
      </c>
      <c r="J66">
        <v>1</v>
      </c>
    </row>
    <row r="67" spans="1:10">
      <c r="A67" t="s">
        <v>2398</v>
      </c>
      <c r="B67" t="s">
        <v>1072</v>
      </c>
      <c r="C67" t="s">
        <v>2187</v>
      </c>
      <c r="D67" s="9">
        <v>45823</v>
      </c>
      <c r="E67" t="s">
        <v>2327</v>
      </c>
      <c r="F67" s="20">
        <v>5</v>
      </c>
      <c r="G67" t="s">
        <v>2325</v>
      </c>
      <c r="H67">
        <v>799</v>
      </c>
      <c r="I67" s="16" t="str">
        <f t="shared" ref="I67:I130" si="1">IF(H67="", "Unknown", IF(H67=0, "Zero Amount", IF(H67&lt;1, "Review", IF(H67&gt;1, "Normal"))))</f>
        <v>Normal</v>
      </c>
      <c r="J67">
        <v>4</v>
      </c>
    </row>
    <row r="68" spans="1:10">
      <c r="A68" t="s">
        <v>2399</v>
      </c>
      <c r="B68" t="s">
        <v>296</v>
      </c>
      <c r="C68" t="s">
        <v>2205</v>
      </c>
      <c r="D68" s="9">
        <v>46120</v>
      </c>
      <c r="E68" t="s">
        <v>2337</v>
      </c>
      <c r="F68" s="20">
        <v>5</v>
      </c>
      <c r="G68" t="s">
        <v>2328</v>
      </c>
      <c r="H68">
        <v>1500</v>
      </c>
      <c r="I68" s="16" t="str">
        <f t="shared" si="1"/>
        <v>Normal</v>
      </c>
      <c r="J68">
        <v>5</v>
      </c>
    </row>
    <row r="69" spans="1:10">
      <c r="A69" t="s">
        <v>2400</v>
      </c>
      <c r="B69" t="s">
        <v>2401</v>
      </c>
      <c r="C69" t="s">
        <v>2259</v>
      </c>
      <c r="D69" s="9">
        <v>45986</v>
      </c>
      <c r="E69" t="s">
        <v>2327</v>
      </c>
      <c r="F69" s="20">
        <v>0</v>
      </c>
      <c r="G69" t="s">
        <v>2328</v>
      </c>
      <c r="H69">
        <v>0</v>
      </c>
      <c r="I69" s="16" t="str">
        <f t="shared" si="1"/>
        <v>Zero Amount</v>
      </c>
      <c r="J69">
        <v>4</v>
      </c>
    </row>
    <row r="70" spans="1:10">
      <c r="A70" t="s">
        <v>2402</v>
      </c>
      <c r="B70" t="s">
        <v>116</v>
      </c>
      <c r="C70" t="s">
        <v>2202</v>
      </c>
      <c r="D70" s="9">
        <v>45877</v>
      </c>
      <c r="E70" t="s">
        <v>2330</v>
      </c>
      <c r="F70" s="20">
        <v>100</v>
      </c>
      <c r="G70" t="s">
        <v>2331</v>
      </c>
      <c r="H70">
        <v>518.41999999999996</v>
      </c>
      <c r="I70" s="16" t="str">
        <f t="shared" si="1"/>
        <v>Normal</v>
      </c>
      <c r="J70" t="s">
        <v>39</v>
      </c>
    </row>
    <row r="71" spans="1:10">
      <c r="A71" t="s">
        <v>2403</v>
      </c>
      <c r="B71" t="s">
        <v>1022</v>
      </c>
      <c r="C71" t="s">
        <v>2205</v>
      </c>
      <c r="D71" s="9">
        <v>45181</v>
      </c>
      <c r="E71" t="s">
        <v>2330</v>
      </c>
      <c r="F71" s="20">
        <v>100</v>
      </c>
      <c r="G71" t="s">
        <v>2331</v>
      </c>
      <c r="H71">
        <v>1500</v>
      </c>
      <c r="I71" s="16" t="str">
        <f t="shared" si="1"/>
        <v>Normal</v>
      </c>
      <c r="J71" t="s">
        <v>39</v>
      </c>
    </row>
    <row r="72" spans="1:10">
      <c r="A72" t="s">
        <v>2404</v>
      </c>
      <c r="B72" t="s">
        <v>2010</v>
      </c>
      <c r="C72" t="s">
        <v>2259</v>
      </c>
      <c r="D72" s="9">
        <v>45100</v>
      </c>
      <c r="E72" t="s">
        <v>2324</v>
      </c>
      <c r="F72" s="20">
        <v>25</v>
      </c>
      <c r="G72" t="s">
        <v>23</v>
      </c>
      <c r="H72">
        <v>0</v>
      </c>
      <c r="I72" s="16" t="str">
        <f t="shared" si="1"/>
        <v>Zero Amount</v>
      </c>
      <c r="J72" t="s">
        <v>39</v>
      </c>
    </row>
    <row r="73" spans="1:10">
      <c r="A73" t="s">
        <v>2405</v>
      </c>
      <c r="B73" t="s">
        <v>641</v>
      </c>
      <c r="C73" t="s">
        <v>2222</v>
      </c>
      <c r="D73" s="9">
        <v>46238</v>
      </c>
      <c r="E73" t="s">
        <v>23</v>
      </c>
      <c r="G73" t="s">
        <v>2345</v>
      </c>
      <c r="H73">
        <v>0</v>
      </c>
      <c r="I73" s="16" t="str">
        <f t="shared" si="1"/>
        <v>Zero Amount</v>
      </c>
      <c r="J73" t="s">
        <v>39</v>
      </c>
    </row>
    <row r="74" spans="1:10">
      <c r="A74" t="s">
        <v>2406</v>
      </c>
      <c r="B74" t="s">
        <v>2014</v>
      </c>
      <c r="C74" t="s">
        <v>2202</v>
      </c>
      <c r="D74" s="9">
        <v>45260</v>
      </c>
      <c r="E74" t="s">
        <v>2330</v>
      </c>
      <c r="F74" s="20">
        <v>100</v>
      </c>
      <c r="G74" t="s">
        <v>2331</v>
      </c>
      <c r="H74">
        <v>999.99</v>
      </c>
      <c r="I74" s="16" t="str">
        <f t="shared" si="1"/>
        <v>Normal</v>
      </c>
      <c r="J74" t="s">
        <v>39</v>
      </c>
    </row>
    <row r="75" spans="1:10">
      <c r="A75" t="s">
        <v>2407</v>
      </c>
      <c r="B75" t="s">
        <v>1894</v>
      </c>
      <c r="C75" t="s">
        <v>2271</v>
      </c>
      <c r="D75" s="9">
        <v>45875</v>
      </c>
      <c r="E75" t="s">
        <v>2327</v>
      </c>
      <c r="F75" s="20">
        <v>0</v>
      </c>
      <c r="G75" t="s">
        <v>2328</v>
      </c>
      <c r="I75" s="16" t="str">
        <f t="shared" si="1"/>
        <v>Unknown</v>
      </c>
      <c r="J75">
        <v>1</v>
      </c>
    </row>
    <row r="76" spans="1:10">
      <c r="A76" t="s">
        <v>2408</v>
      </c>
      <c r="B76" t="s">
        <v>1442</v>
      </c>
      <c r="C76" t="s">
        <v>2205</v>
      </c>
      <c r="D76" s="9">
        <v>45449</v>
      </c>
      <c r="E76" t="s">
        <v>2330</v>
      </c>
      <c r="G76" t="s">
        <v>2328</v>
      </c>
      <c r="H76">
        <v>1500</v>
      </c>
      <c r="I76" s="16" t="str">
        <f t="shared" si="1"/>
        <v>Normal</v>
      </c>
      <c r="J76">
        <v>1</v>
      </c>
    </row>
    <row r="77" spans="1:10">
      <c r="A77" t="s">
        <v>2409</v>
      </c>
      <c r="B77" t="s">
        <v>453</v>
      </c>
      <c r="C77" t="s">
        <v>2237</v>
      </c>
      <c r="D77" s="9">
        <v>45526</v>
      </c>
      <c r="E77" t="s">
        <v>2324</v>
      </c>
      <c r="F77" s="20">
        <v>25</v>
      </c>
      <c r="G77" t="s">
        <v>2345</v>
      </c>
      <c r="H77">
        <v>1500</v>
      </c>
      <c r="I77" s="16" t="str">
        <f t="shared" si="1"/>
        <v>Normal</v>
      </c>
      <c r="J77" t="s">
        <v>39</v>
      </c>
    </row>
    <row r="78" spans="1:10">
      <c r="A78" t="s">
        <v>2410</v>
      </c>
      <c r="B78" t="s">
        <v>1343</v>
      </c>
      <c r="C78" t="s">
        <v>2198</v>
      </c>
      <c r="D78" s="9">
        <v>45888</v>
      </c>
      <c r="E78" t="s">
        <v>2324</v>
      </c>
      <c r="F78" s="20">
        <v>10</v>
      </c>
      <c r="G78" t="s">
        <v>2331</v>
      </c>
      <c r="I78" s="16" t="str">
        <f t="shared" si="1"/>
        <v>Unknown</v>
      </c>
      <c r="J78">
        <v>3</v>
      </c>
    </row>
    <row r="79" spans="1:10">
      <c r="A79" t="s">
        <v>2411</v>
      </c>
      <c r="B79" t="s">
        <v>206</v>
      </c>
      <c r="C79" t="s">
        <v>2249</v>
      </c>
      <c r="D79" s="9">
        <v>45958</v>
      </c>
      <c r="E79" t="s">
        <v>2327</v>
      </c>
      <c r="F79" s="20">
        <v>20</v>
      </c>
      <c r="G79" t="s">
        <v>2339</v>
      </c>
      <c r="H79">
        <v>1033.58</v>
      </c>
      <c r="I79" s="16" t="str">
        <f t="shared" si="1"/>
        <v>Normal</v>
      </c>
      <c r="J79">
        <v>5</v>
      </c>
    </row>
    <row r="80" spans="1:10">
      <c r="A80" t="s">
        <v>2412</v>
      </c>
      <c r="B80" t="s">
        <v>1586</v>
      </c>
      <c r="C80" t="s">
        <v>2205</v>
      </c>
      <c r="D80" s="9">
        <v>45622</v>
      </c>
      <c r="E80" t="s">
        <v>2330</v>
      </c>
      <c r="G80" t="s">
        <v>2331</v>
      </c>
      <c r="H80">
        <v>1500</v>
      </c>
      <c r="I80" s="16" t="str">
        <f t="shared" si="1"/>
        <v>Normal</v>
      </c>
      <c r="J80">
        <v>4</v>
      </c>
    </row>
    <row r="81" spans="1:10">
      <c r="A81" t="s">
        <v>2413</v>
      </c>
      <c r="B81" t="s">
        <v>418</v>
      </c>
      <c r="C81" t="s">
        <v>2218</v>
      </c>
      <c r="D81" s="9">
        <v>44966</v>
      </c>
      <c r="E81" t="s">
        <v>2324</v>
      </c>
      <c r="F81" s="20">
        <v>40</v>
      </c>
      <c r="G81" t="s">
        <v>2339</v>
      </c>
      <c r="H81">
        <v>1500</v>
      </c>
      <c r="I81" s="16" t="str">
        <f t="shared" si="1"/>
        <v>Normal</v>
      </c>
      <c r="J81" t="s">
        <v>39</v>
      </c>
    </row>
    <row r="82" spans="1:10">
      <c r="A82" t="s">
        <v>2414</v>
      </c>
      <c r="B82" t="s">
        <v>578</v>
      </c>
      <c r="C82" t="s">
        <v>2225</v>
      </c>
      <c r="D82" s="9">
        <v>45731</v>
      </c>
      <c r="E82" t="s">
        <v>2337</v>
      </c>
      <c r="F82" s="20">
        <v>20</v>
      </c>
      <c r="G82" t="s">
        <v>2331</v>
      </c>
      <c r="I82" s="16" t="str">
        <f t="shared" si="1"/>
        <v>Unknown</v>
      </c>
      <c r="J82">
        <v>5</v>
      </c>
    </row>
    <row r="83" spans="1:10">
      <c r="A83" t="s">
        <v>2415</v>
      </c>
      <c r="B83" t="s">
        <v>2129</v>
      </c>
      <c r="C83" t="s">
        <v>2233</v>
      </c>
      <c r="D83" s="9">
        <v>46149</v>
      </c>
      <c r="E83" t="s">
        <v>2330</v>
      </c>
      <c r="G83" t="s">
        <v>2339</v>
      </c>
      <c r="H83">
        <v>2500</v>
      </c>
      <c r="I83" s="16" t="str">
        <f t="shared" si="1"/>
        <v>Normal</v>
      </c>
      <c r="J83" t="s">
        <v>39</v>
      </c>
    </row>
    <row r="84" spans="1:10">
      <c r="A84" t="s">
        <v>2416</v>
      </c>
      <c r="B84" t="s">
        <v>707</v>
      </c>
      <c r="C84" t="s">
        <v>2261</v>
      </c>
      <c r="D84" s="9">
        <v>45403</v>
      </c>
      <c r="E84" t="s">
        <v>2324</v>
      </c>
      <c r="F84" s="20">
        <v>40</v>
      </c>
      <c r="G84" t="s">
        <v>2328</v>
      </c>
      <c r="I84" s="16" t="str">
        <f t="shared" si="1"/>
        <v>Unknown</v>
      </c>
      <c r="J84">
        <v>5</v>
      </c>
    </row>
    <row r="85" spans="1:10">
      <c r="A85" t="s">
        <v>2417</v>
      </c>
      <c r="B85" t="s">
        <v>1259</v>
      </c>
      <c r="C85" t="s">
        <v>2205</v>
      </c>
      <c r="D85" s="9">
        <v>45197</v>
      </c>
      <c r="E85" t="s">
        <v>2330</v>
      </c>
      <c r="F85" s="20">
        <v>100</v>
      </c>
      <c r="G85" t="s">
        <v>23</v>
      </c>
      <c r="H85">
        <v>1500</v>
      </c>
      <c r="I85" s="16" t="str">
        <f t="shared" si="1"/>
        <v>Normal</v>
      </c>
      <c r="J85">
        <v>4</v>
      </c>
    </row>
    <row r="86" spans="1:10">
      <c r="A86" t="s">
        <v>2418</v>
      </c>
      <c r="B86" t="s">
        <v>1995</v>
      </c>
      <c r="C86" t="s">
        <v>2244</v>
      </c>
      <c r="D86" s="9">
        <v>46188</v>
      </c>
      <c r="E86" t="s">
        <v>2330</v>
      </c>
      <c r="F86" s="20">
        <v>100</v>
      </c>
      <c r="G86" t="s">
        <v>2328</v>
      </c>
      <c r="I86" s="16" t="str">
        <f t="shared" si="1"/>
        <v>Unknown</v>
      </c>
      <c r="J86">
        <v>4</v>
      </c>
    </row>
    <row r="87" spans="1:10">
      <c r="A87" t="s">
        <v>2419</v>
      </c>
      <c r="B87" t="s">
        <v>1952</v>
      </c>
      <c r="C87" t="s">
        <v>2247</v>
      </c>
      <c r="D87" s="9">
        <v>45297</v>
      </c>
      <c r="E87" t="s">
        <v>2330</v>
      </c>
      <c r="F87" s="20">
        <v>100</v>
      </c>
      <c r="G87" t="s">
        <v>2345</v>
      </c>
      <c r="I87" s="16" t="str">
        <f t="shared" si="1"/>
        <v>Unknown</v>
      </c>
      <c r="J87" t="s">
        <v>39</v>
      </c>
    </row>
    <row r="88" spans="1:10">
      <c r="A88" t="s">
        <v>2420</v>
      </c>
      <c r="B88" t="s">
        <v>784</v>
      </c>
      <c r="C88" t="s">
        <v>2269</v>
      </c>
      <c r="D88" s="9">
        <v>45519</v>
      </c>
      <c r="E88" t="s">
        <v>2324</v>
      </c>
      <c r="F88" s="20">
        <v>60</v>
      </c>
      <c r="G88" t="s">
        <v>2331</v>
      </c>
      <c r="H88">
        <v>499</v>
      </c>
      <c r="I88" s="16" t="str">
        <f t="shared" si="1"/>
        <v>Normal</v>
      </c>
      <c r="J88">
        <v>5</v>
      </c>
    </row>
    <row r="89" spans="1:10">
      <c r="A89" t="s">
        <v>2421</v>
      </c>
      <c r="B89" t="s">
        <v>261</v>
      </c>
      <c r="C89" t="s">
        <v>2273</v>
      </c>
      <c r="D89" s="9">
        <v>45388</v>
      </c>
      <c r="E89" t="s">
        <v>2324</v>
      </c>
      <c r="G89" t="s">
        <v>2339</v>
      </c>
      <c r="H89">
        <v>799</v>
      </c>
      <c r="I89" s="16" t="str">
        <f t="shared" si="1"/>
        <v>Normal</v>
      </c>
      <c r="J89" t="s">
        <v>39</v>
      </c>
    </row>
    <row r="90" spans="1:10">
      <c r="A90" t="s">
        <v>2422</v>
      </c>
      <c r="B90" t="s">
        <v>2042</v>
      </c>
      <c r="C90" t="s">
        <v>2273</v>
      </c>
      <c r="D90" s="9">
        <v>45562</v>
      </c>
      <c r="E90" t="s">
        <v>2330</v>
      </c>
      <c r="F90" s="20">
        <v>100</v>
      </c>
      <c r="G90" t="s">
        <v>2345</v>
      </c>
      <c r="H90">
        <v>799</v>
      </c>
      <c r="I90" s="16" t="str">
        <f t="shared" si="1"/>
        <v>Normal</v>
      </c>
      <c r="J90">
        <v>1</v>
      </c>
    </row>
    <row r="91" spans="1:10">
      <c r="A91" t="s">
        <v>2423</v>
      </c>
      <c r="B91" t="s">
        <v>546</v>
      </c>
      <c r="C91" t="s">
        <v>2202</v>
      </c>
      <c r="D91" s="9">
        <v>45857</v>
      </c>
      <c r="E91" t="s">
        <v>2327</v>
      </c>
      <c r="F91" s="20">
        <v>20</v>
      </c>
      <c r="G91" t="s">
        <v>2328</v>
      </c>
      <c r="H91">
        <v>999.99</v>
      </c>
      <c r="I91" s="16" t="str">
        <f t="shared" si="1"/>
        <v>Normal</v>
      </c>
      <c r="J91" t="s">
        <v>39</v>
      </c>
    </row>
    <row r="92" spans="1:10">
      <c r="A92" t="s">
        <v>2424</v>
      </c>
      <c r="B92" t="s">
        <v>1393</v>
      </c>
      <c r="C92" t="s">
        <v>2193</v>
      </c>
      <c r="D92" s="9">
        <v>45551</v>
      </c>
      <c r="E92" t="s">
        <v>2324</v>
      </c>
      <c r="F92" s="20">
        <v>75</v>
      </c>
      <c r="G92" t="s">
        <v>2339</v>
      </c>
      <c r="H92">
        <v>0</v>
      </c>
      <c r="I92" s="16" t="str">
        <f t="shared" si="1"/>
        <v>Zero Amount</v>
      </c>
      <c r="J92">
        <v>4</v>
      </c>
    </row>
    <row r="93" spans="1:10">
      <c r="A93" t="s">
        <v>2425</v>
      </c>
      <c r="B93" t="s">
        <v>155</v>
      </c>
      <c r="C93" t="s">
        <v>2205</v>
      </c>
      <c r="D93" s="9">
        <v>45819</v>
      </c>
      <c r="E93" t="s">
        <v>2327</v>
      </c>
      <c r="F93" s="20">
        <v>0</v>
      </c>
      <c r="G93" t="s">
        <v>2328</v>
      </c>
      <c r="H93">
        <v>1500</v>
      </c>
      <c r="I93" s="16" t="str">
        <f t="shared" si="1"/>
        <v>Normal</v>
      </c>
      <c r="J93">
        <v>1</v>
      </c>
    </row>
    <row r="94" spans="1:10">
      <c r="A94" t="s">
        <v>2426</v>
      </c>
      <c r="B94" t="s">
        <v>589</v>
      </c>
      <c r="C94" t="s">
        <v>2261</v>
      </c>
      <c r="D94" s="9">
        <v>45463</v>
      </c>
      <c r="E94" t="s">
        <v>23</v>
      </c>
      <c r="G94" t="s">
        <v>2345</v>
      </c>
      <c r="I94" s="16" t="str">
        <f t="shared" si="1"/>
        <v>Unknown</v>
      </c>
      <c r="J94" t="s">
        <v>39</v>
      </c>
    </row>
    <row r="95" spans="1:10">
      <c r="A95" t="s">
        <v>2427</v>
      </c>
      <c r="B95" t="s">
        <v>1744</v>
      </c>
      <c r="C95" t="s">
        <v>2233</v>
      </c>
      <c r="D95" s="9">
        <v>45977</v>
      </c>
      <c r="E95" t="s">
        <v>2324</v>
      </c>
      <c r="F95" s="20">
        <v>55</v>
      </c>
      <c r="G95" t="s">
        <v>2339</v>
      </c>
      <c r="H95">
        <v>2500</v>
      </c>
      <c r="I95" s="16" t="str">
        <f t="shared" si="1"/>
        <v>Normal</v>
      </c>
      <c r="J95" t="s">
        <v>39</v>
      </c>
    </row>
    <row r="96" spans="1:10">
      <c r="A96" t="s">
        <v>2428</v>
      </c>
      <c r="B96" t="s">
        <v>261</v>
      </c>
      <c r="C96" t="s">
        <v>2271</v>
      </c>
      <c r="D96" s="9">
        <v>45814</v>
      </c>
      <c r="E96" t="s">
        <v>2330</v>
      </c>
      <c r="F96" s="20">
        <v>100</v>
      </c>
      <c r="G96" t="s">
        <v>2339</v>
      </c>
      <c r="H96">
        <v>1200</v>
      </c>
      <c r="I96" s="16" t="str">
        <f t="shared" si="1"/>
        <v>Normal</v>
      </c>
      <c r="J96">
        <v>4</v>
      </c>
    </row>
    <row r="97" spans="1:10">
      <c r="A97" t="s">
        <v>2429</v>
      </c>
      <c r="B97" t="s">
        <v>71</v>
      </c>
      <c r="C97" t="s">
        <v>2231</v>
      </c>
      <c r="D97" s="9">
        <v>45367</v>
      </c>
      <c r="E97" t="s">
        <v>23</v>
      </c>
      <c r="G97" t="s">
        <v>2345</v>
      </c>
      <c r="H97">
        <v>3000</v>
      </c>
      <c r="I97" s="16" t="str">
        <f t="shared" si="1"/>
        <v>Normal</v>
      </c>
      <c r="J97">
        <v>5</v>
      </c>
    </row>
    <row r="98" spans="1:10">
      <c r="A98" t="s">
        <v>2430</v>
      </c>
      <c r="B98" t="s">
        <v>2111</v>
      </c>
      <c r="C98" t="s">
        <v>2241</v>
      </c>
      <c r="D98" s="9">
        <v>45556</v>
      </c>
      <c r="E98" t="s">
        <v>2330</v>
      </c>
      <c r="F98" s="20">
        <v>100</v>
      </c>
      <c r="G98" t="s">
        <v>2345</v>
      </c>
      <c r="H98">
        <v>2500</v>
      </c>
      <c r="I98" s="16" t="str">
        <f t="shared" si="1"/>
        <v>Normal</v>
      </c>
      <c r="J98">
        <v>4</v>
      </c>
    </row>
    <row r="99" spans="1:10">
      <c r="A99" t="s">
        <v>2431</v>
      </c>
      <c r="B99" t="s">
        <v>376</v>
      </c>
      <c r="C99" t="s">
        <v>2241</v>
      </c>
      <c r="D99" s="9">
        <v>45642</v>
      </c>
      <c r="E99" t="s">
        <v>2327</v>
      </c>
      <c r="F99" s="20">
        <v>5</v>
      </c>
      <c r="G99" t="s">
        <v>2325</v>
      </c>
      <c r="H99">
        <v>2500</v>
      </c>
      <c r="I99" s="16" t="str">
        <f t="shared" si="1"/>
        <v>Normal</v>
      </c>
      <c r="J99">
        <v>4</v>
      </c>
    </row>
    <row r="100" spans="1:10">
      <c r="A100" t="s">
        <v>2432</v>
      </c>
      <c r="B100" t="s">
        <v>1464</v>
      </c>
      <c r="C100" t="s">
        <v>2209</v>
      </c>
      <c r="D100" s="9">
        <v>45683</v>
      </c>
      <c r="E100" t="s">
        <v>2324</v>
      </c>
      <c r="G100" t="s">
        <v>2328</v>
      </c>
      <c r="H100">
        <v>499</v>
      </c>
      <c r="I100" s="16" t="str">
        <f t="shared" si="1"/>
        <v>Normal</v>
      </c>
      <c r="J100">
        <v>5</v>
      </c>
    </row>
    <row r="101" spans="1:10">
      <c r="A101" t="s">
        <v>2433</v>
      </c>
      <c r="B101" t="s">
        <v>1425</v>
      </c>
      <c r="C101" t="s">
        <v>2209</v>
      </c>
      <c r="D101" s="9">
        <v>45681</v>
      </c>
      <c r="E101" t="s">
        <v>2324</v>
      </c>
      <c r="F101" s="20">
        <v>75</v>
      </c>
      <c r="G101" t="s">
        <v>2331</v>
      </c>
      <c r="H101">
        <v>499</v>
      </c>
      <c r="I101" s="16" t="str">
        <f t="shared" si="1"/>
        <v>Normal</v>
      </c>
      <c r="J101">
        <v>4</v>
      </c>
    </row>
    <row r="102" spans="1:10">
      <c r="A102" t="s">
        <v>2434</v>
      </c>
      <c r="B102" t="s">
        <v>418</v>
      </c>
      <c r="C102" t="s">
        <v>2198</v>
      </c>
      <c r="D102" s="9">
        <v>45850</v>
      </c>
      <c r="E102" t="s">
        <v>2324</v>
      </c>
      <c r="F102" s="20">
        <v>10</v>
      </c>
      <c r="G102" t="s">
        <v>2331</v>
      </c>
      <c r="I102" s="16" t="str">
        <f t="shared" si="1"/>
        <v>Unknown</v>
      </c>
      <c r="J102">
        <v>1</v>
      </c>
    </row>
    <row r="103" spans="1:10">
      <c r="A103" t="s">
        <v>2435</v>
      </c>
      <c r="B103" t="s">
        <v>277</v>
      </c>
      <c r="C103" t="s">
        <v>2213</v>
      </c>
      <c r="D103" s="9">
        <v>45519</v>
      </c>
      <c r="E103" t="s">
        <v>2330</v>
      </c>
      <c r="F103" s="20">
        <v>100</v>
      </c>
      <c r="G103" t="s">
        <v>2325</v>
      </c>
      <c r="H103">
        <v>1500</v>
      </c>
      <c r="I103" s="16" t="str">
        <f t="shared" si="1"/>
        <v>Normal</v>
      </c>
      <c r="J103">
        <v>2</v>
      </c>
    </row>
    <row r="104" spans="1:10">
      <c r="A104" t="s">
        <v>2436</v>
      </c>
      <c r="B104" t="s">
        <v>167</v>
      </c>
      <c r="C104" t="s">
        <v>2216</v>
      </c>
      <c r="D104" s="9">
        <v>45734</v>
      </c>
      <c r="E104" t="s">
        <v>2324</v>
      </c>
      <c r="F104" s="20">
        <v>60</v>
      </c>
      <c r="G104" t="s">
        <v>23</v>
      </c>
      <c r="H104">
        <v>1200</v>
      </c>
      <c r="I104" s="16" t="str">
        <f t="shared" si="1"/>
        <v>Normal</v>
      </c>
      <c r="J104">
        <v>4</v>
      </c>
    </row>
    <row r="105" spans="1:10">
      <c r="A105" t="s">
        <v>2437</v>
      </c>
      <c r="B105" t="s">
        <v>213</v>
      </c>
      <c r="C105" t="s">
        <v>2193</v>
      </c>
      <c r="D105" s="9">
        <v>45560</v>
      </c>
      <c r="E105" t="s">
        <v>2324</v>
      </c>
      <c r="F105" s="20">
        <v>40</v>
      </c>
      <c r="G105" t="s">
        <v>2345</v>
      </c>
      <c r="H105">
        <v>0</v>
      </c>
      <c r="I105" s="16" t="str">
        <f t="shared" si="1"/>
        <v>Zero Amount</v>
      </c>
      <c r="J105" t="s">
        <v>39</v>
      </c>
    </row>
    <row r="106" spans="1:10">
      <c r="A106" t="s">
        <v>2438</v>
      </c>
      <c r="B106" t="s">
        <v>1486</v>
      </c>
      <c r="C106" t="s">
        <v>2241</v>
      </c>
      <c r="D106" s="9">
        <v>45731</v>
      </c>
      <c r="E106" t="s">
        <v>2324</v>
      </c>
      <c r="G106" t="s">
        <v>2339</v>
      </c>
      <c r="H106">
        <v>2500</v>
      </c>
      <c r="I106" s="16" t="str">
        <f t="shared" si="1"/>
        <v>Normal</v>
      </c>
      <c r="J106">
        <v>4</v>
      </c>
    </row>
    <row r="107" spans="1:10">
      <c r="A107" t="s">
        <v>2439</v>
      </c>
      <c r="B107" t="s">
        <v>394</v>
      </c>
      <c r="C107" t="s">
        <v>2225</v>
      </c>
      <c r="D107" s="9">
        <v>45858</v>
      </c>
      <c r="E107" t="s">
        <v>2324</v>
      </c>
      <c r="F107" s="20">
        <v>60</v>
      </c>
      <c r="G107" t="s">
        <v>2328</v>
      </c>
      <c r="I107" s="16" t="str">
        <f t="shared" si="1"/>
        <v>Unknown</v>
      </c>
      <c r="J107" t="s">
        <v>39</v>
      </c>
    </row>
    <row r="108" spans="1:10">
      <c r="A108" t="s">
        <v>2440</v>
      </c>
      <c r="B108" t="s">
        <v>1770</v>
      </c>
      <c r="C108" t="s">
        <v>2247</v>
      </c>
      <c r="D108" s="9">
        <v>45918</v>
      </c>
      <c r="E108" t="s">
        <v>2330</v>
      </c>
      <c r="G108" t="s">
        <v>23</v>
      </c>
      <c r="I108" s="16" t="str">
        <f t="shared" si="1"/>
        <v>Unknown</v>
      </c>
      <c r="J108" t="s">
        <v>39</v>
      </c>
    </row>
    <row r="109" spans="1:10">
      <c r="A109" t="s">
        <v>2441</v>
      </c>
      <c r="B109" t="s">
        <v>328</v>
      </c>
      <c r="C109" t="s">
        <v>2271</v>
      </c>
      <c r="D109" s="9">
        <v>45868</v>
      </c>
      <c r="E109" t="s">
        <v>2324</v>
      </c>
      <c r="F109" s="20">
        <v>75</v>
      </c>
      <c r="G109" t="s">
        <v>2339</v>
      </c>
      <c r="H109">
        <v>1200</v>
      </c>
      <c r="I109" s="16" t="str">
        <f t="shared" si="1"/>
        <v>Normal</v>
      </c>
      <c r="J109">
        <v>1</v>
      </c>
    </row>
    <row r="110" spans="1:10">
      <c r="A110" t="s">
        <v>2442</v>
      </c>
      <c r="B110" t="s">
        <v>630</v>
      </c>
      <c r="C110" t="s">
        <v>2241</v>
      </c>
      <c r="D110" s="9">
        <v>45355</v>
      </c>
      <c r="E110" t="s">
        <v>2324</v>
      </c>
      <c r="F110" s="20">
        <v>55</v>
      </c>
      <c r="G110" t="s">
        <v>2331</v>
      </c>
      <c r="H110">
        <v>2500</v>
      </c>
      <c r="I110" s="16" t="str">
        <f t="shared" si="1"/>
        <v>Normal</v>
      </c>
      <c r="J110" t="s">
        <v>39</v>
      </c>
    </row>
    <row r="111" spans="1:10">
      <c r="A111" t="s">
        <v>2443</v>
      </c>
      <c r="B111" t="s">
        <v>1606</v>
      </c>
      <c r="C111" t="s">
        <v>2193</v>
      </c>
      <c r="D111" s="9">
        <v>45101</v>
      </c>
      <c r="E111" t="s">
        <v>2337</v>
      </c>
      <c r="F111" s="20">
        <v>5</v>
      </c>
      <c r="G111" t="s">
        <v>2331</v>
      </c>
      <c r="H111">
        <v>0</v>
      </c>
      <c r="I111" s="16" t="str">
        <f t="shared" si="1"/>
        <v>Zero Amount</v>
      </c>
      <c r="J111">
        <v>1</v>
      </c>
    </row>
    <row r="112" spans="1:10">
      <c r="A112" t="s">
        <v>2444</v>
      </c>
      <c r="B112" t="s">
        <v>600</v>
      </c>
      <c r="C112" t="s">
        <v>2247</v>
      </c>
      <c r="D112" s="9">
        <v>46187</v>
      </c>
      <c r="E112" t="s">
        <v>23</v>
      </c>
      <c r="G112" t="s">
        <v>2339</v>
      </c>
      <c r="I112" s="16" t="str">
        <f t="shared" si="1"/>
        <v>Unknown</v>
      </c>
      <c r="J112" t="s">
        <v>39</v>
      </c>
    </row>
    <row r="113" spans="1:10">
      <c r="A113" t="s">
        <v>2445</v>
      </c>
      <c r="B113" t="s">
        <v>1173</v>
      </c>
      <c r="C113" t="s">
        <v>2244</v>
      </c>
      <c r="D113" s="9">
        <v>45116</v>
      </c>
      <c r="E113" t="s">
        <v>23</v>
      </c>
      <c r="G113" t="s">
        <v>2339</v>
      </c>
      <c r="H113">
        <v>1200</v>
      </c>
      <c r="I113" s="16" t="str">
        <f t="shared" si="1"/>
        <v>Normal</v>
      </c>
      <c r="J113" t="s">
        <v>39</v>
      </c>
    </row>
    <row r="114" spans="1:10">
      <c r="A114" t="s">
        <v>2446</v>
      </c>
      <c r="B114" t="s">
        <v>1126</v>
      </c>
      <c r="C114" t="s">
        <v>2209</v>
      </c>
      <c r="D114" s="9">
        <v>45709</v>
      </c>
      <c r="E114" t="s">
        <v>2330</v>
      </c>
      <c r="G114" t="s">
        <v>2331</v>
      </c>
      <c r="H114">
        <v>499</v>
      </c>
      <c r="I114" s="16" t="str">
        <f t="shared" si="1"/>
        <v>Normal</v>
      </c>
      <c r="J114">
        <v>4</v>
      </c>
    </row>
    <row r="115" spans="1:10">
      <c r="A115" t="s">
        <v>2447</v>
      </c>
      <c r="B115" t="s">
        <v>299</v>
      </c>
      <c r="C115" t="s">
        <v>2209</v>
      </c>
      <c r="D115" s="9">
        <v>46147</v>
      </c>
      <c r="E115" t="s">
        <v>23</v>
      </c>
      <c r="G115" t="s">
        <v>2345</v>
      </c>
      <c r="I115" s="16" t="str">
        <f t="shared" si="1"/>
        <v>Unknown</v>
      </c>
      <c r="J115">
        <v>2</v>
      </c>
    </row>
    <row r="116" spans="1:10">
      <c r="A116" t="s">
        <v>2448</v>
      </c>
      <c r="B116" t="s">
        <v>1646</v>
      </c>
      <c r="C116" t="s">
        <v>2251</v>
      </c>
      <c r="D116" s="9">
        <v>46107</v>
      </c>
      <c r="E116" t="s">
        <v>2324</v>
      </c>
      <c r="F116" s="20">
        <v>60</v>
      </c>
      <c r="G116" t="s">
        <v>2345</v>
      </c>
      <c r="H116">
        <v>1500</v>
      </c>
      <c r="I116" s="16" t="str">
        <f t="shared" si="1"/>
        <v>Normal</v>
      </c>
      <c r="J116">
        <v>5</v>
      </c>
    </row>
    <row r="117" spans="1:10">
      <c r="A117" t="s">
        <v>2449</v>
      </c>
      <c r="B117" t="s">
        <v>1496</v>
      </c>
      <c r="C117" t="s">
        <v>2233</v>
      </c>
      <c r="D117" s="9">
        <v>45163</v>
      </c>
      <c r="E117" t="s">
        <v>2327</v>
      </c>
      <c r="F117" s="20">
        <v>20</v>
      </c>
      <c r="G117" t="s">
        <v>2331</v>
      </c>
      <c r="H117">
        <v>2500</v>
      </c>
      <c r="I117" s="16" t="str">
        <f t="shared" si="1"/>
        <v>Normal</v>
      </c>
      <c r="J117">
        <v>3</v>
      </c>
    </row>
    <row r="118" spans="1:10">
      <c r="A118" t="s">
        <v>2450</v>
      </c>
      <c r="B118" t="s">
        <v>1401</v>
      </c>
      <c r="C118" t="s">
        <v>2198</v>
      </c>
      <c r="D118" s="9">
        <v>45480</v>
      </c>
      <c r="E118" t="s">
        <v>2337</v>
      </c>
      <c r="G118" t="s">
        <v>2345</v>
      </c>
      <c r="I118" s="16" t="str">
        <f t="shared" si="1"/>
        <v>Unknown</v>
      </c>
      <c r="J118">
        <v>5</v>
      </c>
    </row>
    <row r="119" spans="1:10">
      <c r="A119" t="s">
        <v>2451</v>
      </c>
      <c r="B119" t="s">
        <v>253</v>
      </c>
      <c r="C119" t="s">
        <v>2259</v>
      </c>
      <c r="D119" s="9">
        <v>46028</v>
      </c>
      <c r="E119" t="s">
        <v>2330</v>
      </c>
      <c r="F119" s="20">
        <v>100</v>
      </c>
      <c r="G119" t="s">
        <v>2345</v>
      </c>
      <c r="H119">
        <v>0</v>
      </c>
      <c r="I119" s="16" t="str">
        <f t="shared" si="1"/>
        <v>Zero Amount</v>
      </c>
      <c r="J119" t="s">
        <v>39</v>
      </c>
    </row>
    <row r="120" spans="1:10">
      <c r="A120" t="s">
        <v>2452</v>
      </c>
      <c r="B120" t="s">
        <v>1407</v>
      </c>
      <c r="C120" t="s">
        <v>2209</v>
      </c>
      <c r="D120" s="9">
        <v>46047</v>
      </c>
      <c r="E120" t="s">
        <v>2337</v>
      </c>
      <c r="F120" s="20">
        <v>0</v>
      </c>
      <c r="G120" t="s">
        <v>23</v>
      </c>
      <c r="H120">
        <v>499</v>
      </c>
      <c r="I120" s="16" t="str">
        <f t="shared" si="1"/>
        <v>Normal</v>
      </c>
      <c r="J120">
        <v>1</v>
      </c>
    </row>
    <row r="121" spans="1:10">
      <c r="A121" t="s">
        <v>2453</v>
      </c>
      <c r="B121" t="s">
        <v>380</v>
      </c>
      <c r="C121" t="s">
        <v>2228</v>
      </c>
      <c r="D121" s="9">
        <v>45759</v>
      </c>
      <c r="E121" t="s">
        <v>23</v>
      </c>
      <c r="G121" t="s">
        <v>23</v>
      </c>
      <c r="H121">
        <v>799</v>
      </c>
      <c r="I121" s="16" t="str">
        <f t="shared" si="1"/>
        <v>Normal</v>
      </c>
      <c r="J121">
        <v>5</v>
      </c>
    </row>
    <row r="122" spans="1:10">
      <c r="A122" t="s">
        <v>2454</v>
      </c>
      <c r="B122" t="s">
        <v>438</v>
      </c>
      <c r="C122" t="s">
        <v>2198</v>
      </c>
      <c r="D122" s="9">
        <v>45420</v>
      </c>
      <c r="E122" t="s">
        <v>2324</v>
      </c>
      <c r="F122" s="20">
        <v>55</v>
      </c>
      <c r="G122" t="s">
        <v>2331</v>
      </c>
      <c r="I122" s="16" t="str">
        <f t="shared" si="1"/>
        <v>Unknown</v>
      </c>
      <c r="J122">
        <v>4</v>
      </c>
    </row>
    <row r="123" spans="1:10">
      <c r="A123" t="s">
        <v>2455</v>
      </c>
      <c r="B123" t="s">
        <v>277</v>
      </c>
      <c r="C123" t="s">
        <v>2225</v>
      </c>
      <c r="D123" s="9">
        <v>45255</v>
      </c>
      <c r="E123" t="s">
        <v>23</v>
      </c>
      <c r="G123" t="s">
        <v>23</v>
      </c>
      <c r="I123" s="16" t="str">
        <f t="shared" si="1"/>
        <v>Unknown</v>
      </c>
      <c r="J123">
        <v>1</v>
      </c>
    </row>
    <row r="124" spans="1:10">
      <c r="A124" t="s">
        <v>2456</v>
      </c>
      <c r="B124" t="s">
        <v>460</v>
      </c>
      <c r="C124" t="s">
        <v>2218</v>
      </c>
      <c r="D124" s="9">
        <v>46327</v>
      </c>
      <c r="E124" t="s">
        <v>2330</v>
      </c>
      <c r="F124" s="20">
        <v>100</v>
      </c>
      <c r="G124" t="s">
        <v>23</v>
      </c>
      <c r="H124">
        <v>1500</v>
      </c>
      <c r="I124" s="16" t="str">
        <f t="shared" si="1"/>
        <v>Normal</v>
      </c>
      <c r="J124">
        <v>5</v>
      </c>
    </row>
    <row r="125" spans="1:10">
      <c r="A125" t="s">
        <v>2457</v>
      </c>
      <c r="B125" t="s">
        <v>574</v>
      </c>
      <c r="C125" t="s">
        <v>2251</v>
      </c>
      <c r="D125" s="9">
        <v>46163</v>
      </c>
      <c r="E125" t="s">
        <v>2324</v>
      </c>
      <c r="F125" s="20">
        <v>60</v>
      </c>
      <c r="G125" t="s">
        <v>2328</v>
      </c>
      <c r="H125">
        <v>1500</v>
      </c>
      <c r="I125" s="16" t="str">
        <f t="shared" si="1"/>
        <v>Normal</v>
      </c>
      <c r="J125" t="s">
        <v>39</v>
      </c>
    </row>
    <row r="126" spans="1:10">
      <c r="A126" t="s">
        <v>2458</v>
      </c>
      <c r="B126" t="s">
        <v>267</v>
      </c>
      <c r="C126" t="s">
        <v>2273</v>
      </c>
      <c r="D126" s="9">
        <v>46098</v>
      </c>
      <c r="E126" t="s">
        <v>2337</v>
      </c>
      <c r="F126" s="20">
        <v>20</v>
      </c>
      <c r="G126" t="s">
        <v>2345</v>
      </c>
      <c r="H126">
        <v>-799</v>
      </c>
      <c r="I126" s="16" t="str">
        <f t="shared" si="1"/>
        <v>Review</v>
      </c>
      <c r="J126">
        <v>1</v>
      </c>
    </row>
    <row r="127" spans="1:10">
      <c r="A127" t="s">
        <v>2459</v>
      </c>
      <c r="B127" t="s">
        <v>1578</v>
      </c>
      <c r="C127" t="s">
        <v>2218</v>
      </c>
      <c r="D127" s="9">
        <v>45629</v>
      </c>
      <c r="E127" t="s">
        <v>2327</v>
      </c>
      <c r="F127" s="20">
        <v>0</v>
      </c>
      <c r="G127" t="s">
        <v>2328</v>
      </c>
      <c r="I127" s="16" t="str">
        <f t="shared" si="1"/>
        <v>Unknown</v>
      </c>
      <c r="J127" t="s">
        <v>39</v>
      </c>
    </row>
    <row r="128" spans="1:10">
      <c r="A128" t="s">
        <v>2460</v>
      </c>
      <c r="B128" t="s">
        <v>339</v>
      </c>
      <c r="C128" t="s">
        <v>2222</v>
      </c>
      <c r="D128" s="9">
        <v>46005</v>
      </c>
      <c r="E128" t="s">
        <v>23</v>
      </c>
      <c r="G128" t="s">
        <v>2345</v>
      </c>
      <c r="H128">
        <v>0</v>
      </c>
      <c r="I128" s="16" t="str">
        <f t="shared" si="1"/>
        <v>Zero Amount</v>
      </c>
      <c r="J128">
        <v>4</v>
      </c>
    </row>
    <row r="129" spans="1:10">
      <c r="A129" t="s">
        <v>2461</v>
      </c>
      <c r="B129" t="s">
        <v>713</v>
      </c>
      <c r="C129" t="s">
        <v>2267</v>
      </c>
      <c r="D129" s="9">
        <v>45159</v>
      </c>
      <c r="E129" t="s">
        <v>2324</v>
      </c>
      <c r="F129" s="20">
        <v>55</v>
      </c>
      <c r="G129" t="s">
        <v>2345</v>
      </c>
      <c r="H129">
        <v>886.78</v>
      </c>
      <c r="I129" s="16" t="str">
        <f t="shared" si="1"/>
        <v>Normal</v>
      </c>
      <c r="J129">
        <v>3</v>
      </c>
    </row>
    <row r="130" spans="1:10">
      <c r="A130" t="s">
        <v>2462</v>
      </c>
      <c r="B130" t="s">
        <v>645</v>
      </c>
      <c r="C130" t="s">
        <v>2213</v>
      </c>
      <c r="D130" s="9">
        <v>45249</v>
      </c>
      <c r="E130" t="s">
        <v>2337</v>
      </c>
      <c r="F130" s="20">
        <v>20</v>
      </c>
      <c r="G130" t="s">
        <v>2339</v>
      </c>
      <c r="H130">
        <v>1500</v>
      </c>
      <c r="I130" s="16" t="str">
        <f t="shared" si="1"/>
        <v>Normal</v>
      </c>
      <c r="J130">
        <v>5</v>
      </c>
    </row>
    <row r="131" spans="1:10">
      <c r="A131" t="s">
        <v>2463</v>
      </c>
      <c r="B131" t="s">
        <v>1627</v>
      </c>
      <c r="C131" t="s">
        <v>2228</v>
      </c>
      <c r="D131" s="9">
        <v>46152</v>
      </c>
      <c r="E131" t="s">
        <v>2337</v>
      </c>
      <c r="F131" s="20">
        <v>0</v>
      </c>
      <c r="G131" t="s">
        <v>2325</v>
      </c>
      <c r="H131">
        <v>799</v>
      </c>
      <c r="I131" s="16" t="str">
        <f t="shared" ref="I131:I194" si="2">IF(H131="", "Unknown", IF(H131=0, "Zero Amount", IF(H131&lt;1, "Review", IF(H131&gt;1, "Normal"))))</f>
        <v>Normal</v>
      </c>
      <c r="J131">
        <v>5</v>
      </c>
    </row>
    <row r="132" spans="1:10">
      <c r="A132" t="s">
        <v>2464</v>
      </c>
      <c r="B132" t="s">
        <v>2465</v>
      </c>
      <c r="C132" t="s">
        <v>2259</v>
      </c>
      <c r="D132" s="9">
        <v>45869</v>
      </c>
      <c r="E132" t="s">
        <v>2327</v>
      </c>
      <c r="F132" s="20">
        <v>15</v>
      </c>
      <c r="G132" t="s">
        <v>23</v>
      </c>
      <c r="H132">
        <v>0</v>
      </c>
      <c r="I132" s="16" t="str">
        <f t="shared" si="2"/>
        <v>Zero Amount</v>
      </c>
      <c r="J132">
        <v>3</v>
      </c>
    </row>
    <row r="133" spans="1:10">
      <c r="A133" t="s">
        <v>2466</v>
      </c>
      <c r="B133" t="s">
        <v>581</v>
      </c>
      <c r="C133" t="s">
        <v>2237</v>
      </c>
      <c r="D133" s="9">
        <v>45481</v>
      </c>
      <c r="E133" t="s">
        <v>2324</v>
      </c>
      <c r="G133" t="s">
        <v>2345</v>
      </c>
      <c r="H133">
        <v>1500</v>
      </c>
      <c r="I133" s="16" t="str">
        <f t="shared" si="2"/>
        <v>Normal</v>
      </c>
      <c r="J133">
        <v>4</v>
      </c>
    </row>
    <row r="134" spans="1:10">
      <c r="A134" t="s">
        <v>2467</v>
      </c>
      <c r="B134" t="s">
        <v>1680</v>
      </c>
      <c r="C134" t="s">
        <v>2267</v>
      </c>
      <c r="D134" s="9">
        <v>45126</v>
      </c>
      <c r="E134" t="s">
        <v>23</v>
      </c>
      <c r="G134" t="s">
        <v>2325</v>
      </c>
      <c r="H134">
        <v>999.99</v>
      </c>
      <c r="I134" s="16" t="str">
        <f t="shared" si="2"/>
        <v>Normal</v>
      </c>
      <c r="J134">
        <v>4</v>
      </c>
    </row>
    <row r="135" spans="1:10">
      <c r="A135" t="s">
        <v>2468</v>
      </c>
      <c r="B135" t="s">
        <v>729</v>
      </c>
      <c r="C135" t="s">
        <v>2233</v>
      </c>
      <c r="D135" s="9">
        <v>46155</v>
      </c>
      <c r="E135" t="s">
        <v>2327</v>
      </c>
      <c r="G135" t="s">
        <v>2325</v>
      </c>
      <c r="H135">
        <v>2500</v>
      </c>
      <c r="I135" s="16" t="str">
        <f t="shared" si="2"/>
        <v>Normal</v>
      </c>
      <c r="J135">
        <v>4</v>
      </c>
    </row>
    <row r="136" spans="1:10">
      <c r="A136" t="s">
        <v>2469</v>
      </c>
      <c r="B136" t="s">
        <v>739</v>
      </c>
      <c r="C136" t="s">
        <v>2253</v>
      </c>
      <c r="D136" s="9">
        <v>45505</v>
      </c>
      <c r="E136" t="s">
        <v>2330</v>
      </c>
      <c r="F136" s="20">
        <v>100</v>
      </c>
      <c r="G136" t="s">
        <v>2345</v>
      </c>
      <c r="H136">
        <v>1200</v>
      </c>
      <c r="I136" s="16" t="str">
        <f t="shared" si="2"/>
        <v>Normal</v>
      </c>
      <c r="J136">
        <v>3</v>
      </c>
    </row>
    <row r="137" spans="1:10">
      <c r="A137" t="s">
        <v>2470</v>
      </c>
      <c r="B137" t="s">
        <v>1149</v>
      </c>
      <c r="C137" t="s">
        <v>2271</v>
      </c>
      <c r="D137" s="9">
        <v>45866</v>
      </c>
      <c r="E137" t="s">
        <v>2324</v>
      </c>
      <c r="F137" s="20">
        <v>75</v>
      </c>
      <c r="G137" t="s">
        <v>23</v>
      </c>
      <c r="H137">
        <v>1200</v>
      </c>
      <c r="I137" s="16" t="str">
        <f t="shared" si="2"/>
        <v>Normal</v>
      </c>
      <c r="J137">
        <v>5</v>
      </c>
    </row>
    <row r="138" spans="1:10">
      <c r="A138" t="s">
        <v>2471</v>
      </c>
      <c r="B138" t="s">
        <v>1544</v>
      </c>
      <c r="C138" t="s">
        <v>2233</v>
      </c>
      <c r="D138" s="9">
        <v>45824</v>
      </c>
      <c r="E138" t="s">
        <v>2324</v>
      </c>
      <c r="G138" t="s">
        <v>2331</v>
      </c>
      <c r="I138" s="16" t="str">
        <f t="shared" si="2"/>
        <v>Unknown</v>
      </c>
      <c r="J138">
        <v>5</v>
      </c>
    </row>
    <row r="139" spans="1:10">
      <c r="A139" t="s">
        <v>2472</v>
      </c>
      <c r="B139" t="s">
        <v>457</v>
      </c>
      <c r="C139" t="s">
        <v>2273</v>
      </c>
      <c r="D139" s="9">
        <v>45178</v>
      </c>
      <c r="E139" t="s">
        <v>23</v>
      </c>
      <c r="G139" t="s">
        <v>2339</v>
      </c>
      <c r="H139">
        <v>799</v>
      </c>
      <c r="I139" s="16" t="str">
        <f t="shared" si="2"/>
        <v>Normal</v>
      </c>
      <c r="J139">
        <v>4</v>
      </c>
    </row>
    <row r="140" spans="1:10">
      <c r="A140" t="s">
        <v>2473</v>
      </c>
      <c r="B140" t="s">
        <v>2010</v>
      </c>
      <c r="C140" t="s">
        <v>2233</v>
      </c>
      <c r="D140" s="9">
        <v>46015</v>
      </c>
      <c r="E140" t="s">
        <v>2330</v>
      </c>
      <c r="G140" t="s">
        <v>2331</v>
      </c>
      <c r="H140">
        <v>2500</v>
      </c>
      <c r="I140" s="16" t="str">
        <f t="shared" si="2"/>
        <v>Normal</v>
      </c>
      <c r="J140">
        <v>4</v>
      </c>
    </row>
    <row r="141" spans="1:10">
      <c r="A141" t="s">
        <v>2474</v>
      </c>
      <c r="B141" t="s">
        <v>360</v>
      </c>
      <c r="C141" t="s">
        <v>2264</v>
      </c>
      <c r="D141" s="9">
        <v>46052</v>
      </c>
      <c r="E141" t="s">
        <v>2324</v>
      </c>
      <c r="F141" s="20">
        <v>75</v>
      </c>
      <c r="G141" t="s">
        <v>2328</v>
      </c>
      <c r="H141">
        <v>2500</v>
      </c>
      <c r="I141" s="16" t="str">
        <f t="shared" si="2"/>
        <v>Normal</v>
      </c>
      <c r="J141" t="s">
        <v>39</v>
      </c>
    </row>
    <row r="142" spans="1:10">
      <c r="A142" t="s">
        <v>2475</v>
      </c>
      <c r="B142" t="s">
        <v>418</v>
      </c>
      <c r="C142" t="s">
        <v>2237</v>
      </c>
      <c r="D142" s="9">
        <v>45131</v>
      </c>
      <c r="E142" t="s">
        <v>2324</v>
      </c>
      <c r="F142" s="20">
        <v>75</v>
      </c>
      <c r="G142" t="s">
        <v>2345</v>
      </c>
      <c r="H142">
        <v>-1500</v>
      </c>
      <c r="I142" s="16" t="str">
        <f t="shared" si="2"/>
        <v>Review</v>
      </c>
      <c r="J142">
        <v>5</v>
      </c>
    </row>
    <row r="143" spans="1:10">
      <c r="A143" t="s">
        <v>2476</v>
      </c>
      <c r="B143" t="s">
        <v>1103</v>
      </c>
      <c r="C143" t="s">
        <v>2269</v>
      </c>
      <c r="D143" s="9">
        <v>45498</v>
      </c>
      <c r="E143" t="s">
        <v>2330</v>
      </c>
      <c r="F143" s="20">
        <v>100</v>
      </c>
      <c r="G143" t="s">
        <v>2328</v>
      </c>
      <c r="H143">
        <v>499</v>
      </c>
      <c r="I143" s="16" t="str">
        <f t="shared" si="2"/>
        <v>Normal</v>
      </c>
      <c r="J143">
        <v>1</v>
      </c>
    </row>
    <row r="144" spans="1:10">
      <c r="A144" t="s">
        <v>2477</v>
      </c>
      <c r="B144" t="s">
        <v>460</v>
      </c>
      <c r="C144" t="s">
        <v>2213</v>
      </c>
      <c r="D144" s="9">
        <v>45184</v>
      </c>
      <c r="E144" t="s">
        <v>2324</v>
      </c>
      <c r="F144" s="20">
        <v>40</v>
      </c>
      <c r="G144" t="s">
        <v>2328</v>
      </c>
      <c r="H144">
        <v>1500</v>
      </c>
      <c r="I144" s="16" t="str">
        <f t="shared" si="2"/>
        <v>Normal</v>
      </c>
      <c r="J144">
        <v>5</v>
      </c>
    </row>
    <row r="145" spans="1:10">
      <c r="A145" t="s">
        <v>2478</v>
      </c>
      <c r="B145" t="s">
        <v>51</v>
      </c>
      <c r="C145" t="s">
        <v>2228</v>
      </c>
      <c r="D145" s="9">
        <v>45182</v>
      </c>
      <c r="E145" t="s">
        <v>2330</v>
      </c>
      <c r="G145" t="s">
        <v>2345</v>
      </c>
      <c r="H145">
        <v>799</v>
      </c>
      <c r="I145" s="16" t="str">
        <f t="shared" si="2"/>
        <v>Normal</v>
      </c>
      <c r="J145">
        <v>2</v>
      </c>
    </row>
    <row r="146" spans="1:10">
      <c r="A146" t="s">
        <v>2479</v>
      </c>
      <c r="B146" t="s">
        <v>1165</v>
      </c>
      <c r="C146" t="s">
        <v>2267</v>
      </c>
      <c r="D146" s="9">
        <v>45780</v>
      </c>
      <c r="E146" t="s">
        <v>2330</v>
      </c>
      <c r="F146" s="20">
        <v>100</v>
      </c>
      <c r="G146" t="s">
        <v>2328</v>
      </c>
      <c r="H146">
        <v>999.99</v>
      </c>
      <c r="I146" s="16" t="str">
        <f t="shared" si="2"/>
        <v>Normal</v>
      </c>
      <c r="J146" t="s">
        <v>39</v>
      </c>
    </row>
    <row r="147" spans="1:10">
      <c r="A147" t="s">
        <v>2480</v>
      </c>
      <c r="B147" t="s">
        <v>167</v>
      </c>
      <c r="C147" t="s">
        <v>2187</v>
      </c>
      <c r="D147" s="9">
        <v>45989</v>
      </c>
      <c r="E147" t="s">
        <v>2327</v>
      </c>
      <c r="F147" s="20">
        <v>15</v>
      </c>
      <c r="G147" t="s">
        <v>2331</v>
      </c>
      <c r="H147">
        <v>799</v>
      </c>
      <c r="I147" s="16" t="str">
        <f t="shared" si="2"/>
        <v>Normal</v>
      </c>
      <c r="J147">
        <v>5</v>
      </c>
    </row>
    <row r="148" spans="1:10">
      <c r="A148" t="s">
        <v>2481</v>
      </c>
      <c r="B148" t="s">
        <v>1266</v>
      </c>
      <c r="C148" t="s">
        <v>2209</v>
      </c>
      <c r="D148" s="9">
        <v>45262</v>
      </c>
      <c r="E148" t="s">
        <v>2337</v>
      </c>
      <c r="F148" s="20">
        <v>5</v>
      </c>
      <c r="G148" t="s">
        <v>2325</v>
      </c>
      <c r="H148">
        <v>442.49</v>
      </c>
      <c r="I148" s="16" t="str">
        <f t="shared" si="2"/>
        <v>Normal</v>
      </c>
      <c r="J148">
        <v>5</v>
      </c>
    </row>
    <row r="149" spans="1:10">
      <c r="A149" t="s">
        <v>2482</v>
      </c>
      <c r="B149" t="s">
        <v>1468</v>
      </c>
      <c r="C149" t="s">
        <v>2267</v>
      </c>
      <c r="D149" s="9">
        <v>45297</v>
      </c>
      <c r="E149" t="s">
        <v>2337</v>
      </c>
      <c r="F149" s="20">
        <v>5</v>
      </c>
      <c r="G149" t="s">
        <v>2339</v>
      </c>
      <c r="H149">
        <v>-999.99</v>
      </c>
      <c r="I149" s="16" t="str">
        <f t="shared" si="2"/>
        <v>Review</v>
      </c>
      <c r="J149">
        <v>4</v>
      </c>
    </row>
    <row r="150" spans="1:10">
      <c r="A150" t="s">
        <v>2483</v>
      </c>
      <c r="B150" t="s">
        <v>1504</v>
      </c>
      <c r="C150" t="s">
        <v>2271</v>
      </c>
      <c r="D150" s="9">
        <v>46000</v>
      </c>
      <c r="E150" t="s">
        <v>2327</v>
      </c>
      <c r="F150" s="20">
        <v>20</v>
      </c>
      <c r="G150" t="s">
        <v>2339</v>
      </c>
      <c r="H150">
        <v>1200</v>
      </c>
      <c r="I150" s="16" t="str">
        <f t="shared" si="2"/>
        <v>Normal</v>
      </c>
      <c r="J150">
        <v>1</v>
      </c>
    </row>
    <row r="151" spans="1:10">
      <c r="A151" t="s">
        <v>2484</v>
      </c>
      <c r="B151" t="s">
        <v>1870</v>
      </c>
      <c r="C151" t="s">
        <v>2202</v>
      </c>
      <c r="D151" s="9">
        <v>45917</v>
      </c>
      <c r="E151" t="s">
        <v>2337</v>
      </c>
      <c r="F151" s="20">
        <v>15</v>
      </c>
      <c r="G151" t="s">
        <v>2331</v>
      </c>
      <c r="H151">
        <v>723.64</v>
      </c>
      <c r="I151" s="16" t="str">
        <f t="shared" si="2"/>
        <v>Normal</v>
      </c>
      <c r="J151">
        <v>5</v>
      </c>
    </row>
    <row r="152" spans="1:10">
      <c r="A152" t="s">
        <v>2485</v>
      </c>
      <c r="B152" t="s">
        <v>2486</v>
      </c>
      <c r="C152" t="s">
        <v>2198</v>
      </c>
      <c r="D152" s="9">
        <v>45863</v>
      </c>
      <c r="E152" t="s">
        <v>2330</v>
      </c>
      <c r="F152" s="20">
        <v>100</v>
      </c>
      <c r="G152" t="s">
        <v>2339</v>
      </c>
      <c r="I152" s="16" t="str">
        <f t="shared" si="2"/>
        <v>Unknown</v>
      </c>
      <c r="J152">
        <v>4</v>
      </c>
    </row>
    <row r="153" spans="1:10">
      <c r="A153" t="s">
        <v>2487</v>
      </c>
      <c r="B153" t="s">
        <v>145</v>
      </c>
      <c r="C153" t="s">
        <v>2249</v>
      </c>
      <c r="D153" s="9">
        <v>45426</v>
      </c>
      <c r="E153" t="s">
        <v>2324</v>
      </c>
      <c r="F153" s="20">
        <v>60</v>
      </c>
      <c r="G153" t="s">
        <v>2339</v>
      </c>
      <c r="H153">
        <v>1500</v>
      </c>
      <c r="I153" s="16" t="str">
        <f t="shared" si="2"/>
        <v>Normal</v>
      </c>
      <c r="J153">
        <v>4</v>
      </c>
    </row>
    <row r="154" spans="1:10">
      <c r="A154" t="s">
        <v>2488</v>
      </c>
      <c r="B154" t="s">
        <v>1689</v>
      </c>
      <c r="C154" t="s">
        <v>2251</v>
      </c>
      <c r="D154" s="9">
        <v>45549</v>
      </c>
      <c r="E154" t="s">
        <v>2324</v>
      </c>
      <c r="F154" s="20">
        <v>25</v>
      </c>
      <c r="G154" t="s">
        <v>2325</v>
      </c>
      <c r="H154">
        <v>996.46</v>
      </c>
      <c r="I154" s="16" t="str">
        <f t="shared" si="2"/>
        <v>Normal</v>
      </c>
      <c r="J154">
        <v>1</v>
      </c>
    </row>
    <row r="155" spans="1:10">
      <c r="A155" t="s">
        <v>2489</v>
      </c>
      <c r="B155" t="s">
        <v>1133</v>
      </c>
      <c r="C155" t="s">
        <v>2213</v>
      </c>
      <c r="D155" s="9">
        <v>45467</v>
      </c>
      <c r="E155" t="s">
        <v>2330</v>
      </c>
      <c r="F155" s="20">
        <v>100</v>
      </c>
      <c r="G155" t="s">
        <v>2345</v>
      </c>
      <c r="H155">
        <v>1500</v>
      </c>
      <c r="I155" s="16" t="str">
        <f t="shared" si="2"/>
        <v>Normal</v>
      </c>
      <c r="J155">
        <v>4</v>
      </c>
    </row>
    <row r="156" spans="1:10">
      <c r="A156" t="s">
        <v>2490</v>
      </c>
      <c r="B156" t="s">
        <v>1047</v>
      </c>
      <c r="C156" t="s">
        <v>2198</v>
      </c>
      <c r="D156" s="9">
        <v>45954</v>
      </c>
      <c r="E156" t="s">
        <v>2330</v>
      </c>
      <c r="F156" s="20">
        <v>100</v>
      </c>
      <c r="G156" t="s">
        <v>2331</v>
      </c>
      <c r="I156" s="16" t="str">
        <f t="shared" si="2"/>
        <v>Unknown</v>
      </c>
      <c r="J156">
        <v>4</v>
      </c>
    </row>
    <row r="157" spans="1:10">
      <c r="A157" t="s">
        <v>2491</v>
      </c>
      <c r="B157" t="s">
        <v>1708</v>
      </c>
      <c r="C157" t="s">
        <v>2273</v>
      </c>
      <c r="D157" s="9">
        <v>45859</v>
      </c>
      <c r="E157" t="s">
        <v>2324</v>
      </c>
      <c r="F157" s="20">
        <v>10</v>
      </c>
      <c r="G157" t="s">
        <v>2339</v>
      </c>
      <c r="H157">
        <v>799</v>
      </c>
      <c r="I157" s="16" t="str">
        <f t="shared" si="2"/>
        <v>Normal</v>
      </c>
      <c r="J157" t="s">
        <v>39</v>
      </c>
    </row>
    <row r="158" spans="1:10">
      <c r="A158" t="s">
        <v>2492</v>
      </c>
      <c r="B158" t="s">
        <v>380</v>
      </c>
      <c r="C158" t="s">
        <v>2198</v>
      </c>
      <c r="D158" s="9">
        <v>45412</v>
      </c>
      <c r="E158" t="s">
        <v>2324</v>
      </c>
      <c r="G158" t="s">
        <v>23</v>
      </c>
      <c r="I158" s="16" t="str">
        <f t="shared" si="2"/>
        <v>Unknown</v>
      </c>
      <c r="J158">
        <v>1</v>
      </c>
    </row>
    <row r="159" spans="1:10">
      <c r="A159" t="s">
        <v>2493</v>
      </c>
      <c r="B159" t="s">
        <v>121</v>
      </c>
      <c r="C159" t="s">
        <v>2233</v>
      </c>
      <c r="D159" s="9">
        <v>45268</v>
      </c>
      <c r="E159" t="s">
        <v>23</v>
      </c>
      <c r="G159" t="s">
        <v>2328</v>
      </c>
      <c r="H159">
        <v>2500</v>
      </c>
      <c r="I159" s="16" t="str">
        <f t="shared" si="2"/>
        <v>Normal</v>
      </c>
      <c r="J159" t="s">
        <v>39</v>
      </c>
    </row>
    <row r="160" spans="1:10">
      <c r="A160" t="s">
        <v>2494</v>
      </c>
      <c r="B160" t="s">
        <v>1407</v>
      </c>
      <c r="C160" t="s">
        <v>2271</v>
      </c>
      <c r="D160" s="9">
        <v>46297</v>
      </c>
      <c r="E160" t="s">
        <v>23</v>
      </c>
      <c r="G160" t="s">
        <v>2345</v>
      </c>
      <c r="H160">
        <v>1200</v>
      </c>
      <c r="I160" s="16" t="str">
        <f t="shared" si="2"/>
        <v>Normal</v>
      </c>
      <c r="J160" t="s">
        <v>39</v>
      </c>
    </row>
    <row r="161" spans="1:10">
      <c r="A161" t="s">
        <v>2495</v>
      </c>
      <c r="B161" t="s">
        <v>695</v>
      </c>
      <c r="C161" t="s">
        <v>2253</v>
      </c>
      <c r="D161" s="9">
        <v>45133</v>
      </c>
      <c r="E161" t="s">
        <v>2330</v>
      </c>
      <c r="F161" s="20">
        <v>100</v>
      </c>
      <c r="G161" t="s">
        <v>2331</v>
      </c>
      <c r="H161">
        <v>1200</v>
      </c>
      <c r="I161" s="16" t="str">
        <f t="shared" si="2"/>
        <v>Normal</v>
      </c>
      <c r="J161" t="s">
        <v>39</v>
      </c>
    </row>
    <row r="162" spans="1:10">
      <c r="A162" t="s">
        <v>2496</v>
      </c>
      <c r="B162" t="s">
        <v>1794</v>
      </c>
      <c r="C162" t="s">
        <v>2249</v>
      </c>
      <c r="D162" s="9">
        <v>45921</v>
      </c>
      <c r="E162" t="s">
        <v>2330</v>
      </c>
      <c r="F162" s="20">
        <v>100</v>
      </c>
      <c r="G162" t="s">
        <v>2345</v>
      </c>
      <c r="H162">
        <v>1500</v>
      </c>
      <c r="I162" s="16" t="str">
        <f t="shared" si="2"/>
        <v>Normal</v>
      </c>
      <c r="J162" t="s">
        <v>39</v>
      </c>
    </row>
    <row r="163" spans="1:10">
      <c r="A163" t="s">
        <v>2497</v>
      </c>
      <c r="B163" t="s">
        <v>485</v>
      </c>
      <c r="C163" t="s">
        <v>2213</v>
      </c>
      <c r="D163" s="9">
        <v>45649</v>
      </c>
      <c r="E163" t="s">
        <v>2330</v>
      </c>
      <c r="F163" s="20">
        <v>100</v>
      </c>
      <c r="G163" t="s">
        <v>2339</v>
      </c>
      <c r="H163">
        <v>1500</v>
      </c>
      <c r="I163" s="16" t="str">
        <f t="shared" si="2"/>
        <v>Normal</v>
      </c>
      <c r="J163">
        <v>5</v>
      </c>
    </row>
    <row r="164" spans="1:10">
      <c r="A164" t="s">
        <v>2498</v>
      </c>
      <c r="B164" t="s">
        <v>832</v>
      </c>
      <c r="C164" t="s">
        <v>2269</v>
      </c>
      <c r="D164" s="9">
        <v>44964</v>
      </c>
      <c r="E164" t="s">
        <v>2324</v>
      </c>
      <c r="F164" s="20">
        <v>25</v>
      </c>
      <c r="G164" t="s">
        <v>2325</v>
      </c>
      <c r="H164">
        <v>499</v>
      </c>
      <c r="I164" s="16" t="str">
        <f t="shared" si="2"/>
        <v>Normal</v>
      </c>
      <c r="J164" t="s">
        <v>39</v>
      </c>
    </row>
    <row r="165" spans="1:10">
      <c r="A165" t="s">
        <v>2499</v>
      </c>
      <c r="B165" t="s">
        <v>347</v>
      </c>
      <c r="C165" t="s">
        <v>2259</v>
      </c>
      <c r="D165" s="9">
        <v>46010</v>
      </c>
      <c r="E165" t="s">
        <v>2327</v>
      </c>
      <c r="F165" s="20">
        <v>15</v>
      </c>
      <c r="G165" t="s">
        <v>2331</v>
      </c>
      <c r="H165">
        <v>0</v>
      </c>
      <c r="I165" s="16" t="str">
        <f t="shared" si="2"/>
        <v>Zero Amount</v>
      </c>
      <c r="J165">
        <v>2</v>
      </c>
    </row>
    <row r="166" spans="1:10">
      <c r="A166" t="s">
        <v>2500</v>
      </c>
      <c r="B166" t="s">
        <v>1311</v>
      </c>
      <c r="C166" t="s">
        <v>2257</v>
      </c>
      <c r="D166" s="9">
        <v>45843</v>
      </c>
      <c r="E166" t="s">
        <v>2330</v>
      </c>
      <c r="G166" t="s">
        <v>23</v>
      </c>
      <c r="I166" s="16" t="str">
        <f t="shared" si="2"/>
        <v>Unknown</v>
      </c>
      <c r="J166">
        <v>5</v>
      </c>
    </row>
    <row r="167" spans="1:10">
      <c r="A167" t="s">
        <v>2501</v>
      </c>
      <c r="B167" t="s">
        <v>1624</v>
      </c>
      <c r="C167" t="s">
        <v>2241</v>
      </c>
      <c r="D167" s="9">
        <v>46144</v>
      </c>
      <c r="E167" t="s">
        <v>2330</v>
      </c>
      <c r="F167" s="20">
        <v>100</v>
      </c>
      <c r="G167" t="s">
        <v>2345</v>
      </c>
      <c r="H167">
        <v>1506.84</v>
      </c>
      <c r="I167" s="16" t="str">
        <f t="shared" si="2"/>
        <v>Normal</v>
      </c>
      <c r="J167">
        <v>2</v>
      </c>
    </row>
    <row r="168" spans="1:10">
      <c r="A168" t="s">
        <v>2502</v>
      </c>
      <c r="B168" t="s">
        <v>1468</v>
      </c>
      <c r="C168" t="s">
        <v>2202</v>
      </c>
      <c r="D168" s="9">
        <v>45705</v>
      </c>
      <c r="E168" t="s">
        <v>2330</v>
      </c>
      <c r="G168" t="s">
        <v>23</v>
      </c>
      <c r="H168">
        <v>999.99</v>
      </c>
      <c r="I168" s="16" t="str">
        <f t="shared" si="2"/>
        <v>Normal</v>
      </c>
      <c r="J168" t="s">
        <v>39</v>
      </c>
    </row>
    <row r="169" spans="1:10">
      <c r="A169" t="s">
        <v>2503</v>
      </c>
      <c r="B169" t="s">
        <v>1614</v>
      </c>
      <c r="C169" t="s">
        <v>2271</v>
      </c>
      <c r="D169" s="9">
        <v>46007</v>
      </c>
      <c r="E169" t="s">
        <v>2337</v>
      </c>
      <c r="G169" t="s">
        <v>2331</v>
      </c>
      <c r="H169">
        <v>1200</v>
      </c>
      <c r="I169" s="16" t="str">
        <f t="shared" si="2"/>
        <v>Normal</v>
      </c>
      <c r="J169">
        <v>2</v>
      </c>
    </row>
    <row r="170" spans="1:10">
      <c r="A170" t="s">
        <v>2504</v>
      </c>
      <c r="B170" t="s">
        <v>1436</v>
      </c>
      <c r="C170" t="s">
        <v>2233</v>
      </c>
      <c r="D170" s="9">
        <v>46105</v>
      </c>
      <c r="E170" t="s">
        <v>2324</v>
      </c>
      <c r="F170" s="20">
        <v>40</v>
      </c>
      <c r="G170" t="s">
        <v>2345</v>
      </c>
      <c r="H170">
        <v>2500</v>
      </c>
      <c r="I170" s="16" t="str">
        <f t="shared" si="2"/>
        <v>Normal</v>
      </c>
      <c r="J170" t="s">
        <v>39</v>
      </c>
    </row>
    <row r="171" spans="1:10">
      <c r="A171" t="s">
        <v>2505</v>
      </c>
      <c r="B171" t="s">
        <v>1894</v>
      </c>
      <c r="C171" t="s">
        <v>2218</v>
      </c>
      <c r="D171" s="9">
        <v>45648</v>
      </c>
      <c r="E171" t="s">
        <v>2337</v>
      </c>
      <c r="F171" s="20">
        <v>15</v>
      </c>
      <c r="G171" t="s">
        <v>2331</v>
      </c>
      <c r="H171">
        <v>1500</v>
      </c>
      <c r="I171" s="16" t="str">
        <f t="shared" si="2"/>
        <v>Normal</v>
      </c>
      <c r="J171">
        <v>4</v>
      </c>
    </row>
    <row r="172" spans="1:10">
      <c r="A172" t="s">
        <v>2506</v>
      </c>
      <c r="B172" t="s">
        <v>1486</v>
      </c>
      <c r="C172" t="s">
        <v>2187</v>
      </c>
      <c r="D172" s="9">
        <v>45875</v>
      </c>
      <c r="E172" t="s">
        <v>2327</v>
      </c>
      <c r="F172" s="20">
        <v>15</v>
      </c>
      <c r="G172" t="s">
        <v>2331</v>
      </c>
      <c r="H172">
        <v>-799</v>
      </c>
      <c r="I172" s="16" t="str">
        <f t="shared" si="2"/>
        <v>Review</v>
      </c>
      <c r="J172">
        <v>4</v>
      </c>
    </row>
    <row r="173" spans="1:10">
      <c r="A173" t="s">
        <v>2507</v>
      </c>
      <c r="B173" t="s">
        <v>940</v>
      </c>
      <c r="C173" t="s">
        <v>2198</v>
      </c>
      <c r="D173" s="9">
        <v>45562</v>
      </c>
      <c r="E173" t="s">
        <v>2324</v>
      </c>
      <c r="F173" s="20">
        <v>40</v>
      </c>
      <c r="G173" t="s">
        <v>2331</v>
      </c>
      <c r="I173" s="16" t="str">
        <f t="shared" si="2"/>
        <v>Unknown</v>
      </c>
      <c r="J173" t="s">
        <v>39</v>
      </c>
    </row>
    <row r="174" spans="1:10">
      <c r="A174" t="s">
        <v>2508</v>
      </c>
      <c r="B174" t="s">
        <v>61</v>
      </c>
      <c r="C174" t="s">
        <v>2225</v>
      </c>
      <c r="D174" s="9">
        <v>45269</v>
      </c>
      <c r="E174" t="s">
        <v>2330</v>
      </c>
      <c r="F174" s="20">
        <v>100</v>
      </c>
      <c r="G174" t="s">
        <v>2331</v>
      </c>
      <c r="I174" s="16" t="str">
        <f t="shared" si="2"/>
        <v>Unknown</v>
      </c>
      <c r="J174">
        <v>3</v>
      </c>
    </row>
    <row r="175" spans="1:10">
      <c r="A175" t="s">
        <v>2509</v>
      </c>
      <c r="B175" t="s">
        <v>894</v>
      </c>
      <c r="C175" t="s">
        <v>2244</v>
      </c>
      <c r="D175" s="9">
        <v>46164</v>
      </c>
      <c r="E175" t="s">
        <v>2337</v>
      </c>
      <c r="F175" s="20">
        <v>15</v>
      </c>
      <c r="G175" t="s">
        <v>2325</v>
      </c>
      <c r="H175">
        <v>1200</v>
      </c>
      <c r="I175" s="16" t="str">
        <f t="shared" si="2"/>
        <v>Normal</v>
      </c>
      <c r="J175">
        <v>4</v>
      </c>
    </row>
    <row r="176" spans="1:10">
      <c r="A176" t="s">
        <v>2510</v>
      </c>
      <c r="B176" t="s">
        <v>414</v>
      </c>
      <c r="C176" t="s">
        <v>2244</v>
      </c>
      <c r="D176" s="9">
        <v>45992</v>
      </c>
      <c r="E176" t="s">
        <v>2324</v>
      </c>
      <c r="F176" s="20">
        <v>60</v>
      </c>
      <c r="G176" t="s">
        <v>2328</v>
      </c>
      <c r="H176">
        <v>-1200</v>
      </c>
      <c r="I176" s="16" t="str">
        <f t="shared" si="2"/>
        <v>Review</v>
      </c>
      <c r="J176">
        <v>4</v>
      </c>
    </row>
    <row r="177" spans="1:10">
      <c r="A177" t="s">
        <v>2511</v>
      </c>
      <c r="B177" t="s">
        <v>1203</v>
      </c>
      <c r="C177" t="s">
        <v>2267</v>
      </c>
      <c r="D177" s="9">
        <v>46169</v>
      </c>
      <c r="E177" t="s">
        <v>2330</v>
      </c>
      <c r="F177" s="20">
        <v>100</v>
      </c>
      <c r="G177" t="s">
        <v>23</v>
      </c>
      <c r="H177">
        <v>999.99</v>
      </c>
      <c r="I177" s="16" t="str">
        <f t="shared" si="2"/>
        <v>Normal</v>
      </c>
      <c r="J177">
        <v>1</v>
      </c>
    </row>
    <row r="178" spans="1:10">
      <c r="A178" t="s">
        <v>2512</v>
      </c>
      <c r="B178" t="s">
        <v>1849</v>
      </c>
      <c r="C178" t="s">
        <v>2193</v>
      </c>
      <c r="D178" s="9">
        <v>45057</v>
      </c>
      <c r="E178" t="s">
        <v>2337</v>
      </c>
      <c r="F178" s="20">
        <v>0</v>
      </c>
      <c r="G178" t="s">
        <v>2331</v>
      </c>
      <c r="H178">
        <v>0</v>
      </c>
      <c r="I178" s="16" t="str">
        <f t="shared" si="2"/>
        <v>Zero Amount</v>
      </c>
      <c r="J178" t="s">
        <v>39</v>
      </c>
    </row>
    <row r="179" spans="1:10">
      <c r="A179" t="s">
        <v>2513</v>
      </c>
      <c r="B179" t="s">
        <v>2514</v>
      </c>
      <c r="C179" t="s">
        <v>2231</v>
      </c>
      <c r="D179" s="9">
        <v>45330</v>
      </c>
      <c r="E179" t="s">
        <v>2330</v>
      </c>
      <c r="F179" s="20">
        <v>100</v>
      </c>
      <c r="G179" t="s">
        <v>2345</v>
      </c>
      <c r="H179">
        <v>3000</v>
      </c>
      <c r="I179" s="16" t="str">
        <f t="shared" si="2"/>
        <v>Normal</v>
      </c>
      <c r="J179">
        <v>2</v>
      </c>
    </row>
    <row r="180" spans="1:10">
      <c r="A180" t="s">
        <v>2515</v>
      </c>
      <c r="B180" t="s">
        <v>1713</v>
      </c>
      <c r="C180" t="s">
        <v>2222</v>
      </c>
      <c r="D180" s="9">
        <v>45776</v>
      </c>
      <c r="E180" t="s">
        <v>2337</v>
      </c>
      <c r="F180" s="20">
        <v>0</v>
      </c>
      <c r="G180" t="s">
        <v>2345</v>
      </c>
      <c r="H180">
        <v>0</v>
      </c>
      <c r="I180" s="16" t="str">
        <f t="shared" si="2"/>
        <v>Zero Amount</v>
      </c>
      <c r="J180">
        <v>5</v>
      </c>
    </row>
    <row r="181" spans="1:10">
      <c r="A181" t="s">
        <v>2516</v>
      </c>
      <c r="B181" t="s">
        <v>1274</v>
      </c>
      <c r="C181" t="s">
        <v>2251</v>
      </c>
      <c r="D181" s="9">
        <v>45337</v>
      </c>
      <c r="E181" t="s">
        <v>2324</v>
      </c>
      <c r="F181" s="20">
        <v>55</v>
      </c>
      <c r="G181" t="s">
        <v>2328</v>
      </c>
      <c r="H181">
        <v>1500</v>
      </c>
      <c r="I181" s="16" t="str">
        <f t="shared" si="2"/>
        <v>Normal</v>
      </c>
      <c r="J181" t="s">
        <v>39</v>
      </c>
    </row>
    <row r="182" spans="1:10">
      <c r="A182" t="s">
        <v>2517</v>
      </c>
      <c r="B182" t="s">
        <v>1145</v>
      </c>
      <c r="C182" t="s">
        <v>2218</v>
      </c>
      <c r="D182" s="9">
        <v>45505</v>
      </c>
      <c r="E182" t="s">
        <v>2324</v>
      </c>
      <c r="F182" s="20">
        <v>55</v>
      </c>
      <c r="G182" t="s">
        <v>2331</v>
      </c>
      <c r="H182">
        <v>1500</v>
      </c>
      <c r="I182" s="16" t="str">
        <f t="shared" si="2"/>
        <v>Normal</v>
      </c>
      <c r="J182" t="s">
        <v>39</v>
      </c>
    </row>
    <row r="183" spans="1:10">
      <c r="A183" t="s">
        <v>2518</v>
      </c>
      <c r="B183" t="s">
        <v>1831</v>
      </c>
      <c r="C183" t="s">
        <v>2249</v>
      </c>
      <c r="D183" s="9">
        <v>45915</v>
      </c>
      <c r="E183" t="s">
        <v>2337</v>
      </c>
      <c r="F183" s="20">
        <v>15</v>
      </c>
      <c r="G183" t="s">
        <v>2331</v>
      </c>
      <c r="H183">
        <v>1500</v>
      </c>
      <c r="I183" s="16" t="str">
        <f t="shared" si="2"/>
        <v>Normal</v>
      </c>
      <c r="J183">
        <v>5</v>
      </c>
    </row>
    <row r="184" spans="1:10">
      <c r="A184" t="s">
        <v>2519</v>
      </c>
      <c r="B184" t="s">
        <v>1401</v>
      </c>
      <c r="C184" t="s">
        <v>2249</v>
      </c>
      <c r="D184" s="9">
        <v>45710</v>
      </c>
      <c r="E184" t="s">
        <v>2330</v>
      </c>
      <c r="F184" s="20">
        <v>100</v>
      </c>
      <c r="G184" t="s">
        <v>2345</v>
      </c>
      <c r="H184">
        <v>1253.55</v>
      </c>
      <c r="I184" s="16" t="str">
        <f t="shared" si="2"/>
        <v>Normal</v>
      </c>
      <c r="J184">
        <v>1</v>
      </c>
    </row>
    <row r="185" spans="1:10">
      <c r="A185" t="s">
        <v>2520</v>
      </c>
      <c r="B185" t="s">
        <v>548</v>
      </c>
      <c r="C185" t="s">
        <v>2202</v>
      </c>
      <c r="D185" s="9">
        <v>46020</v>
      </c>
      <c r="E185" t="s">
        <v>2337</v>
      </c>
      <c r="F185" s="20">
        <v>5</v>
      </c>
      <c r="G185" t="s">
        <v>2331</v>
      </c>
      <c r="H185">
        <v>999.99</v>
      </c>
      <c r="I185" s="16" t="str">
        <f t="shared" si="2"/>
        <v>Normal</v>
      </c>
      <c r="J185" t="s">
        <v>39</v>
      </c>
    </row>
    <row r="186" spans="1:10">
      <c r="A186" t="s">
        <v>2521</v>
      </c>
      <c r="B186" t="s">
        <v>1991</v>
      </c>
      <c r="C186" t="s">
        <v>2187</v>
      </c>
      <c r="D186" s="9">
        <v>45992</v>
      </c>
      <c r="E186" t="s">
        <v>2330</v>
      </c>
      <c r="F186" s="20">
        <v>100</v>
      </c>
      <c r="G186" t="s">
        <v>2345</v>
      </c>
      <c r="H186">
        <v>799</v>
      </c>
      <c r="I186" s="16" t="str">
        <f t="shared" si="2"/>
        <v>Normal</v>
      </c>
      <c r="J186">
        <v>2</v>
      </c>
    </row>
    <row r="187" spans="1:10">
      <c r="A187" t="s">
        <v>2522</v>
      </c>
      <c r="B187" t="s">
        <v>445</v>
      </c>
      <c r="C187" t="s">
        <v>2193</v>
      </c>
      <c r="D187" s="9">
        <v>45611</v>
      </c>
      <c r="E187" t="s">
        <v>2324</v>
      </c>
      <c r="F187" s="20">
        <v>40</v>
      </c>
      <c r="G187" t="s">
        <v>2328</v>
      </c>
      <c r="H187">
        <v>0</v>
      </c>
      <c r="I187" s="16" t="str">
        <f t="shared" si="2"/>
        <v>Zero Amount</v>
      </c>
      <c r="J187">
        <v>3</v>
      </c>
    </row>
    <row r="188" spans="1:10">
      <c r="A188" t="s">
        <v>2523</v>
      </c>
      <c r="B188" t="s">
        <v>1030</v>
      </c>
      <c r="C188" t="s">
        <v>2257</v>
      </c>
      <c r="D188" s="9">
        <v>45441</v>
      </c>
      <c r="E188" t="s">
        <v>2327</v>
      </c>
      <c r="G188" t="s">
        <v>2331</v>
      </c>
      <c r="I188" s="16" t="str">
        <f t="shared" si="2"/>
        <v>Unknown</v>
      </c>
      <c r="J188">
        <v>5</v>
      </c>
    </row>
    <row r="189" spans="1:10">
      <c r="A189" t="s">
        <v>2524</v>
      </c>
      <c r="B189" t="s">
        <v>581</v>
      </c>
      <c r="C189" t="s">
        <v>2261</v>
      </c>
      <c r="D189" s="9">
        <v>45801</v>
      </c>
      <c r="E189" t="s">
        <v>2337</v>
      </c>
      <c r="F189" s="20">
        <v>20</v>
      </c>
      <c r="G189" t="s">
        <v>2325</v>
      </c>
      <c r="I189" s="16" t="str">
        <f t="shared" si="2"/>
        <v>Unknown</v>
      </c>
      <c r="J189" t="s">
        <v>39</v>
      </c>
    </row>
    <row r="190" spans="1:10">
      <c r="A190" t="s">
        <v>2525</v>
      </c>
      <c r="B190" t="s">
        <v>2129</v>
      </c>
      <c r="C190" t="s">
        <v>2237</v>
      </c>
      <c r="D190" s="9">
        <v>46004</v>
      </c>
      <c r="E190" t="s">
        <v>23</v>
      </c>
      <c r="G190" t="s">
        <v>23</v>
      </c>
      <c r="H190">
        <v>1500</v>
      </c>
      <c r="I190" s="16" t="str">
        <f t="shared" si="2"/>
        <v>Normal</v>
      </c>
      <c r="J190">
        <v>2</v>
      </c>
    </row>
    <row r="191" spans="1:10">
      <c r="A191" t="s">
        <v>2526</v>
      </c>
      <c r="B191" t="s">
        <v>867</v>
      </c>
      <c r="C191" t="s">
        <v>2198</v>
      </c>
      <c r="D191" s="9">
        <v>45278</v>
      </c>
      <c r="E191" t="s">
        <v>2330</v>
      </c>
      <c r="G191" t="s">
        <v>2325</v>
      </c>
      <c r="I191" s="16" t="str">
        <f t="shared" si="2"/>
        <v>Unknown</v>
      </c>
      <c r="J191" t="s">
        <v>39</v>
      </c>
    </row>
    <row r="192" spans="1:10">
      <c r="A192" t="s">
        <v>2527</v>
      </c>
      <c r="B192" t="s">
        <v>2528</v>
      </c>
      <c r="C192" t="s">
        <v>2257</v>
      </c>
      <c r="D192" s="9">
        <v>45978</v>
      </c>
      <c r="E192" t="s">
        <v>2324</v>
      </c>
      <c r="F192" s="20">
        <v>55</v>
      </c>
      <c r="G192" t="s">
        <v>2325</v>
      </c>
      <c r="I192" s="16" t="str">
        <f t="shared" si="2"/>
        <v>Unknown</v>
      </c>
      <c r="J192" t="s">
        <v>39</v>
      </c>
    </row>
    <row r="193" spans="1:10">
      <c r="A193" t="s">
        <v>2529</v>
      </c>
      <c r="B193" t="s">
        <v>1736</v>
      </c>
      <c r="C193" t="s">
        <v>2267</v>
      </c>
      <c r="D193" s="9">
        <v>45806</v>
      </c>
      <c r="E193" t="s">
        <v>2330</v>
      </c>
      <c r="F193" s="20">
        <v>100</v>
      </c>
      <c r="G193" t="s">
        <v>2325</v>
      </c>
      <c r="H193">
        <v>999.99</v>
      </c>
      <c r="I193" s="16" t="str">
        <f t="shared" si="2"/>
        <v>Normal</v>
      </c>
      <c r="J193">
        <v>5</v>
      </c>
    </row>
    <row r="194" spans="1:10">
      <c r="A194" t="s">
        <v>2530</v>
      </c>
      <c r="B194" t="s">
        <v>729</v>
      </c>
      <c r="C194" t="s">
        <v>2261</v>
      </c>
      <c r="D194" s="9">
        <v>45311</v>
      </c>
      <c r="E194" t="s">
        <v>2324</v>
      </c>
      <c r="G194" t="s">
        <v>2339</v>
      </c>
      <c r="I194" s="16" t="str">
        <f t="shared" si="2"/>
        <v>Unknown</v>
      </c>
      <c r="J194">
        <v>2</v>
      </c>
    </row>
    <row r="195" spans="1:10">
      <c r="A195" t="s">
        <v>2531</v>
      </c>
      <c r="B195" t="s">
        <v>1870</v>
      </c>
      <c r="C195" t="s">
        <v>2202</v>
      </c>
      <c r="D195" s="9">
        <v>45216</v>
      </c>
      <c r="E195" t="s">
        <v>2330</v>
      </c>
      <c r="F195" s="20">
        <v>100</v>
      </c>
      <c r="G195" t="s">
        <v>23</v>
      </c>
      <c r="H195">
        <v>572.48</v>
      </c>
      <c r="I195" s="16" t="str">
        <f t="shared" ref="I195:I258" si="3">IF(H195="", "Unknown", IF(H195=0, "Zero Amount", IF(H195&lt;1, "Review", IF(H195&gt;1, "Normal"))))</f>
        <v>Normal</v>
      </c>
      <c r="J195">
        <v>3</v>
      </c>
    </row>
    <row r="196" spans="1:10">
      <c r="A196" t="s">
        <v>2532</v>
      </c>
      <c r="B196" t="s">
        <v>1902</v>
      </c>
      <c r="C196" t="s">
        <v>2213</v>
      </c>
      <c r="D196" s="9">
        <v>45183</v>
      </c>
      <c r="E196" t="s">
        <v>2330</v>
      </c>
      <c r="F196" s="20">
        <v>100</v>
      </c>
      <c r="G196" t="s">
        <v>2339</v>
      </c>
      <c r="H196">
        <v>1500</v>
      </c>
      <c r="I196" s="16" t="str">
        <f t="shared" si="3"/>
        <v>Normal</v>
      </c>
      <c r="J196" t="s">
        <v>39</v>
      </c>
    </row>
    <row r="197" spans="1:10">
      <c r="A197" t="s">
        <v>2533</v>
      </c>
      <c r="B197" t="s">
        <v>1165</v>
      </c>
      <c r="C197" t="s">
        <v>2269</v>
      </c>
      <c r="D197" s="9">
        <v>45759</v>
      </c>
      <c r="E197" t="s">
        <v>2324</v>
      </c>
      <c r="F197" s="20">
        <v>25</v>
      </c>
      <c r="G197" t="s">
        <v>2331</v>
      </c>
      <c r="H197">
        <v>499</v>
      </c>
      <c r="I197" s="16" t="str">
        <f t="shared" si="3"/>
        <v>Normal</v>
      </c>
      <c r="J197">
        <v>5</v>
      </c>
    </row>
    <row r="198" spans="1:10">
      <c r="A198" t="s">
        <v>2534</v>
      </c>
      <c r="B198" t="s">
        <v>922</v>
      </c>
      <c r="C198" t="s">
        <v>2187</v>
      </c>
      <c r="D198" s="9">
        <v>46082</v>
      </c>
      <c r="E198" t="s">
        <v>2327</v>
      </c>
      <c r="F198" s="20">
        <v>15</v>
      </c>
      <c r="G198" t="s">
        <v>23</v>
      </c>
      <c r="H198">
        <v>799</v>
      </c>
      <c r="I198" s="16" t="str">
        <f t="shared" si="3"/>
        <v>Normal</v>
      </c>
      <c r="J198" t="s">
        <v>39</v>
      </c>
    </row>
    <row r="199" spans="1:10">
      <c r="A199" t="s">
        <v>2535</v>
      </c>
      <c r="B199" t="s">
        <v>1327</v>
      </c>
      <c r="C199" t="s">
        <v>2218</v>
      </c>
      <c r="D199" s="9">
        <v>45128</v>
      </c>
      <c r="E199" t="s">
        <v>2324</v>
      </c>
      <c r="F199" s="20">
        <v>40</v>
      </c>
      <c r="G199" t="s">
        <v>2328</v>
      </c>
      <c r="H199">
        <v>1500</v>
      </c>
      <c r="I199" s="16" t="str">
        <f t="shared" si="3"/>
        <v>Normal</v>
      </c>
      <c r="J199">
        <v>4</v>
      </c>
    </row>
    <row r="200" spans="1:10">
      <c r="A200" t="s">
        <v>2536</v>
      </c>
      <c r="B200" t="s">
        <v>1864</v>
      </c>
      <c r="C200" t="s">
        <v>2233</v>
      </c>
      <c r="D200" s="9">
        <v>45407</v>
      </c>
      <c r="E200" t="s">
        <v>2324</v>
      </c>
      <c r="F200" s="20">
        <v>10</v>
      </c>
      <c r="G200" t="s">
        <v>2331</v>
      </c>
      <c r="H200">
        <v>2500</v>
      </c>
      <c r="I200" s="16" t="str">
        <f t="shared" si="3"/>
        <v>Normal</v>
      </c>
      <c r="J200">
        <v>5</v>
      </c>
    </row>
    <row r="201" spans="1:10">
      <c r="A201" t="s">
        <v>2537</v>
      </c>
      <c r="B201" t="s">
        <v>228</v>
      </c>
      <c r="C201" t="s">
        <v>2251</v>
      </c>
      <c r="D201" s="9">
        <v>45718</v>
      </c>
      <c r="E201" t="s">
        <v>2337</v>
      </c>
      <c r="F201" s="20">
        <v>5</v>
      </c>
      <c r="G201" t="s">
        <v>2339</v>
      </c>
      <c r="H201">
        <v>1500</v>
      </c>
      <c r="I201" s="16" t="str">
        <f t="shared" si="3"/>
        <v>Normal</v>
      </c>
      <c r="J201">
        <v>2</v>
      </c>
    </row>
    <row r="202" spans="1:10">
      <c r="A202" t="s">
        <v>2538</v>
      </c>
      <c r="B202" t="s">
        <v>1354</v>
      </c>
      <c r="C202" t="s">
        <v>2218</v>
      </c>
      <c r="D202" s="9">
        <v>45169</v>
      </c>
      <c r="E202" t="s">
        <v>23</v>
      </c>
      <c r="G202" t="s">
        <v>2345</v>
      </c>
      <c r="H202">
        <v>1500</v>
      </c>
      <c r="I202" s="16" t="str">
        <f t="shared" si="3"/>
        <v>Normal</v>
      </c>
      <c r="J202">
        <v>5</v>
      </c>
    </row>
    <row r="203" spans="1:10">
      <c r="A203" t="s">
        <v>2539</v>
      </c>
      <c r="B203" t="s">
        <v>949</v>
      </c>
      <c r="C203" t="s">
        <v>2202</v>
      </c>
      <c r="D203" s="9">
        <v>45752</v>
      </c>
      <c r="E203" t="s">
        <v>2324</v>
      </c>
      <c r="F203" s="20">
        <v>10</v>
      </c>
      <c r="G203" t="s">
        <v>2325</v>
      </c>
      <c r="I203" s="16" t="str">
        <f t="shared" si="3"/>
        <v>Unknown</v>
      </c>
      <c r="J203" t="s">
        <v>39</v>
      </c>
    </row>
    <row r="204" spans="1:10">
      <c r="A204" t="s">
        <v>2540</v>
      </c>
      <c r="B204" t="s">
        <v>281</v>
      </c>
      <c r="C204" t="s">
        <v>2244</v>
      </c>
      <c r="D204" s="9">
        <v>45927</v>
      </c>
      <c r="E204" t="s">
        <v>2330</v>
      </c>
      <c r="G204" t="s">
        <v>2328</v>
      </c>
      <c r="H204">
        <v>1200</v>
      </c>
      <c r="I204" s="16" t="str">
        <f t="shared" si="3"/>
        <v>Normal</v>
      </c>
      <c r="J204">
        <v>1</v>
      </c>
    </row>
    <row r="205" spans="1:10">
      <c r="A205" t="s">
        <v>2541</v>
      </c>
      <c r="B205" t="s">
        <v>1464</v>
      </c>
      <c r="C205" t="s">
        <v>2231</v>
      </c>
      <c r="D205" s="9">
        <v>45436</v>
      </c>
      <c r="E205" t="s">
        <v>2330</v>
      </c>
      <c r="F205" s="20">
        <v>100</v>
      </c>
      <c r="G205" t="s">
        <v>2339</v>
      </c>
      <c r="H205">
        <v>3000</v>
      </c>
      <c r="I205" s="16" t="str">
        <f t="shared" si="3"/>
        <v>Normal</v>
      </c>
      <c r="J205">
        <v>2</v>
      </c>
    </row>
    <row r="206" spans="1:10">
      <c r="A206" t="s">
        <v>2542</v>
      </c>
      <c r="B206" t="s">
        <v>784</v>
      </c>
      <c r="C206" t="s">
        <v>2228</v>
      </c>
      <c r="D206" s="9">
        <v>45702</v>
      </c>
      <c r="E206" t="s">
        <v>2330</v>
      </c>
      <c r="G206" t="s">
        <v>2345</v>
      </c>
      <c r="H206">
        <v>799</v>
      </c>
      <c r="I206" s="16" t="str">
        <f t="shared" si="3"/>
        <v>Normal</v>
      </c>
      <c r="J206">
        <v>4</v>
      </c>
    </row>
    <row r="207" spans="1:10">
      <c r="A207" t="s">
        <v>2543</v>
      </c>
      <c r="B207" t="s">
        <v>383</v>
      </c>
      <c r="C207" t="s">
        <v>2209</v>
      </c>
      <c r="D207" s="9">
        <v>45797</v>
      </c>
      <c r="E207" t="s">
        <v>23</v>
      </c>
      <c r="G207" t="s">
        <v>2325</v>
      </c>
      <c r="H207">
        <v>-499</v>
      </c>
      <c r="I207" s="16" t="str">
        <f t="shared" si="3"/>
        <v>Review</v>
      </c>
      <c r="J207">
        <v>2</v>
      </c>
    </row>
    <row r="208" spans="1:10">
      <c r="A208" t="s">
        <v>2544</v>
      </c>
      <c r="B208" t="s">
        <v>668</v>
      </c>
      <c r="C208" t="s">
        <v>2225</v>
      </c>
      <c r="D208" s="9">
        <v>45133</v>
      </c>
      <c r="E208" t="s">
        <v>2324</v>
      </c>
      <c r="F208" s="20">
        <v>25</v>
      </c>
      <c r="G208" t="s">
        <v>23</v>
      </c>
      <c r="I208" s="16" t="str">
        <f t="shared" si="3"/>
        <v>Unknown</v>
      </c>
      <c r="J208" t="s">
        <v>39</v>
      </c>
    </row>
    <row r="209" spans="1:10">
      <c r="A209" t="s">
        <v>2545</v>
      </c>
      <c r="B209" t="s">
        <v>558</v>
      </c>
      <c r="C209" t="s">
        <v>2187</v>
      </c>
      <c r="D209" s="9">
        <v>45393</v>
      </c>
      <c r="E209" t="s">
        <v>23</v>
      </c>
      <c r="G209" t="s">
        <v>2339</v>
      </c>
      <c r="H209">
        <v>799</v>
      </c>
      <c r="I209" s="16" t="str">
        <f t="shared" si="3"/>
        <v>Normal</v>
      </c>
      <c r="J209">
        <v>4</v>
      </c>
    </row>
    <row r="210" spans="1:10">
      <c r="A210" t="s">
        <v>2546</v>
      </c>
      <c r="B210" t="s">
        <v>1007</v>
      </c>
      <c r="C210" t="s">
        <v>2271</v>
      </c>
      <c r="D210" s="9">
        <v>46168</v>
      </c>
      <c r="E210" t="s">
        <v>2327</v>
      </c>
      <c r="F210" s="20">
        <v>0</v>
      </c>
      <c r="G210" t="s">
        <v>23</v>
      </c>
      <c r="H210">
        <v>1200</v>
      </c>
      <c r="I210" s="16" t="str">
        <f t="shared" si="3"/>
        <v>Normal</v>
      </c>
      <c r="J210">
        <v>4</v>
      </c>
    </row>
    <row r="211" spans="1:10">
      <c r="A211" t="s">
        <v>2547</v>
      </c>
      <c r="B211" t="s">
        <v>2151</v>
      </c>
      <c r="C211" t="s">
        <v>2187</v>
      </c>
      <c r="D211" s="9">
        <v>45660</v>
      </c>
      <c r="E211" t="s">
        <v>2330</v>
      </c>
      <c r="F211" s="20">
        <v>100</v>
      </c>
      <c r="G211" t="s">
        <v>2345</v>
      </c>
      <c r="H211">
        <v>696.06</v>
      </c>
      <c r="I211" s="16" t="str">
        <f t="shared" si="3"/>
        <v>Normal</v>
      </c>
      <c r="J211">
        <v>5</v>
      </c>
    </row>
    <row r="212" spans="1:10">
      <c r="A212" t="s">
        <v>2548</v>
      </c>
      <c r="B212" t="s">
        <v>2094</v>
      </c>
      <c r="C212" t="s">
        <v>2253</v>
      </c>
      <c r="D212" s="9">
        <v>45715</v>
      </c>
      <c r="E212" t="s">
        <v>2330</v>
      </c>
      <c r="F212" s="20">
        <v>100</v>
      </c>
      <c r="G212" t="s">
        <v>2339</v>
      </c>
      <c r="H212">
        <v>1200</v>
      </c>
      <c r="I212" s="16" t="str">
        <f t="shared" si="3"/>
        <v>Normal</v>
      </c>
      <c r="J212">
        <v>5</v>
      </c>
    </row>
    <row r="213" spans="1:10">
      <c r="A213" t="s">
        <v>2549</v>
      </c>
      <c r="B213" t="s">
        <v>383</v>
      </c>
      <c r="C213" t="s">
        <v>2202</v>
      </c>
      <c r="D213" s="9">
        <v>45727</v>
      </c>
      <c r="E213" t="s">
        <v>2324</v>
      </c>
      <c r="F213" s="20">
        <v>55</v>
      </c>
      <c r="G213" t="s">
        <v>2345</v>
      </c>
      <c r="H213">
        <v>999.99</v>
      </c>
      <c r="I213" s="16" t="str">
        <f t="shared" si="3"/>
        <v>Normal</v>
      </c>
      <c r="J213">
        <v>5</v>
      </c>
    </row>
    <row r="214" spans="1:10">
      <c r="A214" t="s">
        <v>2550</v>
      </c>
      <c r="B214" t="s">
        <v>1806</v>
      </c>
      <c r="C214" t="s">
        <v>2218</v>
      </c>
      <c r="D214" s="9">
        <v>45207</v>
      </c>
      <c r="E214" t="s">
        <v>23</v>
      </c>
      <c r="G214" t="s">
        <v>2345</v>
      </c>
      <c r="H214">
        <v>1500</v>
      </c>
      <c r="I214" s="16" t="str">
        <f t="shared" si="3"/>
        <v>Normal</v>
      </c>
      <c r="J214" t="s">
        <v>39</v>
      </c>
    </row>
    <row r="215" spans="1:10">
      <c r="A215" t="s">
        <v>2551</v>
      </c>
      <c r="B215" t="s">
        <v>1259</v>
      </c>
      <c r="C215" t="s">
        <v>2271</v>
      </c>
      <c r="D215" s="9">
        <v>45442</v>
      </c>
      <c r="E215" t="s">
        <v>23</v>
      </c>
      <c r="G215" t="s">
        <v>2345</v>
      </c>
      <c r="H215">
        <v>1200</v>
      </c>
      <c r="I215" s="16" t="str">
        <f t="shared" si="3"/>
        <v>Normal</v>
      </c>
      <c r="J215" t="s">
        <v>39</v>
      </c>
    </row>
    <row r="216" spans="1:10">
      <c r="A216" t="s">
        <v>2552</v>
      </c>
      <c r="B216" t="s">
        <v>581</v>
      </c>
      <c r="C216" t="s">
        <v>2233</v>
      </c>
      <c r="D216" s="9">
        <v>46132</v>
      </c>
      <c r="E216" t="s">
        <v>2327</v>
      </c>
      <c r="F216" s="20">
        <v>15</v>
      </c>
      <c r="G216" t="s">
        <v>2328</v>
      </c>
      <c r="H216">
        <v>2500</v>
      </c>
      <c r="I216" s="16" t="str">
        <f t="shared" si="3"/>
        <v>Normal</v>
      </c>
      <c r="J216">
        <v>5</v>
      </c>
    </row>
    <row r="217" spans="1:10">
      <c r="A217" t="s">
        <v>2553</v>
      </c>
      <c r="B217" t="s">
        <v>1354</v>
      </c>
      <c r="C217" t="s">
        <v>2213</v>
      </c>
      <c r="D217" s="9">
        <v>45107</v>
      </c>
      <c r="E217" t="s">
        <v>2324</v>
      </c>
      <c r="F217" s="20">
        <v>25</v>
      </c>
      <c r="G217" t="s">
        <v>2345</v>
      </c>
      <c r="H217">
        <v>1500</v>
      </c>
      <c r="I217" s="16" t="str">
        <f t="shared" si="3"/>
        <v>Normal</v>
      </c>
      <c r="J217">
        <v>4</v>
      </c>
    </row>
    <row r="218" spans="1:10">
      <c r="A218" t="s">
        <v>2554</v>
      </c>
      <c r="B218" t="s">
        <v>2018</v>
      </c>
      <c r="C218" t="s">
        <v>2271</v>
      </c>
      <c r="D218" s="9">
        <v>45488</v>
      </c>
      <c r="E218" t="s">
        <v>2327</v>
      </c>
      <c r="F218" s="20">
        <v>15</v>
      </c>
      <c r="G218" t="s">
        <v>2328</v>
      </c>
      <c r="H218">
        <v>1200</v>
      </c>
      <c r="I218" s="16" t="str">
        <f t="shared" si="3"/>
        <v>Normal</v>
      </c>
      <c r="J218">
        <v>3</v>
      </c>
    </row>
    <row r="219" spans="1:10">
      <c r="A219" t="s">
        <v>2555</v>
      </c>
      <c r="B219" t="s">
        <v>1544</v>
      </c>
      <c r="C219" t="s">
        <v>2233</v>
      </c>
      <c r="D219" s="9">
        <v>45407</v>
      </c>
      <c r="E219" t="s">
        <v>2330</v>
      </c>
      <c r="G219" t="s">
        <v>2331</v>
      </c>
      <c r="H219">
        <v>2500</v>
      </c>
      <c r="I219" s="16" t="str">
        <f t="shared" si="3"/>
        <v>Normal</v>
      </c>
      <c r="J219">
        <v>1</v>
      </c>
    </row>
    <row r="220" spans="1:10">
      <c r="A220" t="s">
        <v>2556</v>
      </c>
      <c r="B220" t="s">
        <v>489</v>
      </c>
      <c r="C220" t="s">
        <v>2233</v>
      </c>
      <c r="D220" s="9">
        <v>45534</v>
      </c>
      <c r="E220" t="s">
        <v>2324</v>
      </c>
      <c r="F220" s="20">
        <v>40</v>
      </c>
      <c r="G220" t="s">
        <v>23</v>
      </c>
      <c r="H220">
        <v>2500</v>
      </c>
      <c r="I220" s="16" t="str">
        <f t="shared" si="3"/>
        <v>Normal</v>
      </c>
      <c r="J220" t="s">
        <v>39</v>
      </c>
    </row>
    <row r="221" spans="1:10">
      <c r="A221" t="s">
        <v>2557</v>
      </c>
      <c r="B221" t="s">
        <v>578</v>
      </c>
      <c r="C221" t="s">
        <v>2235</v>
      </c>
      <c r="D221" s="9">
        <v>45311</v>
      </c>
      <c r="E221" t="s">
        <v>2327</v>
      </c>
      <c r="G221" t="s">
        <v>2339</v>
      </c>
      <c r="H221">
        <v>3000</v>
      </c>
      <c r="I221" s="16" t="str">
        <f t="shared" si="3"/>
        <v>Normal</v>
      </c>
      <c r="J221">
        <v>2</v>
      </c>
    </row>
    <row r="222" spans="1:10">
      <c r="A222" t="s">
        <v>2558</v>
      </c>
      <c r="B222" t="s">
        <v>2559</v>
      </c>
      <c r="C222" t="s">
        <v>2237</v>
      </c>
      <c r="D222" s="9">
        <v>45922</v>
      </c>
      <c r="E222" t="s">
        <v>2324</v>
      </c>
      <c r="G222" t="s">
        <v>2345</v>
      </c>
      <c r="H222">
        <v>1500</v>
      </c>
      <c r="I222" s="16" t="str">
        <f t="shared" si="3"/>
        <v>Normal</v>
      </c>
      <c r="J222">
        <v>2</v>
      </c>
    </row>
    <row r="223" spans="1:10">
      <c r="A223" t="s">
        <v>2560</v>
      </c>
      <c r="B223" t="s">
        <v>836</v>
      </c>
      <c r="C223" t="s">
        <v>2222</v>
      </c>
      <c r="D223" s="9">
        <v>45893</v>
      </c>
      <c r="E223" t="s">
        <v>2324</v>
      </c>
      <c r="F223" s="20">
        <v>10</v>
      </c>
      <c r="G223" t="s">
        <v>2328</v>
      </c>
      <c r="H223">
        <v>0</v>
      </c>
      <c r="I223" s="16" t="str">
        <f t="shared" si="3"/>
        <v>Zero Amount</v>
      </c>
      <c r="J223">
        <v>5</v>
      </c>
    </row>
    <row r="224" spans="1:10">
      <c r="A224" t="s">
        <v>2561</v>
      </c>
      <c r="B224" t="s">
        <v>1327</v>
      </c>
      <c r="C224" t="s">
        <v>2253</v>
      </c>
      <c r="D224" s="9">
        <v>46165</v>
      </c>
      <c r="E224" t="s">
        <v>2330</v>
      </c>
      <c r="F224" s="20">
        <v>100</v>
      </c>
      <c r="G224" t="s">
        <v>2345</v>
      </c>
      <c r="H224">
        <v>1200</v>
      </c>
      <c r="I224" s="16" t="str">
        <f t="shared" si="3"/>
        <v>Normal</v>
      </c>
      <c r="J224">
        <v>2</v>
      </c>
    </row>
    <row r="225" spans="1:10">
      <c r="A225" t="s">
        <v>2562</v>
      </c>
      <c r="B225" t="s">
        <v>1864</v>
      </c>
      <c r="C225" t="s">
        <v>2253</v>
      </c>
      <c r="D225" s="9">
        <v>45868</v>
      </c>
      <c r="E225" t="s">
        <v>2327</v>
      </c>
      <c r="F225" s="20">
        <v>0</v>
      </c>
      <c r="G225" t="s">
        <v>2325</v>
      </c>
      <c r="H225">
        <v>1200</v>
      </c>
      <c r="I225" s="16" t="str">
        <f t="shared" si="3"/>
        <v>Normal</v>
      </c>
      <c r="J225">
        <v>2</v>
      </c>
    </row>
    <row r="226" spans="1:10">
      <c r="A226" t="s">
        <v>2563</v>
      </c>
      <c r="B226" t="s">
        <v>1610</v>
      </c>
      <c r="C226" t="s">
        <v>2247</v>
      </c>
      <c r="D226" s="9">
        <v>45204</v>
      </c>
      <c r="E226" t="s">
        <v>2330</v>
      </c>
      <c r="G226" t="s">
        <v>2331</v>
      </c>
      <c r="I226" s="16" t="str">
        <f t="shared" si="3"/>
        <v>Unknown</v>
      </c>
      <c r="J226">
        <v>1</v>
      </c>
    </row>
    <row r="227" spans="1:10">
      <c r="A227" t="s">
        <v>2564</v>
      </c>
      <c r="B227" t="s">
        <v>949</v>
      </c>
      <c r="C227" t="s">
        <v>2264</v>
      </c>
      <c r="D227" s="9">
        <v>45544</v>
      </c>
      <c r="E227" t="s">
        <v>2337</v>
      </c>
      <c r="F227" s="20">
        <v>20</v>
      </c>
      <c r="G227" t="s">
        <v>2331</v>
      </c>
      <c r="H227">
        <v>1888.53</v>
      </c>
      <c r="I227" s="16" t="str">
        <f t="shared" si="3"/>
        <v>Normal</v>
      </c>
      <c r="J227">
        <v>4</v>
      </c>
    </row>
    <row r="228" spans="1:10">
      <c r="A228" t="s">
        <v>2565</v>
      </c>
      <c r="B228" t="s">
        <v>997</v>
      </c>
      <c r="C228" t="s">
        <v>2273</v>
      </c>
      <c r="D228" s="9">
        <v>45939</v>
      </c>
      <c r="E228" t="s">
        <v>2330</v>
      </c>
      <c r="G228" t="s">
        <v>2331</v>
      </c>
      <c r="H228">
        <v>799</v>
      </c>
      <c r="I228" s="16" t="str">
        <f t="shared" si="3"/>
        <v>Normal</v>
      </c>
      <c r="J228" t="s">
        <v>39</v>
      </c>
    </row>
    <row r="229" spans="1:10">
      <c r="A229" t="s">
        <v>2566</v>
      </c>
      <c r="B229" t="s">
        <v>2132</v>
      </c>
      <c r="C229" t="s">
        <v>2205</v>
      </c>
      <c r="D229" s="9">
        <v>45208</v>
      </c>
      <c r="E229" t="s">
        <v>2330</v>
      </c>
      <c r="F229" s="20">
        <v>100</v>
      </c>
      <c r="G229" t="s">
        <v>2325</v>
      </c>
      <c r="H229">
        <v>1184.99</v>
      </c>
      <c r="I229" s="16" t="str">
        <f t="shared" si="3"/>
        <v>Normal</v>
      </c>
      <c r="J229">
        <v>2</v>
      </c>
    </row>
    <row r="230" spans="1:10">
      <c r="A230" t="s">
        <v>2567</v>
      </c>
      <c r="B230" t="s">
        <v>1145</v>
      </c>
      <c r="C230" t="s">
        <v>2222</v>
      </c>
      <c r="D230" s="9">
        <v>45983</v>
      </c>
      <c r="E230" t="s">
        <v>2330</v>
      </c>
      <c r="G230" t="s">
        <v>23</v>
      </c>
      <c r="H230">
        <v>0</v>
      </c>
      <c r="I230" s="16" t="str">
        <f t="shared" si="3"/>
        <v>Zero Amount</v>
      </c>
      <c r="J230">
        <v>4</v>
      </c>
    </row>
    <row r="231" spans="1:10">
      <c r="A231" t="s">
        <v>2568</v>
      </c>
      <c r="B231" t="s">
        <v>2022</v>
      </c>
      <c r="C231" t="s">
        <v>2209</v>
      </c>
      <c r="D231" s="9">
        <v>44969</v>
      </c>
      <c r="E231" t="s">
        <v>2337</v>
      </c>
      <c r="F231" s="20">
        <v>0</v>
      </c>
      <c r="G231" t="s">
        <v>2331</v>
      </c>
      <c r="H231">
        <v>499</v>
      </c>
      <c r="I231" s="16" t="str">
        <f t="shared" si="3"/>
        <v>Normal</v>
      </c>
      <c r="J231" t="s">
        <v>39</v>
      </c>
    </row>
    <row r="232" spans="1:10">
      <c r="A232" t="s">
        <v>2569</v>
      </c>
      <c r="B232" t="s">
        <v>1867</v>
      </c>
      <c r="C232" t="s">
        <v>2273</v>
      </c>
      <c r="D232" s="9">
        <v>45741</v>
      </c>
      <c r="E232" t="s">
        <v>2324</v>
      </c>
      <c r="F232" s="20">
        <v>55</v>
      </c>
      <c r="G232" t="s">
        <v>2328</v>
      </c>
      <c r="H232">
        <v>-799</v>
      </c>
      <c r="I232" s="16" t="str">
        <f t="shared" si="3"/>
        <v>Review</v>
      </c>
      <c r="J232">
        <v>3</v>
      </c>
    </row>
    <row r="233" spans="1:10">
      <c r="A233" t="s">
        <v>2570</v>
      </c>
      <c r="B233" t="s">
        <v>1532</v>
      </c>
      <c r="C233" t="s">
        <v>2235</v>
      </c>
      <c r="D233" s="9">
        <v>45516</v>
      </c>
      <c r="E233" t="s">
        <v>2330</v>
      </c>
      <c r="F233" s="20">
        <v>100</v>
      </c>
      <c r="G233" t="s">
        <v>2339</v>
      </c>
      <c r="H233">
        <v>3000</v>
      </c>
      <c r="I233" s="16" t="str">
        <f t="shared" si="3"/>
        <v>Normal</v>
      </c>
      <c r="J233">
        <v>4</v>
      </c>
    </row>
    <row r="234" spans="1:10">
      <c r="A234" t="s">
        <v>2571</v>
      </c>
      <c r="B234" t="s">
        <v>1149</v>
      </c>
      <c r="C234" t="s">
        <v>2264</v>
      </c>
      <c r="D234" s="9">
        <v>45740</v>
      </c>
      <c r="E234" t="s">
        <v>2324</v>
      </c>
      <c r="F234" s="20">
        <v>25</v>
      </c>
      <c r="G234" t="s">
        <v>2345</v>
      </c>
      <c r="H234">
        <v>-2500</v>
      </c>
      <c r="I234" s="16" t="str">
        <f t="shared" si="3"/>
        <v>Review</v>
      </c>
      <c r="J234">
        <v>4</v>
      </c>
    </row>
    <row r="235" spans="1:10">
      <c r="A235" t="s">
        <v>2572</v>
      </c>
      <c r="B235" t="s">
        <v>239</v>
      </c>
      <c r="C235" t="s">
        <v>2261</v>
      </c>
      <c r="D235" s="9">
        <v>46266</v>
      </c>
      <c r="E235" t="s">
        <v>2327</v>
      </c>
      <c r="F235" s="20">
        <v>20</v>
      </c>
      <c r="G235" t="s">
        <v>23</v>
      </c>
      <c r="I235" s="16" t="str">
        <f t="shared" si="3"/>
        <v>Unknown</v>
      </c>
      <c r="J235" t="s">
        <v>39</v>
      </c>
    </row>
    <row r="236" spans="1:10">
      <c r="A236" t="s">
        <v>2573</v>
      </c>
      <c r="B236" t="s">
        <v>242</v>
      </c>
      <c r="C236" t="s">
        <v>2198</v>
      </c>
      <c r="D236" s="9">
        <v>45415</v>
      </c>
      <c r="E236" t="s">
        <v>2330</v>
      </c>
      <c r="G236" t="s">
        <v>2331</v>
      </c>
      <c r="I236" s="16" t="str">
        <f t="shared" si="3"/>
        <v>Unknown</v>
      </c>
      <c r="J236" t="s">
        <v>39</v>
      </c>
    </row>
    <row r="237" spans="1:10">
      <c r="A237" t="s">
        <v>2574</v>
      </c>
      <c r="B237" t="s">
        <v>1107</v>
      </c>
      <c r="C237" t="s">
        <v>2247</v>
      </c>
      <c r="D237" s="9">
        <v>45028</v>
      </c>
      <c r="E237" t="s">
        <v>2324</v>
      </c>
      <c r="G237" t="s">
        <v>2345</v>
      </c>
      <c r="I237" s="16" t="str">
        <f t="shared" si="3"/>
        <v>Unknown</v>
      </c>
      <c r="J237" t="s">
        <v>39</v>
      </c>
    </row>
    <row r="238" spans="1:10">
      <c r="A238" t="s">
        <v>2575</v>
      </c>
      <c r="B238" t="s">
        <v>787</v>
      </c>
      <c r="C238" t="s">
        <v>2241</v>
      </c>
      <c r="D238" s="9">
        <v>45605</v>
      </c>
      <c r="E238" t="s">
        <v>23</v>
      </c>
      <c r="G238" t="s">
        <v>2339</v>
      </c>
      <c r="H238">
        <v>2500</v>
      </c>
      <c r="I238" s="16" t="str">
        <f t="shared" si="3"/>
        <v>Normal</v>
      </c>
      <c r="J238" t="s">
        <v>39</v>
      </c>
    </row>
    <row r="239" spans="1:10">
      <c r="A239" t="s">
        <v>2576</v>
      </c>
      <c r="B239" t="s">
        <v>1145</v>
      </c>
      <c r="C239" t="s">
        <v>2251</v>
      </c>
      <c r="D239" s="9">
        <v>46068</v>
      </c>
      <c r="E239" t="s">
        <v>2330</v>
      </c>
      <c r="F239" s="20">
        <v>100</v>
      </c>
      <c r="G239" t="s">
        <v>2325</v>
      </c>
      <c r="H239">
        <v>1500</v>
      </c>
      <c r="I239" s="16" t="str">
        <f t="shared" si="3"/>
        <v>Normal</v>
      </c>
      <c r="J239">
        <v>5</v>
      </c>
    </row>
    <row r="240" spans="1:10">
      <c r="A240" t="s">
        <v>2577</v>
      </c>
      <c r="B240" t="s">
        <v>460</v>
      </c>
      <c r="C240" t="s">
        <v>2198</v>
      </c>
      <c r="D240" s="9">
        <v>45200</v>
      </c>
      <c r="E240" t="s">
        <v>2327</v>
      </c>
      <c r="G240" t="s">
        <v>2325</v>
      </c>
      <c r="I240" s="16" t="str">
        <f t="shared" si="3"/>
        <v>Unknown</v>
      </c>
      <c r="J240" t="s">
        <v>39</v>
      </c>
    </row>
    <row r="241" spans="1:10">
      <c r="A241" t="s">
        <v>2578</v>
      </c>
      <c r="B241" t="s">
        <v>787</v>
      </c>
      <c r="C241" t="s">
        <v>2202</v>
      </c>
      <c r="D241" s="9">
        <v>45885</v>
      </c>
      <c r="E241" t="s">
        <v>2330</v>
      </c>
      <c r="F241" s="20">
        <v>100</v>
      </c>
      <c r="G241" t="s">
        <v>2345</v>
      </c>
      <c r="H241">
        <v>999.99</v>
      </c>
      <c r="I241" s="16" t="str">
        <f t="shared" si="3"/>
        <v>Normal</v>
      </c>
      <c r="J241">
        <v>5</v>
      </c>
    </row>
    <row r="242" spans="1:10">
      <c r="A242" t="s">
        <v>2579</v>
      </c>
      <c r="B242" t="s">
        <v>485</v>
      </c>
      <c r="C242" t="s">
        <v>2222</v>
      </c>
      <c r="D242" s="9">
        <v>46067</v>
      </c>
      <c r="E242" t="s">
        <v>23</v>
      </c>
      <c r="G242" t="s">
        <v>2345</v>
      </c>
      <c r="H242">
        <v>0</v>
      </c>
      <c r="I242" s="16" t="str">
        <f t="shared" si="3"/>
        <v>Zero Amount</v>
      </c>
      <c r="J242" t="s">
        <v>39</v>
      </c>
    </row>
    <row r="243" spans="1:10">
      <c r="A243" t="s">
        <v>2580</v>
      </c>
      <c r="B243" t="s">
        <v>1635</v>
      </c>
      <c r="C243" t="s">
        <v>2269</v>
      </c>
      <c r="D243" s="9">
        <v>45982</v>
      </c>
      <c r="E243" t="s">
        <v>2324</v>
      </c>
      <c r="F243" s="20">
        <v>55</v>
      </c>
      <c r="G243" t="s">
        <v>2339</v>
      </c>
      <c r="H243">
        <v>432.89</v>
      </c>
      <c r="I243" s="16" t="str">
        <f t="shared" si="3"/>
        <v>Normal</v>
      </c>
      <c r="J243" t="s">
        <v>39</v>
      </c>
    </row>
    <row r="244" spans="1:10">
      <c r="A244" t="s">
        <v>2581</v>
      </c>
      <c r="B244" t="s">
        <v>558</v>
      </c>
      <c r="C244" t="s">
        <v>2267</v>
      </c>
      <c r="D244" s="9">
        <v>45815</v>
      </c>
      <c r="E244" t="s">
        <v>2330</v>
      </c>
      <c r="F244" s="20">
        <v>100</v>
      </c>
      <c r="G244" t="s">
        <v>2325</v>
      </c>
      <c r="H244">
        <v>-999.99</v>
      </c>
      <c r="I244" s="16" t="str">
        <f t="shared" si="3"/>
        <v>Review</v>
      </c>
      <c r="J244" t="s">
        <v>39</v>
      </c>
    </row>
    <row r="245" spans="1:10">
      <c r="A245" t="s">
        <v>2582</v>
      </c>
      <c r="B245" t="s">
        <v>2583</v>
      </c>
      <c r="C245" t="s">
        <v>2237</v>
      </c>
      <c r="D245" s="9">
        <v>45940</v>
      </c>
      <c r="E245" t="s">
        <v>2330</v>
      </c>
      <c r="G245" t="s">
        <v>23</v>
      </c>
      <c r="H245">
        <v>1500</v>
      </c>
      <c r="I245" s="16" t="str">
        <f t="shared" si="3"/>
        <v>Normal</v>
      </c>
      <c r="J245" t="s">
        <v>39</v>
      </c>
    </row>
    <row r="246" spans="1:10">
      <c r="A246" t="s">
        <v>2584</v>
      </c>
      <c r="B246" t="s">
        <v>1380</v>
      </c>
      <c r="C246" t="s">
        <v>2253</v>
      </c>
      <c r="D246" s="9">
        <v>45274</v>
      </c>
      <c r="E246" t="s">
        <v>2337</v>
      </c>
      <c r="F246" s="20">
        <v>20</v>
      </c>
      <c r="G246" t="s">
        <v>2328</v>
      </c>
      <c r="H246">
        <v>1022.36</v>
      </c>
      <c r="I246" s="16" t="str">
        <f t="shared" si="3"/>
        <v>Normal</v>
      </c>
      <c r="J246" t="s">
        <v>39</v>
      </c>
    </row>
    <row r="247" spans="1:10">
      <c r="A247" t="s">
        <v>2585</v>
      </c>
      <c r="B247" t="s">
        <v>581</v>
      </c>
      <c r="C247" t="s">
        <v>2187</v>
      </c>
      <c r="D247" s="9">
        <v>46361</v>
      </c>
      <c r="E247" t="s">
        <v>23</v>
      </c>
      <c r="G247" t="s">
        <v>2345</v>
      </c>
      <c r="H247">
        <v>799</v>
      </c>
      <c r="I247" s="16" t="str">
        <f t="shared" si="3"/>
        <v>Normal</v>
      </c>
      <c r="J247" t="s">
        <v>39</v>
      </c>
    </row>
    <row r="248" spans="1:10">
      <c r="A248" t="s">
        <v>2586</v>
      </c>
      <c r="B248" t="s">
        <v>2139</v>
      </c>
      <c r="C248" t="s">
        <v>2222</v>
      </c>
      <c r="D248" s="9">
        <v>45663</v>
      </c>
      <c r="E248" t="s">
        <v>23</v>
      </c>
      <c r="G248" t="s">
        <v>2331</v>
      </c>
      <c r="H248">
        <v>0</v>
      </c>
      <c r="I248" s="16" t="str">
        <f t="shared" si="3"/>
        <v>Zero Amount</v>
      </c>
      <c r="J248" t="s">
        <v>39</v>
      </c>
    </row>
    <row r="249" spans="1:10">
      <c r="A249" t="s">
        <v>2587</v>
      </c>
      <c r="B249" t="s">
        <v>2588</v>
      </c>
      <c r="C249" t="s">
        <v>2235</v>
      </c>
      <c r="D249" s="9">
        <v>45896</v>
      </c>
      <c r="E249" t="s">
        <v>23</v>
      </c>
      <c r="G249" t="s">
        <v>2339</v>
      </c>
      <c r="H249">
        <v>3000</v>
      </c>
      <c r="I249" s="16" t="str">
        <f t="shared" si="3"/>
        <v>Normal</v>
      </c>
      <c r="J249">
        <v>2</v>
      </c>
    </row>
    <row r="250" spans="1:10">
      <c r="A250" t="s">
        <v>2589</v>
      </c>
      <c r="B250" t="s">
        <v>1347</v>
      </c>
      <c r="C250" t="s">
        <v>2241</v>
      </c>
      <c r="D250" s="9">
        <v>45811</v>
      </c>
      <c r="E250" t="s">
        <v>2330</v>
      </c>
      <c r="F250" s="20">
        <v>100</v>
      </c>
      <c r="G250" t="s">
        <v>2328</v>
      </c>
      <c r="H250">
        <v>2500</v>
      </c>
      <c r="I250" s="16" t="str">
        <f t="shared" si="3"/>
        <v>Normal</v>
      </c>
      <c r="J250">
        <v>3</v>
      </c>
    </row>
    <row r="251" spans="1:10">
      <c r="A251" t="s">
        <v>2590</v>
      </c>
      <c r="B251" t="s">
        <v>1902</v>
      </c>
      <c r="C251" t="s">
        <v>2198</v>
      </c>
      <c r="D251" s="9">
        <v>46117</v>
      </c>
      <c r="E251" t="s">
        <v>2327</v>
      </c>
      <c r="F251" s="20">
        <v>15</v>
      </c>
      <c r="G251" t="s">
        <v>2339</v>
      </c>
      <c r="I251" s="16" t="str">
        <f t="shared" si="3"/>
        <v>Unknown</v>
      </c>
      <c r="J251">
        <v>4</v>
      </c>
    </row>
    <row r="252" spans="1:10">
      <c r="A252" t="s">
        <v>2591</v>
      </c>
      <c r="B252" t="s">
        <v>1061</v>
      </c>
      <c r="C252" t="s">
        <v>2264</v>
      </c>
      <c r="D252" s="9">
        <v>45472</v>
      </c>
      <c r="E252" t="s">
        <v>2330</v>
      </c>
      <c r="G252" t="s">
        <v>23</v>
      </c>
      <c r="H252">
        <v>2500</v>
      </c>
      <c r="I252" s="16" t="str">
        <f t="shared" si="3"/>
        <v>Normal</v>
      </c>
      <c r="J252">
        <v>4</v>
      </c>
    </row>
    <row r="253" spans="1:10">
      <c r="A253" t="s">
        <v>2592</v>
      </c>
      <c r="B253" t="s">
        <v>1411</v>
      </c>
      <c r="C253" t="s">
        <v>2237</v>
      </c>
      <c r="D253" s="9">
        <v>45958</v>
      </c>
      <c r="E253" t="s">
        <v>2327</v>
      </c>
      <c r="G253" t="s">
        <v>2345</v>
      </c>
      <c r="H253">
        <v>1500</v>
      </c>
      <c r="I253" s="16" t="str">
        <f t="shared" si="3"/>
        <v>Normal</v>
      </c>
      <c r="J253">
        <v>5</v>
      </c>
    </row>
    <row r="254" spans="1:10">
      <c r="A254" t="s">
        <v>2593</v>
      </c>
      <c r="B254" t="s">
        <v>513</v>
      </c>
      <c r="C254" t="s">
        <v>2257</v>
      </c>
      <c r="D254" s="9">
        <v>45469</v>
      </c>
      <c r="E254" t="s">
        <v>2324</v>
      </c>
      <c r="F254" s="20">
        <v>60</v>
      </c>
      <c r="G254" t="s">
        <v>2331</v>
      </c>
      <c r="I254" s="16" t="str">
        <f t="shared" si="3"/>
        <v>Unknown</v>
      </c>
      <c r="J254">
        <v>4</v>
      </c>
    </row>
    <row r="255" spans="1:10">
      <c r="A255" t="s">
        <v>2594</v>
      </c>
      <c r="B255" t="s">
        <v>213</v>
      </c>
      <c r="C255" t="s">
        <v>2187</v>
      </c>
      <c r="D255" s="9">
        <v>45492</v>
      </c>
      <c r="E255" t="s">
        <v>2327</v>
      </c>
      <c r="F255" s="20">
        <v>5</v>
      </c>
      <c r="G255" t="s">
        <v>23</v>
      </c>
      <c r="H255">
        <v>799</v>
      </c>
      <c r="I255" s="16" t="str">
        <f t="shared" si="3"/>
        <v>Normal</v>
      </c>
      <c r="J255" t="s">
        <v>39</v>
      </c>
    </row>
    <row r="256" spans="1:10">
      <c r="A256" t="s">
        <v>2595</v>
      </c>
      <c r="B256" t="s">
        <v>2583</v>
      </c>
      <c r="C256" t="s">
        <v>2225</v>
      </c>
      <c r="D256" s="9">
        <v>46036</v>
      </c>
      <c r="E256" t="s">
        <v>2330</v>
      </c>
      <c r="F256" s="20">
        <v>100</v>
      </c>
      <c r="G256" t="s">
        <v>2339</v>
      </c>
      <c r="I256" s="16" t="str">
        <f t="shared" si="3"/>
        <v>Unknown</v>
      </c>
      <c r="J256" t="s">
        <v>39</v>
      </c>
    </row>
    <row r="257" spans="1:10">
      <c r="A257" t="s">
        <v>2596</v>
      </c>
      <c r="B257" t="s">
        <v>1438</v>
      </c>
      <c r="C257" t="s">
        <v>2261</v>
      </c>
      <c r="D257" s="9">
        <v>45422</v>
      </c>
      <c r="E257" t="s">
        <v>2324</v>
      </c>
      <c r="F257" s="20">
        <v>10</v>
      </c>
      <c r="G257" t="s">
        <v>2345</v>
      </c>
      <c r="I257" s="16" t="str">
        <f t="shared" si="3"/>
        <v>Unknown</v>
      </c>
      <c r="J257">
        <v>4</v>
      </c>
    </row>
    <row r="258" spans="1:10">
      <c r="A258" t="s">
        <v>2597</v>
      </c>
      <c r="B258" t="s">
        <v>305</v>
      </c>
      <c r="C258" t="s">
        <v>2235</v>
      </c>
      <c r="D258" s="9">
        <v>46074</v>
      </c>
      <c r="E258" t="s">
        <v>2330</v>
      </c>
      <c r="F258" s="20">
        <v>100</v>
      </c>
      <c r="G258" t="s">
        <v>23</v>
      </c>
      <c r="H258">
        <v>-3000</v>
      </c>
      <c r="I258" s="16" t="str">
        <f t="shared" si="3"/>
        <v>Review</v>
      </c>
      <c r="J258" t="s">
        <v>39</v>
      </c>
    </row>
    <row r="259" spans="1:10">
      <c r="A259" t="s">
        <v>2598</v>
      </c>
      <c r="B259" t="s">
        <v>1414</v>
      </c>
      <c r="C259" t="s">
        <v>2205</v>
      </c>
      <c r="D259" s="9">
        <v>45946</v>
      </c>
      <c r="E259" t="s">
        <v>2330</v>
      </c>
      <c r="F259" s="20">
        <v>100</v>
      </c>
      <c r="G259" t="s">
        <v>23</v>
      </c>
      <c r="H259">
        <v>1500</v>
      </c>
      <c r="I259" s="16" t="str">
        <f t="shared" ref="I259:I322" si="4">IF(H259="", "Unknown", IF(H259=0, "Zero Amount", IF(H259&lt;1, "Review", IF(H259&gt;1, "Normal"))))</f>
        <v>Normal</v>
      </c>
      <c r="J259">
        <v>1</v>
      </c>
    </row>
    <row r="260" spans="1:10">
      <c r="A260" t="s">
        <v>2599</v>
      </c>
      <c r="B260" t="s">
        <v>1087</v>
      </c>
      <c r="C260" t="s">
        <v>2216</v>
      </c>
      <c r="D260" s="9">
        <v>45522</v>
      </c>
      <c r="E260" t="s">
        <v>2327</v>
      </c>
      <c r="F260" s="20">
        <v>20</v>
      </c>
      <c r="G260" t="s">
        <v>2325</v>
      </c>
      <c r="H260">
        <v>1200</v>
      </c>
      <c r="I260" s="16" t="str">
        <f t="shared" si="4"/>
        <v>Normal</v>
      </c>
      <c r="J260">
        <v>5</v>
      </c>
    </row>
    <row r="261" spans="1:10">
      <c r="A261" t="s">
        <v>2600</v>
      </c>
      <c r="B261" t="s">
        <v>357</v>
      </c>
      <c r="C261" t="s">
        <v>2247</v>
      </c>
      <c r="D261" s="9">
        <v>45326</v>
      </c>
      <c r="E261" t="s">
        <v>2324</v>
      </c>
      <c r="F261" s="20">
        <v>25</v>
      </c>
      <c r="G261" t="s">
        <v>2345</v>
      </c>
      <c r="I261" s="16" t="str">
        <f t="shared" si="4"/>
        <v>Unknown</v>
      </c>
      <c r="J261" t="s">
        <v>39</v>
      </c>
    </row>
    <row r="262" spans="1:10">
      <c r="A262" t="s">
        <v>2601</v>
      </c>
      <c r="B262" t="s">
        <v>1354</v>
      </c>
      <c r="C262" t="s">
        <v>2261</v>
      </c>
      <c r="D262" s="9">
        <v>45766</v>
      </c>
      <c r="E262" t="s">
        <v>2324</v>
      </c>
      <c r="F262" s="20">
        <v>40</v>
      </c>
      <c r="G262" t="s">
        <v>23</v>
      </c>
      <c r="I262" s="16" t="str">
        <f t="shared" si="4"/>
        <v>Unknown</v>
      </c>
      <c r="J262" t="s">
        <v>39</v>
      </c>
    </row>
    <row r="263" spans="1:10">
      <c r="A263" t="s">
        <v>2602</v>
      </c>
      <c r="B263" t="s">
        <v>735</v>
      </c>
      <c r="C263" t="s">
        <v>2267</v>
      </c>
      <c r="D263" s="9">
        <v>45180</v>
      </c>
      <c r="E263" t="s">
        <v>23</v>
      </c>
      <c r="G263" t="s">
        <v>2339</v>
      </c>
      <c r="H263">
        <v>999.99</v>
      </c>
      <c r="I263" s="16" t="str">
        <f t="shared" si="4"/>
        <v>Normal</v>
      </c>
      <c r="J263">
        <v>5</v>
      </c>
    </row>
    <row r="264" spans="1:10">
      <c r="A264" t="s">
        <v>2603</v>
      </c>
      <c r="B264" t="s">
        <v>284</v>
      </c>
      <c r="C264" t="s">
        <v>2235</v>
      </c>
      <c r="D264" s="9">
        <v>45058</v>
      </c>
      <c r="E264" t="s">
        <v>2337</v>
      </c>
      <c r="F264" s="20">
        <v>0</v>
      </c>
      <c r="G264" t="s">
        <v>2345</v>
      </c>
      <c r="H264">
        <v>3000</v>
      </c>
      <c r="I264" s="16" t="str">
        <f t="shared" si="4"/>
        <v>Normal</v>
      </c>
      <c r="J264">
        <v>4</v>
      </c>
    </row>
    <row r="265" spans="1:10">
      <c r="A265" t="s">
        <v>2604</v>
      </c>
      <c r="B265" t="s">
        <v>408</v>
      </c>
      <c r="C265" t="s">
        <v>2202</v>
      </c>
      <c r="D265" s="9">
        <v>45905</v>
      </c>
      <c r="E265" t="s">
        <v>2330</v>
      </c>
      <c r="F265" s="20">
        <v>100</v>
      </c>
      <c r="G265" t="s">
        <v>2331</v>
      </c>
      <c r="H265">
        <v>535.51</v>
      </c>
      <c r="I265" s="16" t="str">
        <f t="shared" si="4"/>
        <v>Normal</v>
      </c>
      <c r="J265" t="s">
        <v>39</v>
      </c>
    </row>
    <row r="266" spans="1:10">
      <c r="A266" t="s">
        <v>2605</v>
      </c>
      <c r="B266" t="s">
        <v>125</v>
      </c>
      <c r="C266" t="s">
        <v>2216</v>
      </c>
      <c r="D266" s="9">
        <v>45643</v>
      </c>
      <c r="E266" t="s">
        <v>2330</v>
      </c>
      <c r="G266" t="s">
        <v>2331</v>
      </c>
      <c r="H266">
        <v>986.01</v>
      </c>
      <c r="I266" s="16" t="str">
        <f t="shared" si="4"/>
        <v>Normal</v>
      </c>
      <c r="J266">
        <v>4</v>
      </c>
    </row>
    <row r="267" spans="1:10">
      <c r="A267" t="s">
        <v>2606</v>
      </c>
      <c r="B267" t="s">
        <v>618</v>
      </c>
      <c r="C267" t="s">
        <v>2222</v>
      </c>
      <c r="D267" s="9">
        <v>45979</v>
      </c>
      <c r="E267" t="s">
        <v>2330</v>
      </c>
      <c r="F267" s="20">
        <v>100</v>
      </c>
      <c r="G267" t="s">
        <v>2345</v>
      </c>
      <c r="H267">
        <v>0</v>
      </c>
      <c r="I267" s="16" t="str">
        <f t="shared" si="4"/>
        <v>Zero Amount</v>
      </c>
      <c r="J267">
        <v>5</v>
      </c>
    </row>
    <row r="268" spans="1:10">
      <c r="A268" t="s">
        <v>2607</v>
      </c>
      <c r="B268" t="s">
        <v>1489</v>
      </c>
      <c r="C268" t="s">
        <v>2249</v>
      </c>
      <c r="D268" s="9">
        <v>45254</v>
      </c>
      <c r="E268" t="s">
        <v>2324</v>
      </c>
      <c r="F268" s="20">
        <v>60</v>
      </c>
      <c r="G268" t="s">
        <v>2345</v>
      </c>
      <c r="H268">
        <v>1500</v>
      </c>
      <c r="I268" s="16" t="str">
        <f t="shared" si="4"/>
        <v>Normal</v>
      </c>
      <c r="J268">
        <v>5</v>
      </c>
    </row>
    <row r="269" spans="1:10">
      <c r="A269" t="s">
        <v>2608</v>
      </c>
      <c r="B269" t="s">
        <v>155</v>
      </c>
      <c r="C269" t="s">
        <v>2193</v>
      </c>
      <c r="D269" s="9">
        <v>46052</v>
      </c>
      <c r="E269" t="s">
        <v>2337</v>
      </c>
      <c r="F269" s="20">
        <v>15</v>
      </c>
      <c r="G269" t="s">
        <v>2345</v>
      </c>
      <c r="H269">
        <v>0</v>
      </c>
      <c r="I269" s="16" t="str">
        <f t="shared" si="4"/>
        <v>Zero Amount</v>
      </c>
      <c r="J269">
        <v>1</v>
      </c>
    </row>
    <row r="270" spans="1:10">
      <c r="A270" t="s">
        <v>2609</v>
      </c>
      <c r="B270" t="s">
        <v>548</v>
      </c>
      <c r="C270" t="s">
        <v>2213</v>
      </c>
      <c r="D270" s="9">
        <v>45697</v>
      </c>
      <c r="E270" t="s">
        <v>2324</v>
      </c>
      <c r="G270" t="s">
        <v>2331</v>
      </c>
      <c r="H270">
        <v>1500</v>
      </c>
      <c r="I270" s="16" t="str">
        <f t="shared" si="4"/>
        <v>Normal</v>
      </c>
      <c r="J270" t="s">
        <v>39</v>
      </c>
    </row>
    <row r="271" spans="1:10">
      <c r="A271" t="s">
        <v>2610</v>
      </c>
      <c r="B271" t="s">
        <v>2084</v>
      </c>
      <c r="C271" t="s">
        <v>2271</v>
      </c>
      <c r="D271" s="9">
        <v>46159</v>
      </c>
      <c r="E271" t="s">
        <v>2330</v>
      </c>
      <c r="F271" s="20">
        <v>100</v>
      </c>
      <c r="G271" t="s">
        <v>2328</v>
      </c>
      <c r="H271">
        <v>1200</v>
      </c>
      <c r="I271" s="16" t="str">
        <f t="shared" si="4"/>
        <v>Normal</v>
      </c>
      <c r="J271">
        <v>3</v>
      </c>
    </row>
    <row r="272" spans="1:10">
      <c r="A272" t="s">
        <v>2611</v>
      </c>
      <c r="B272" t="s">
        <v>896</v>
      </c>
      <c r="C272" t="s">
        <v>2259</v>
      </c>
      <c r="D272" s="9">
        <v>45954</v>
      </c>
      <c r="E272" t="s">
        <v>2324</v>
      </c>
      <c r="F272" s="20">
        <v>60</v>
      </c>
      <c r="G272" t="s">
        <v>2345</v>
      </c>
      <c r="H272">
        <v>0</v>
      </c>
      <c r="I272" s="16" t="str">
        <f t="shared" si="4"/>
        <v>Zero Amount</v>
      </c>
      <c r="J272">
        <v>5</v>
      </c>
    </row>
    <row r="273" spans="1:10">
      <c r="A273" t="s">
        <v>2612</v>
      </c>
      <c r="B273" t="s">
        <v>200</v>
      </c>
      <c r="C273" t="s">
        <v>2202</v>
      </c>
      <c r="D273" s="9">
        <v>45193</v>
      </c>
      <c r="E273" t="s">
        <v>23</v>
      </c>
      <c r="G273" t="s">
        <v>2331</v>
      </c>
      <c r="H273">
        <v>999.99</v>
      </c>
      <c r="I273" s="16" t="str">
        <f t="shared" si="4"/>
        <v>Normal</v>
      </c>
      <c r="J273">
        <v>5</v>
      </c>
    </row>
    <row r="274" spans="1:10">
      <c r="A274" t="s">
        <v>2613</v>
      </c>
      <c r="B274" t="s">
        <v>1606</v>
      </c>
      <c r="C274" t="s">
        <v>2237</v>
      </c>
      <c r="D274" s="9">
        <v>44967</v>
      </c>
      <c r="E274" t="s">
        <v>2330</v>
      </c>
      <c r="F274" s="20">
        <v>100</v>
      </c>
      <c r="G274" t="s">
        <v>2345</v>
      </c>
      <c r="H274">
        <v>1235.1400000000001</v>
      </c>
      <c r="I274" s="16" t="str">
        <f t="shared" si="4"/>
        <v>Normal</v>
      </c>
      <c r="J274" t="s">
        <v>39</v>
      </c>
    </row>
    <row r="275" spans="1:10">
      <c r="A275" t="s">
        <v>2614</v>
      </c>
      <c r="B275" t="s">
        <v>754</v>
      </c>
      <c r="C275" t="s">
        <v>2244</v>
      </c>
      <c r="D275" s="9">
        <v>45441</v>
      </c>
      <c r="E275" t="s">
        <v>2337</v>
      </c>
      <c r="F275" s="20">
        <v>0</v>
      </c>
      <c r="G275" t="s">
        <v>2328</v>
      </c>
      <c r="H275">
        <v>1200</v>
      </c>
      <c r="I275" s="16" t="str">
        <f t="shared" si="4"/>
        <v>Normal</v>
      </c>
      <c r="J275">
        <v>5</v>
      </c>
    </row>
    <row r="276" spans="1:10">
      <c r="A276" t="s">
        <v>2615</v>
      </c>
      <c r="B276" t="s">
        <v>1414</v>
      </c>
      <c r="C276" t="s">
        <v>2257</v>
      </c>
      <c r="D276" s="9">
        <v>46121</v>
      </c>
      <c r="E276" t="s">
        <v>2337</v>
      </c>
      <c r="F276" s="20">
        <v>20</v>
      </c>
      <c r="G276" t="s">
        <v>23</v>
      </c>
      <c r="I276" s="16" t="str">
        <f t="shared" si="4"/>
        <v>Unknown</v>
      </c>
      <c r="J276">
        <v>5</v>
      </c>
    </row>
    <row r="277" spans="1:10">
      <c r="A277" t="s">
        <v>2616</v>
      </c>
      <c r="B277" t="s">
        <v>469</v>
      </c>
      <c r="C277" t="s">
        <v>2271</v>
      </c>
      <c r="D277" s="9">
        <v>45274</v>
      </c>
      <c r="E277" t="s">
        <v>2324</v>
      </c>
      <c r="F277" s="20">
        <v>40</v>
      </c>
      <c r="G277" t="s">
        <v>2345</v>
      </c>
      <c r="H277">
        <v>-1200</v>
      </c>
      <c r="I277" s="16" t="str">
        <f t="shared" si="4"/>
        <v>Review</v>
      </c>
      <c r="J277">
        <v>1</v>
      </c>
    </row>
    <row r="278" spans="1:10">
      <c r="A278" t="s">
        <v>2617</v>
      </c>
      <c r="B278" t="s">
        <v>910</v>
      </c>
      <c r="C278" t="s">
        <v>2216</v>
      </c>
      <c r="D278" s="9">
        <v>45405</v>
      </c>
      <c r="E278" t="s">
        <v>2330</v>
      </c>
      <c r="F278" s="20">
        <v>100</v>
      </c>
      <c r="G278" t="s">
        <v>2345</v>
      </c>
      <c r="H278">
        <v>-1200</v>
      </c>
      <c r="I278" s="16" t="str">
        <f t="shared" si="4"/>
        <v>Review</v>
      </c>
      <c r="J278">
        <v>1</v>
      </c>
    </row>
    <row r="279" spans="1:10">
      <c r="A279" t="s">
        <v>2618</v>
      </c>
      <c r="B279" t="s">
        <v>90</v>
      </c>
      <c r="C279" t="s">
        <v>2269</v>
      </c>
      <c r="D279" s="9">
        <v>45496</v>
      </c>
      <c r="E279" t="s">
        <v>2330</v>
      </c>
      <c r="F279" s="20">
        <v>100</v>
      </c>
      <c r="G279" t="s">
        <v>2339</v>
      </c>
      <c r="H279">
        <v>499</v>
      </c>
      <c r="I279" s="16" t="str">
        <f t="shared" si="4"/>
        <v>Normal</v>
      </c>
      <c r="J279" t="s">
        <v>39</v>
      </c>
    </row>
    <row r="280" spans="1:10">
      <c r="A280" t="s">
        <v>2619</v>
      </c>
      <c r="B280" t="s">
        <v>1635</v>
      </c>
      <c r="C280" t="s">
        <v>2209</v>
      </c>
      <c r="D280" s="9">
        <v>45195</v>
      </c>
      <c r="E280" t="s">
        <v>2330</v>
      </c>
      <c r="F280" s="20">
        <v>100</v>
      </c>
      <c r="G280" t="s">
        <v>2325</v>
      </c>
      <c r="H280">
        <v>418.39</v>
      </c>
      <c r="I280" s="16" t="str">
        <f t="shared" si="4"/>
        <v>Normal</v>
      </c>
      <c r="J280">
        <v>3</v>
      </c>
    </row>
    <row r="281" spans="1:10">
      <c r="A281" t="s">
        <v>2620</v>
      </c>
      <c r="B281" t="s">
        <v>1114</v>
      </c>
      <c r="C281" t="s">
        <v>2205</v>
      </c>
      <c r="D281" s="9">
        <v>45294</v>
      </c>
      <c r="E281" t="s">
        <v>2337</v>
      </c>
      <c r="F281" s="20">
        <v>20</v>
      </c>
      <c r="G281" t="s">
        <v>2331</v>
      </c>
      <c r="H281">
        <v>1500</v>
      </c>
      <c r="I281" s="16" t="str">
        <f t="shared" si="4"/>
        <v>Normal</v>
      </c>
      <c r="J281" t="s">
        <v>39</v>
      </c>
    </row>
    <row r="282" spans="1:10">
      <c r="A282" t="s">
        <v>2621</v>
      </c>
      <c r="B282" t="s">
        <v>957</v>
      </c>
      <c r="C282" t="s">
        <v>2244</v>
      </c>
      <c r="D282" s="9">
        <v>45944</v>
      </c>
      <c r="E282" t="s">
        <v>23</v>
      </c>
      <c r="G282" t="s">
        <v>2325</v>
      </c>
      <c r="H282">
        <v>1200</v>
      </c>
      <c r="I282" s="16" t="str">
        <f t="shared" si="4"/>
        <v>Normal</v>
      </c>
      <c r="J282">
        <v>3</v>
      </c>
    </row>
    <row r="283" spans="1:10">
      <c r="A283" t="s">
        <v>2622</v>
      </c>
      <c r="B283" t="s">
        <v>1654</v>
      </c>
      <c r="C283" t="s">
        <v>2257</v>
      </c>
      <c r="D283" s="9">
        <v>45380</v>
      </c>
      <c r="E283" t="s">
        <v>2324</v>
      </c>
      <c r="G283" t="s">
        <v>2325</v>
      </c>
      <c r="I283" s="16" t="str">
        <f t="shared" si="4"/>
        <v>Unknown</v>
      </c>
      <c r="J283">
        <v>5</v>
      </c>
    </row>
    <row r="284" spans="1:10">
      <c r="A284" t="s">
        <v>2623</v>
      </c>
      <c r="B284" t="s">
        <v>1952</v>
      </c>
      <c r="C284" t="s">
        <v>2271</v>
      </c>
      <c r="D284" s="9">
        <v>45616</v>
      </c>
      <c r="E284" t="s">
        <v>2324</v>
      </c>
      <c r="F284" s="20">
        <v>75</v>
      </c>
      <c r="G284" t="s">
        <v>2345</v>
      </c>
      <c r="H284">
        <v>1200</v>
      </c>
      <c r="I284" s="16" t="str">
        <f t="shared" si="4"/>
        <v>Normal</v>
      </c>
      <c r="J284">
        <v>5</v>
      </c>
    </row>
    <row r="285" spans="1:10">
      <c r="A285" t="s">
        <v>2624</v>
      </c>
      <c r="B285" t="s">
        <v>1306</v>
      </c>
      <c r="C285" t="s">
        <v>2271</v>
      </c>
      <c r="D285" s="9">
        <v>45378</v>
      </c>
      <c r="E285" t="s">
        <v>23</v>
      </c>
      <c r="G285" t="s">
        <v>2339</v>
      </c>
      <c r="H285">
        <v>1200</v>
      </c>
      <c r="I285" s="16" t="str">
        <f t="shared" si="4"/>
        <v>Normal</v>
      </c>
      <c r="J285">
        <v>2</v>
      </c>
    </row>
    <row r="286" spans="1:10">
      <c r="A286" t="s">
        <v>2625</v>
      </c>
      <c r="B286" t="s">
        <v>1930</v>
      </c>
      <c r="C286" t="s">
        <v>2216</v>
      </c>
      <c r="D286" s="9">
        <v>46144</v>
      </c>
      <c r="E286" t="s">
        <v>2330</v>
      </c>
      <c r="F286" s="20">
        <v>100</v>
      </c>
      <c r="G286" t="s">
        <v>2339</v>
      </c>
      <c r="H286">
        <v>1200</v>
      </c>
      <c r="I286" s="16" t="str">
        <f t="shared" si="4"/>
        <v>Normal</v>
      </c>
      <c r="J286" t="s">
        <v>39</v>
      </c>
    </row>
    <row r="287" spans="1:10">
      <c r="A287" t="s">
        <v>2626</v>
      </c>
      <c r="B287" t="s">
        <v>177</v>
      </c>
      <c r="C287" t="s">
        <v>2216</v>
      </c>
      <c r="D287" s="9">
        <v>45810</v>
      </c>
      <c r="E287" t="s">
        <v>23</v>
      </c>
      <c r="G287" t="s">
        <v>2345</v>
      </c>
      <c r="H287">
        <v>1200</v>
      </c>
      <c r="I287" s="16" t="str">
        <f t="shared" si="4"/>
        <v>Normal</v>
      </c>
      <c r="J287">
        <v>5</v>
      </c>
    </row>
    <row r="288" spans="1:10">
      <c r="A288" t="s">
        <v>2627</v>
      </c>
      <c r="B288" t="s">
        <v>1849</v>
      </c>
      <c r="C288" t="s">
        <v>2267</v>
      </c>
      <c r="D288" s="9">
        <v>45251</v>
      </c>
      <c r="E288" t="s">
        <v>2330</v>
      </c>
      <c r="G288" t="s">
        <v>2345</v>
      </c>
      <c r="H288">
        <v>999.99</v>
      </c>
      <c r="I288" s="16" t="str">
        <f t="shared" si="4"/>
        <v>Normal</v>
      </c>
      <c r="J288">
        <v>2</v>
      </c>
    </row>
    <row r="289" spans="1:10">
      <c r="A289" t="s">
        <v>2628</v>
      </c>
      <c r="B289" t="s">
        <v>350</v>
      </c>
      <c r="C289" t="s">
        <v>2193</v>
      </c>
      <c r="D289" s="9">
        <v>44996</v>
      </c>
      <c r="E289" t="s">
        <v>2337</v>
      </c>
      <c r="F289" s="20">
        <v>20</v>
      </c>
      <c r="G289" t="s">
        <v>2328</v>
      </c>
      <c r="H289">
        <v>0</v>
      </c>
      <c r="I289" s="16" t="str">
        <f t="shared" si="4"/>
        <v>Zero Amount</v>
      </c>
      <c r="J289" t="s">
        <v>39</v>
      </c>
    </row>
    <row r="290" spans="1:10">
      <c r="A290" t="s">
        <v>2629</v>
      </c>
      <c r="B290" t="s">
        <v>1654</v>
      </c>
      <c r="C290" t="s">
        <v>2193</v>
      </c>
      <c r="D290" s="9">
        <v>45721</v>
      </c>
      <c r="E290" t="s">
        <v>2330</v>
      </c>
      <c r="F290" s="20">
        <v>100</v>
      </c>
      <c r="G290" t="s">
        <v>2328</v>
      </c>
      <c r="H290">
        <v>0</v>
      </c>
      <c r="I290" s="16" t="str">
        <f t="shared" si="4"/>
        <v>Zero Amount</v>
      </c>
      <c r="J290">
        <v>4</v>
      </c>
    </row>
    <row r="291" spans="1:10">
      <c r="A291" t="s">
        <v>2630</v>
      </c>
      <c r="B291" t="s">
        <v>1974</v>
      </c>
      <c r="C291" t="s">
        <v>2193</v>
      </c>
      <c r="D291" s="9">
        <v>45141</v>
      </c>
      <c r="E291" t="s">
        <v>2330</v>
      </c>
      <c r="G291" t="s">
        <v>2331</v>
      </c>
      <c r="H291">
        <v>0</v>
      </c>
      <c r="I291" s="16" t="str">
        <f t="shared" si="4"/>
        <v>Zero Amount</v>
      </c>
      <c r="J291" t="s">
        <v>39</v>
      </c>
    </row>
    <row r="292" spans="1:10">
      <c r="A292" t="s">
        <v>2631</v>
      </c>
      <c r="B292" t="s">
        <v>137</v>
      </c>
      <c r="C292" t="s">
        <v>2273</v>
      </c>
      <c r="D292" s="9">
        <v>46039</v>
      </c>
      <c r="E292" t="s">
        <v>2324</v>
      </c>
      <c r="G292" t="s">
        <v>2325</v>
      </c>
      <c r="H292">
        <v>799</v>
      </c>
      <c r="I292" s="16" t="str">
        <f t="shared" si="4"/>
        <v>Normal</v>
      </c>
      <c r="J292">
        <v>2</v>
      </c>
    </row>
    <row r="293" spans="1:10">
      <c r="A293" t="s">
        <v>2632</v>
      </c>
      <c r="B293" t="s">
        <v>145</v>
      </c>
      <c r="C293" t="s">
        <v>2225</v>
      </c>
      <c r="D293" s="9">
        <v>45537</v>
      </c>
      <c r="E293" t="s">
        <v>2337</v>
      </c>
      <c r="F293" s="20">
        <v>20</v>
      </c>
      <c r="G293" t="s">
        <v>2328</v>
      </c>
      <c r="I293" s="16" t="str">
        <f t="shared" si="4"/>
        <v>Unknown</v>
      </c>
      <c r="J293" t="s">
        <v>39</v>
      </c>
    </row>
    <row r="294" spans="1:10">
      <c r="A294" t="s">
        <v>2633</v>
      </c>
      <c r="B294" t="s">
        <v>1095</v>
      </c>
      <c r="C294" t="s">
        <v>2269</v>
      </c>
      <c r="D294" s="9">
        <v>46037</v>
      </c>
      <c r="E294" t="s">
        <v>23</v>
      </c>
      <c r="G294" t="s">
        <v>2345</v>
      </c>
      <c r="H294">
        <v>-499</v>
      </c>
      <c r="I294" s="16" t="str">
        <f t="shared" si="4"/>
        <v>Review</v>
      </c>
      <c r="J294">
        <v>4</v>
      </c>
    </row>
    <row r="295" spans="1:10">
      <c r="A295" t="s">
        <v>2634</v>
      </c>
      <c r="B295" t="s">
        <v>637</v>
      </c>
      <c r="C295" t="s">
        <v>2231</v>
      </c>
      <c r="D295" s="9">
        <v>46103</v>
      </c>
      <c r="E295" t="s">
        <v>2330</v>
      </c>
      <c r="F295" s="20">
        <v>100</v>
      </c>
      <c r="G295" t="s">
        <v>2345</v>
      </c>
      <c r="H295">
        <v>-3000</v>
      </c>
      <c r="I295" s="16" t="str">
        <f t="shared" si="4"/>
        <v>Review</v>
      </c>
      <c r="J295" t="s">
        <v>39</v>
      </c>
    </row>
    <row r="296" spans="1:10">
      <c r="A296" t="s">
        <v>2635</v>
      </c>
      <c r="B296" t="s">
        <v>1043</v>
      </c>
      <c r="C296" t="s">
        <v>2198</v>
      </c>
      <c r="D296" s="9">
        <v>45239</v>
      </c>
      <c r="E296" t="s">
        <v>2330</v>
      </c>
      <c r="G296" t="s">
        <v>2345</v>
      </c>
      <c r="I296" s="16" t="str">
        <f t="shared" si="4"/>
        <v>Unknown</v>
      </c>
      <c r="J296">
        <v>3</v>
      </c>
    </row>
    <row r="297" spans="1:10">
      <c r="A297" t="s">
        <v>2636</v>
      </c>
      <c r="B297" t="s">
        <v>2637</v>
      </c>
      <c r="C297" t="s">
        <v>2228</v>
      </c>
      <c r="D297" s="9">
        <v>45499</v>
      </c>
      <c r="E297" t="s">
        <v>2330</v>
      </c>
      <c r="G297" t="s">
        <v>2345</v>
      </c>
      <c r="I297" s="16" t="str">
        <f t="shared" si="4"/>
        <v>Unknown</v>
      </c>
      <c r="J297">
        <v>4</v>
      </c>
    </row>
    <row r="298" spans="1:10">
      <c r="A298" t="s">
        <v>2638</v>
      </c>
      <c r="B298" t="s">
        <v>2101</v>
      </c>
      <c r="C298" t="s">
        <v>2253</v>
      </c>
      <c r="D298" s="9">
        <v>46023</v>
      </c>
      <c r="E298" t="s">
        <v>2330</v>
      </c>
      <c r="G298" t="s">
        <v>2345</v>
      </c>
      <c r="H298">
        <v>1200</v>
      </c>
      <c r="I298" s="16" t="str">
        <f t="shared" si="4"/>
        <v>Normal</v>
      </c>
      <c r="J298" t="s">
        <v>39</v>
      </c>
    </row>
    <row r="299" spans="1:10">
      <c r="A299" t="s">
        <v>2639</v>
      </c>
      <c r="B299" t="s">
        <v>1638</v>
      </c>
      <c r="C299" t="s">
        <v>2187</v>
      </c>
      <c r="D299" s="9">
        <v>46141</v>
      </c>
      <c r="E299" t="s">
        <v>2330</v>
      </c>
      <c r="F299" s="20">
        <v>100</v>
      </c>
      <c r="G299" t="s">
        <v>2325</v>
      </c>
      <c r="H299">
        <v>799</v>
      </c>
      <c r="I299" s="16" t="str">
        <f t="shared" si="4"/>
        <v>Normal</v>
      </c>
      <c r="J299">
        <v>3</v>
      </c>
    </row>
    <row r="300" spans="1:10">
      <c r="A300" t="s">
        <v>2640</v>
      </c>
      <c r="B300" t="s">
        <v>1524</v>
      </c>
      <c r="C300" t="s">
        <v>2193</v>
      </c>
      <c r="D300" s="9">
        <v>45507</v>
      </c>
      <c r="E300" t="s">
        <v>2324</v>
      </c>
      <c r="F300" s="20">
        <v>40</v>
      </c>
      <c r="G300" t="s">
        <v>2331</v>
      </c>
      <c r="H300">
        <v>0</v>
      </c>
      <c r="I300" s="16" t="str">
        <f t="shared" si="4"/>
        <v>Zero Amount</v>
      </c>
      <c r="J300">
        <v>4</v>
      </c>
    </row>
    <row r="301" spans="1:10">
      <c r="A301" t="s">
        <v>2641</v>
      </c>
      <c r="B301" t="s">
        <v>2642</v>
      </c>
      <c r="C301" t="s">
        <v>2209</v>
      </c>
      <c r="D301" s="9">
        <v>45845</v>
      </c>
      <c r="E301" t="s">
        <v>2330</v>
      </c>
      <c r="G301" t="s">
        <v>2339</v>
      </c>
      <c r="H301">
        <v>499</v>
      </c>
      <c r="I301" s="16" t="str">
        <f t="shared" si="4"/>
        <v>Normal</v>
      </c>
      <c r="J301">
        <v>2</v>
      </c>
    </row>
    <row r="302" spans="1:10">
      <c r="A302" t="s">
        <v>2643</v>
      </c>
      <c r="B302" t="s">
        <v>870</v>
      </c>
      <c r="C302" t="s">
        <v>2251</v>
      </c>
      <c r="D302" s="9">
        <v>45652</v>
      </c>
      <c r="E302" t="s">
        <v>2327</v>
      </c>
      <c r="G302" t="s">
        <v>2345</v>
      </c>
      <c r="H302">
        <v>1500</v>
      </c>
      <c r="I302" s="16" t="str">
        <f t="shared" si="4"/>
        <v>Normal</v>
      </c>
      <c r="J302" t="s">
        <v>39</v>
      </c>
    </row>
    <row r="303" spans="1:10">
      <c r="A303" t="s">
        <v>2644</v>
      </c>
      <c r="B303" t="s">
        <v>713</v>
      </c>
      <c r="C303" t="s">
        <v>2253</v>
      </c>
      <c r="D303" s="9">
        <v>45386</v>
      </c>
      <c r="E303" t="s">
        <v>23</v>
      </c>
      <c r="G303" t="s">
        <v>2325</v>
      </c>
      <c r="H303">
        <v>1200</v>
      </c>
      <c r="I303" s="16" t="str">
        <f t="shared" si="4"/>
        <v>Normal</v>
      </c>
      <c r="J303">
        <v>4</v>
      </c>
    </row>
    <row r="304" spans="1:10">
      <c r="A304" t="s">
        <v>2645</v>
      </c>
      <c r="B304" t="s">
        <v>264</v>
      </c>
      <c r="C304" t="s">
        <v>2257</v>
      </c>
      <c r="D304" s="9">
        <v>46114</v>
      </c>
      <c r="E304" t="s">
        <v>2330</v>
      </c>
      <c r="G304" t="s">
        <v>2331</v>
      </c>
      <c r="I304" s="16" t="str">
        <f t="shared" si="4"/>
        <v>Unknown</v>
      </c>
      <c r="J304" t="s">
        <v>39</v>
      </c>
    </row>
    <row r="305" spans="1:10">
      <c r="A305" t="s">
        <v>2646</v>
      </c>
      <c r="B305" t="s">
        <v>2003</v>
      </c>
      <c r="C305" t="s">
        <v>2257</v>
      </c>
      <c r="D305" s="9">
        <v>45846</v>
      </c>
      <c r="E305" t="s">
        <v>2330</v>
      </c>
      <c r="F305" s="20">
        <v>100</v>
      </c>
      <c r="G305" t="s">
        <v>23</v>
      </c>
      <c r="I305" s="16" t="str">
        <f t="shared" si="4"/>
        <v>Unknown</v>
      </c>
      <c r="J305">
        <v>3</v>
      </c>
    </row>
    <row r="306" spans="1:10">
      <c r="A306" t="s">
        <v>2647</v>
      </c>
      <c r="B306" t="s">
        <v>453</v>
      </c>
      <c r="C306" t="s">
        <v>2241</v>
      </c>
      <c r="D306" s="9">
        <v>45778</v>
      </c>
      <c r="E306" t="s">
        <v>2330</v>
      </c>
      <c r="F306" s="20">
        <v>100</v>
      </c>
      <c r="G306" t="s">
        <v>2331</v>
      </c>
      <c r="H306">
        <v>2500</v>
      </c>
      <c r="I306" s="16" t="str">
        <f t="shared" si="4"/>
        <v>Normal</v>
      </c>
      <c r="J306">
        <v>1</v>
      </c>
    </row>
    <row r="307" spans="1:10">
      <c r="A307" t="s">
        <v>2648</v>
      </c>
      <c r="B307" t="s">
        <v>1552</v>
      </c>
      <c r="C307" t="s">
        <v>2198</v>
      </c>
      <c r="D307" s="9">
        <v>45803</v>
      </c>
      <c r="E307" t="s">
        <v>2337</v>
      </c>
      <c r="F307" s="20">
        <v>15</v>
      </c>
      <c r="G307" t="s">
        <v>2331</v>
      </c>
      <c r="I307" s="16" t="str">
        <f t="shared" si="4"/>
        <v>Unknown</v>
      </c>
      <c r="J307" t="s">
        <v>39</v>
      </c>
    </row>
    <row r="308" spans="1:10">
      <c r="A308" t="s">
        <v>2649</v>
      </c>
      <c r="B308" t="s">
        <v>1266</v>
      </c>
      <c r="C308" t="s">
        <v>2233</v>
      </c>
      <c r="D308" s="9">
        <v>45910</v>
      </c>
      <c r="E308" t="s">
        <v>2324</v>
      </c>
      <c r="F308" s="20">
        <v>55</v>
      </c>
      <c r="G308" t="s">
        <v>2339</v>
      </c>
      <c r="H308">
        <v>2500</v>
      </c>
      <c r="I308" s="16" t="str">
        <f t="shared" si="4"/>
        <v>Normal</v>
      </c>
      <c r="J308">
        <v>2</v>
      </c>
    </row>
    <row r="309" spans="1:10">
      <c r="A309" t="s">
        <v>2650</v>
      </c>
      <c r="B309" t="s">
        <v>1383</v>
      </c>
      <c r="C309" t="s">
        <v>2193</v>
      </c>
      <c r="D309" s="9">
        <v>45366</v>
      </c>
      <c r="E309" t="s">
        <v>2327</v>
      </c>
      <c r="G309" t="s">
        <v>2325</v>
      </c>
      <c r="H309">
        <v>0</v>
      </c>
      <c r="I309" s="16" t="str">
        <f t="shared" si="4"/>
        <v>Zero Amount</v>
      </c>
      <c r="J309" t="s">
        <v>39</v>
      </c>
    </row>
    <row r="310" spans="1:10">
      <c r="A310" t="s">
        <v>2651</v>
      </c>
      <c r="B310" t="s">
        <v>1187</v>
      </c>
      <c r="C310" t="s">
        <v>2241</v>
      </c>
      <c r="D310" s="9">
        <v>45998</v>
      </c>
      <c r="E310" t="s">
        <v>2324</v>
      </c>
      <c r="F310" s="20">
        <v>25</v>
      </c>
      <c r="G310" t="s">
        <v>2345</v>
      </c>
      <c r="H310">
        <v>2500</v>
      </c>
      <c r="I310" s="16" t="str">
        <f t="shared" si="4"/>
        <v>Normal</v>
      </c>
      <c r="J310">
        <v>4</v>
      </c>
    </row>
    <row r="311" spans="1:10">
      <c r="A311" t="s">
        <v>2652</v>
      </c>
      <c r="B311" t="s">
        <v>589</v>
      </c>
      <c r="C311" t="s">
        <v>2231</v>
      </c>
      <c r="D311" s="9">
        <v>45106</v>
      </c>
      <c r="E311" t="s">
        <v>2324</v>
      </c>
      <c r="F311" s="20">
        <v>10</v>
      </c>
      <c r="G311" t="s">
        <v>2328</v>
      </c>
      <c r="H311">
        <v>3000</v>
      </c>
      <c r="I311" s="16" t="str">
        <f t="shared" si="4"/>
        <v>Normal</v>
      </c>
      <c r="J311">
        <v>1</v>
      </c>
    </row>
    <row r="312" spans="1:10">
      <c r="A312" t="s">
        <v>2653</v>
      </c>
      <c r="B312" t="s">
        <v>1995</v>
      </c>
      <c r="C312" t="s">
        <v>2259</v>
      </c>
      <c r="D312" s="9">
        <v>46032</v>
      </c>
      <c r="E312" t="s">
        <v>2330</v>
      </c>
      <c r="F312" s="20">
        <v>100</v>
      </c>
      <c r="G312" t="s">
        <v>23</v>
      </c>
      <c r="H312">
        <v>0</v>
      </c>
      <c r="I312" s="16" t="str">
        <f t="shared" si="4"/>
        <v>Zero Amount</v>
      </c>
      <c r="J312">
        <v>4</v>
      </c>
    </row>
    <row r="313" spans="1:10">
      <c r="A313" t="s">
        <v>2654</v>
      </c>
      <c r="B313" t="s">
        <v>1200</v>
      </c>
      <c r="C313" t="s">
        <v>2218</v>
      </c>
      <c r="D313" s="9">
        <v>45416</v>
      </c>
      <c r="E313" t="s">
        <v>2330</v>
      </c>
      <c r="G313" t="s">
        <v>2331</v>
      </c>
      <c r="H313">
        <v>1500</v>
      </c>
      <c r="I313" s="16" t="str">
        <f t="shared" si="4"/>
        <v>Normal</v>
      </c>
      <c r="J313">
        <v>1</v>
      </c>
    </row>
    <row r="314" spans="1:10">
      <c r="A314" t="s">
        <v>2655</v>
      </c>
      <c r="B314" t="s">
        <v>886</v>
      </c>
      <c r="C314" t="s">
        <v>2235</v>
      </c>
      <c r="D314" s="9">
        <v>45242</v>
      </c>
      <c r="E314" t="s">
        <v>2324</v>
      </c>
      <c r="F314" s="20">
        <v>75</v>
      </c>
      <c r="G314" t="s">
        <v>2328</v>
      </c>
      <c r="H314">
        <v>3000</v>
      </c>
      <c r="I314" s="16" t="str">
        <f t="shared" si="4"/>
        <v>Normal</v>
      </c>
      <c r="J314">
        <v>1</v>
      </c>
    </row>
    <row r="315" spans="1:10">
      <c r="A315" t="s">
        <v>2656</v>
      </c>
      <c r="B315" t="s">
        <v>1360</v>
      </c>
      <c r="C315" t="s">
        <v>2198</v>
      </c>
      <c r="D315" s="9">
        <v>45535</v>
      </c>
      <c r="E315" t="s">
        <v>2324</v>
      </c>
      <c r="F315" s="20">
        <v>40</v>
      </c>
      <c r="G315" t="s">
        <v>23</v>
      </c>
      <c r="I315" s="16" t="str">
        <f t="shared" si="4"/>
        <v>Unknown</v>
      </c>
      <c r="J315">
        <v>5</v>
      </c>
    </row>
    <row r="316" spans="1:10">
      <c r="A316" t="s">
        <v>2657</v>
      </c>
      <c r="B316" t="s">
        <v>1561</v>
      </c>
      <c r="C316" t="s">
        <v>2216</v>
      </c>
      <c r="D316" s="9">
        <v>45177</v>
      </c>
      <c r="E316" t="s">
        <v>2327</v>
      </c>
      <c r="G316" t="s">
        <v>2328</v>
      </c>
      <c r="H316">
        <v>1200</v>
      </c>
      <c r="I316" s="16" t="str">
        <f t="shared" si="4"/>
        <v>Normal</v>
      </c>
      <c r="J316">
        <v>1</v>
      </c>
    </row>
    <row r="317" spans="1:10">
      <c r="A317" t="s">
        <v>2658</v>
      </c>
      <c r="B317" t="s">
        <v>2155</v>
      </c>
      <c r="C317" t="s">
        <v>2253</v>
      </c>
      <c r="D317" s="9">
        <v>45523</v>
      </c>
      <c r="E317" t="s">
        <v>2330</v>
      </c>
      <c r="G317" t="s">
        <v>2331</v>
      </c>
      <c r="I317" s="16" t="str">
        <f t="shared" si="4"/>
        <v>Unknown</v>
      </c>
      <c r="J317">
        <v>2</v>
      </c>
    </row>
    <row r="318" spans="1:10">
      <c r="A318" t="s">
        <v>2659</v>
      </c>
      <c r="B318" t="s">
        <v>339</v>
      </c>
      <c r="C318" t="s">
        <v>2233</v>
      </c>
      <c r="D318" s="9">
        <v>45515</v>
      </c>
      <c r="E318" t="s">
        <v>2327</v>
      </c>
      <c r="G318" t="s">
        <v>2325</v>
      </c>
      <c r="H318">
        <v>1876.33</v>
      </c>
      <c r="I318" s="16" t="str">
        <f t="shared" si="4"/>
        <v>Normal</v>
      </c>
      <c r="J318">
        <v>5</v>
      </c>
    </row>
    <row r="319" spans="1:10">
      <c r="A319" t="s">
        <v>2660</v>
      </c>
      <c r="B319" t="s">
        <v>701</v>
      </c>
      <c r="C319" t="s">
        <v>2271</v>
      </c>
      <c r="D319" s="9">
        <v>44936</v>
      </c>
      <c r="E319" t="s">
        <v>2330</v>
      </c>
      <c r="F319" s="20">
        <v>100</v>
      </c>
      <c r="G319" t="s">
        <v>2345</v>
      </c>
      <c r="H319">
        <v>-1200</v>
      </c>
      <c r="I319" s="16" t="str">
        <f t="shared" si="4"/>
        <v>Review</v>
      </c>
      <c r="J319" t="s">
        <v>39</v>
      </c>
    </row>
    <row r="320" spans="1:10">
      <c r="A320" t="s">
        <v>2661</v>
      </c>
      <c r="B320" t="s">
        <v>2051</v>
      </c>
      <c r="C320" t="s">
        <v>2257</v>
      </c>
      <c r="D320" s="9">
        <v>45637</v>
      </c>
      <c r="E320" t="s">
        <v>2324</v>
      </c>
      <c r="F320" s="20">
        <v>25</v>
      </c>
      <c r="G320" t="s">
        <v>2345</v>
      </c>
      <c r="I320" s="16" t="str">
        <f t="shared" si="4"/>
        <v>Unknown</v>
      </c>
      <c r="J320" t="s">
        <v>39</v>
      </c>
    </row>
    <row r="321" spans="1:10">
      <c r="A321" t="s">
        <v>2662</v>
      </c>
      <c r="B321" t="s">
        <v>653</v>
      </c>
      <c r="C321" t="s">
        <v>2198</v>
      </c>
      <c r="D321" s="9">
        <v>45802</v>
      </c>
      <c r="E321" t="s">
        <v>2337</v>
      </c>
      <c r="F321" s="20">
        <v>20</v>
      </c>
      <c r="G321" t="s">
        <v>2325</v>
      </c>
      <c r="I321" s="16" t="str">
        <f t="shared" si="4"/>
        <v>Unknown</v>
      </c>
      <c r="J321">
        <v>3</v>
      </c>
    </row>
    <row r="322" spans="1:10">
      <c r="A322" t="s">
        <v>2663</v>
      </c>
      <c r="B322" t="s">
        <v>1118</v>
      </c>
      <c r="C322" t="s">
        <v>2202</v>
      </c>
      <c r="D322" s="9">
        <v>46084</v>
      </c>
      <c r="E322" t="s">
        <v>2324</v>
      </c>
      <c r="F322" s="20">
        <v>60</v>
      </c>
      <c r="G322" t="s">
        <v>2345</v>
      </c>
      <c r="H322">
        <v>999.99</v>
      </c>
      <c r="I322" s="16" t="str">
        <f t="shared" si="4"/>
        <v>Normal</v>
      </c>
      <c r="J322">
        <v>4</v>
      </c>
    </row>
    <row r="323" spans="1:10">
      <c r="A323" t="s">
        <v>2664</v>
      </c>
      <c r="B323" t="s">
        <v>309</v>
      </c>
      <c r="C323" t="s">
        <v>2259</v>
      </c>
      <c r="D323" s="9">
        <v>45607</v>
      </c>
      <c r="E323" t="s">
        <v>23</v>
      </c>
      <c r="G323" t="s">
        <v>2328</v>
      </c>
      <c r="H323">
        <v>0</v>
      </c>
      <c r="I323" s="16" t="str">
        <f t="shared" ref="I323:I386" si="5">IF(H323="", "Unknown", IF(H323=0, "Zero Amount", IF(H323&lt;1, "Review", IF(H323&gt;1, "Normal"))))</f>
        <v>Zero Amount</v>
      </c>
      <c r="J323">
        <v>4</v>
      </c>
    </row>
    <row r="324" spans="1:10">
      <c r="A324" t="s">
        <v>2665</v>
      </c>
      <c r="B324" t="s">
        <v>1103</v>
      </c>
      <c r="C324" t="s">
        <v>2261</v>
      </c>
      <c r="D324" s="9">
        <v>45192</v>
      </c>
      <c r="E324" t="s">
        <v>2327</v>
      </c>
      <c r="F324" s="20">
        <v>5</v>
      </c>
      <c r="G324" t="s">
        <v>2331</v>
      </c>
      <c r="I324" s="16" t="str">
        <f t="shared" si="5"/>
        <v>Unknown</v>
      </c>
      <c r="J324">
        <v>4</v>
      </c>
    </row>
    <row r="325" spans="1:10">
      <c r="A325" t="s">
        <v>2666</v>
      </c>
      <c r="B325" t="s">
        <v>597</v>
      </c>
      <c r="C325" t="s">
        <v>2271</v>
      </c>
      <c r="D325" s="9">
        <v>45900</v>
      </c>
      <c r="E325" t="s">
        <v>2324</v>
      </c>
      <c r="F325" s="20">
        <v>75</v>
      </c>
      <c r="G325" t="s">
        <v>23</v>
      </c>
      <c r="H325">
        <v>1200</v>
      </c>
      <c r="I325" s="16" t="str">
        <f t="shared" si="5"/>
        <v>Normal</v>
      </c>
      <c r="J325">
        <v>5</v>
      </c>
    </row>
    <row r="326" spans="1:10">
      <c r="A326" t="s">
        <v>2667</v>
      </c>
      <c r="B326" t="s">
        <v>688</v>
      </c>
      <c r="C326" t="s">
        <v>2241</v>
      </c>
      <c r="D326" s="9">
        <v>46103</v>
      </c>
      <c r="E326" t="s">
        <v>2330</v>
      </c>
      <c r="G326" t="s">
        <v>23</v>
      </c>
      <c r="H326">
        <v>2500</v>
      </c>
      <c r="I326" s="16" t="str">
        <f t="shared" si="5"/>
        <v>Normal</v>
      </c>
      <c r="J326" t="s">
        <v>39</v>
      </c>
    </row>
    <row r="327" spans="1:10">
      <c r="A327" t="s">
        <v>2668</v>
      </c>
      <c r="B327" t="s">
        <v>1288</v>
      </c>
      <c r="C327" t="s">
        <v>2193</v>
      </c>
      <c r="D327" s="9">
        <v>46109</v>
      </c>
      <c r="E327" t="s">
        <v>2337</v>
      </c>
      <c r="F327" s="20">
        <v>15</v>
      </c>
      <c r="G327" t="s">
        <v>2339</v>
      </c>
      <c r="H327">
        <v>0</v>
      </c>
      <c r="I327" s="16" t="str">
        <f t="shared" si="5"/>
        <v>Zero Amount</v>
      </c>
      <c r="J327">
        <v>3</v>
      </c>
    </row>
    <row r="328" spans="1:10">
      <c r="A328" t="s">
        <v>2669</v>
      </c>
      <c r="B328" t="s">
        <v>562</v>
      </c>
      <c r="C328" t="s">
        <v>2193</v>
      </c>
      <c r="D328" s="9">
        <v>45939</v>
      </c>
      <c r="E328" t="s">
        <v>2330</v>
      </c>
      <c r="F328" s="20">
        <v>100</v>
      </c>
      <c r="G328" t="s">
        <v>2331</v>
      </c>
      <c r="H328">
        <v>0</v>
      </c>
      <c r="I328" s="16" t="str">
        <f t="shared" si="5"/>
        <v>Zero Amount</v>
      </c>
      <c r="J328">
        <v>4</v>
      </c>
    </row>
    <row r="329" spans="1:10">
      <c r="A329" t="s">
        <v>2670</v>
      </c>
      <c r="B329" t="s">
        <v>400</v>
      </c>
      <c r="C329" t="s">
        <v>2228</v>
      </c>
      <c r="D329" s="9">
        <v>45316</v>
      </c>
      <c r="E329" t="s">
        <v>2327</v>
      </c>
      <c r="F329" s="20">
        <v>0</v>
      </c>
      <c r="G329" t="s">
        <v>23</v>
      </c>
      <c r="H329">
        <v>799</v>
      </c>
      <c r="I329" s="16" t="str">
        <f t="shared" si="5"/>
        <v>Normal</v>
      </c>
      <c r="J329">
        <v>2</v>
      </c>
    </row>
    <row r="330" spans="1:10">
      <c r="A330" t="s">
        <v>2671</v>
      </c>
      <c r="B330" t="s">
        <v>861</v>
      </c>
      <c r="C330" t="s">
        <v>2271</v>
      </c>
      <c r="D330" s="9">
        <v>45458</v>
      </c>
      <c r="E330" t="s">
        <v>2330</v>
      </c>
      <c r="G330" t="s">
        <v>2331</v>
      </c>
      <c r="H330">
        <v>-1200</v>
      </c>
      <c r="I330" s="16" t="str">
        <f t="shared" si="5"/>
        <v>Review</v>
      </c>
      <c r="J330">
        <v>2</v>
      </c>
    </row>
    <row r="331" spans="1:10">
      <c r="A331" t="s">
        <v>2672</v>
      </c>
      <c r="B331" t="s">
        <v>890</v>
      </c>
      <c r="C331" t="s">
        <v>2253</v>
      </c>
      <c r="D331" s="9">
        <v>45328</v>
      </c>
      <c r="E331" t="s">
        <v>2327</v>
      </c>
      <c r="F331" s="20">
        <v>0</v>
      </c>
      <c r="G331" t="s">
        <v>2339</v>
      </c>
      <c r="H331">
        <v>1200</v>
      </c>
      <c r="I331" s="16" t="str">
        <f t="shared" si="5"/>
        <v>Normal</v>
      </c>
      <c r="J331">
        <v>1</v>
      </c>
    </row>
    <row r="332" spans="1:10">
      <c r="A332" t="s">
        <v>2673</v>
      </c>
      <c r="B332" t="s">
        <v>145</v>
      </c>
      <c r="C332" t="s">
        <v>2249</v>
      </c>
      <c r="D332" s="9">
        <v>46190</v>
      </c>
      <c r="E332" t="s">
        <v>2330</v>
      </c>
      <c r="F332" s="20">
        <v>100</v>
      </c>
      <c r="G332" t="s">
        <v>2345</v>
      </c>
      <c r="H332">
        <v>1500</v>
      </c>
      <c r="I332" s="16" t="str">
        <f t="shared" si="5"/>
        <v>Normal</v>
      </c>
      <c r="J332" t="s">
        <v>39</v>
      </c>
    </row>
    <row r="333" spans="1:10">
      <c r="A333" t="s">
        <v>2674</v>
      </c>
      <c r="B333" t="s">
        <v>1385</v>
      </c>
      <c r="C333" t="s">
        <v>2213</v>
      </c>
      <c r="D333" s="9">
        <v>45394</v>
      </c>
      <c r="E333" t="s">
        <v>2337</v>
      </c>
      <c r="F333" s="20">
        <v>20</v>
      </c>
      <c r="G333" t="s">
        <v>23</v>
      </c>
      <c r="H333">
        <v>1500</v>
      </c>
      <c r="I333" s="16" t="str">
        <f t="shared" si="5"/>
        <v>Normal</v>
      </c>
      <c r="J333">
        <v>5</v>
      </c>
    </row>
    <row r="334" spans="1:10">
      <c r="A334" t="s">
        <v>2675</v>
      </c>
      <c r="B334" t="s">
        <v>1126</v>
      </c>
      <c r="C334" t="s">
        <v>2273</v>
      </c>
      <c r="D334" s="9">
        <v>45867</v>
      </c>
      <c r="E334" t="s">
        <v>2324</v>
      </c>
      <c r="F334" s="20">
        <v>55</v>
      </c>
      <c r="G334" t="s">
        <v>2331</v>
      </c>
      <c r="H334">
        <v>799</v>
      </c>
      <c r="I334" s="16" t="str">
        <f t="shared" si="5"/>
        <v>Normal</v>
      </c>
      <c r="J334">
        <v>4</v>
      </c>
    </row>
    <row r="335" spans="1:10">
      <c r="A335" t="s">
        <v>2676</v>
      </c>
      <c r="B335" t="s">
        <v>542</v>
      </c>
      <c r="C335" t="s">
        <v>2218</v>
      </c>
      <c r="D335" s="9">
        <v>45619</v>
      </c>
      <c r="E335" t="s">
        <v>2324</v>
      </c>
      <c r="F335" s="20">
        <v>40</v>
      </c>
      <c r="G335" t="s">
        <v>2325</v>
      </c>
      <c r="H335">
        <v>1500</v>
      </c>
      <c r="I335" s="16" t="str">
        <f t="shared" si="5"/>
        <v>Normal</v>
      </c>
      <c r="J335" t="s">
        <v>39</v>
      </c>
    </row>
    <row r="336" spans="1:10">
      <c r="A336" t="s">
        <v>2677</v>
      </c>
      <c r="B336" t="s">
        <v>2678</v>
      </c>
      <c r="C336" t="s">
        <v>2225</v>
      </c>
      <c r="D336" s="9">
        <v>45403</v>
      </c>
      <c r="E336" t="s">
        <v>2324</v>
      </c>
      <c r="F336" s="20">
        <v>40</v>
      </c>
      <c r="G336" t="s">
        <v>2331</v>
      </c>
      <c r="I336" s="16" t="str">
        <f t="shared" si="5"/>
        <v>Unknown</v>
      </c>
      <c r="J336">
        <v>5</v>
      </c>
    </row>
    <row r="337" spans="1:10">
      <c r="A337" t="s">
        <v>2679</v>
      </c>
      <c r="B337" t="s">
        <v>1194</v>
      </c>
      <c r="C337" t="s">
        <v>2271</v>
      </c>
      <c r="D337" s="9">
        <v>45139</v>
      </c>
      <c r="E337" t="s">
        <v>2337</v>
      </c>
      <c r="F337" s="20">
        <v>0</v>
      </c>
      <c r="G337" t="s">
        <v>2345</v>
      </c>
      <c r="H337">
        <v>1200</v>
      </c>
      <c r="I337" s="16" t="str">
        <f t="shared" si="5"/>
        <v>Normal</v>
      </c>
      <c r="J337">
        <v>5</v>
      </c>
    </row>
    <row r="338" spans="1:10">
      <c r="A338" t="s">
        <v>2680</v>
      </c>
      <c r="B338" t="s">
        <v>56</v>
      </c>
      <c r="C338" t="s">
        <v>2216</v>
      </c>
      <c r="D338" s="9">
        <v>45268</v>
      </c>
      <c r="E338" t="s">
        <v>2337</v>
      </c>
      <c r="F338" s="20">
        <v>5</v>
      </c>
      <c r="G338" t="s">
        <v>2339</v>
      </c>
      <c r="I338" s="16" t="str">
        <f t="shared" si="5"/>
        <v>Unknown</v>
      </c>
      <c r="J338">
        <v>1</v>
      </c>
    </row>
    <row r="339" spans="1:10">
      <c r="A339" t="s">
        <v>2681</v>
      </c>
      <c r="B339" t="s">
        <v>1798</v>
      </c>
      <c r="C339" t="s">
        <v>2267</v>
      </c>
      <c r="D339" s="9">
        <v>45613</v>
      </c>
      <c r="E339" t="s">
        <v>23</v>
      </c>
      <c r="G339" t="s">
        <v>2331</v>
      </c>
      <c r="H339">
        <v>999.99</v>
      </c>
      <c r="I339" s="16" t="str">
        <f t="shared" si="5"/>
        <v>Normal</v>
      </c>
      <c r="J339">
        <v>2</v>
      </c>
    </row>
    <row r="340" spans="1:10">
      <c r="A340" t="s">
        <v>2682</v>
      </c>
      <c r="B340" t="s">
        <v>1911</v>
      </c>
      <c r="C340" t="s">
        <v>2269</v>
      </c>
      <c r="D340" s="9">
        <v>45799</v>
      </c>
      <c r="E340" t="s">
        <v>2330</v>
      </c>
      <c r="F340" s="20">
        <v>100</v>
      </c>
      <c r="G340" t="s">
        <v>23</v>
      </c>
      <c r="H340">
        <v>-499</v>
      </c>
      <c r="I340" s="16" t="str">
        <f t="shared" si="5"/>
        <v>Review</v>
      </c>
      <c r="J340" t="s">
        <v>39</v>
      </c>
    </row>
    <row r="341" spans="1:10">
      <c r="A341" t="s">
        <v>2683</v>
      </c>
      <c r="B341" t="s">
        <v>2063</v>
      </c>
      <c r="C341" t="s">
        <v>2249</v>
      </c>
      <c r="D341" s="9">
        <v>45448</v>
      </c>
      <c r="E341" t="s">
        <v>2327</v>
      </c>
      <c r="F341" s="20">
        <v>0</v>
      </c>
      <c r="G341" t="s">
        <v>2328</v>
      </c>
      <c r="H341">
        <v>1500</v>
      </c>
      <c r="I341" s="16" t="str">
        <f t="shared" si="5"/>
        <v>Normal</v>
      </c>
      <c r="J341">
        <v>4</v>
      </c>
    </row>
    <row r="342" spans="1:10">
      <c r="A342" t="s">
        <v>2684</v>
      </c>
      <c r="B342" t="s">
        <v>2151</v>
      </c>
      <c r="C342" t="s">
        <v>2216</v>
      </c>
      <c r="D342" s="9">
        <v>45132</v>
      </c>
      <c r="E342" t="s">
        <v>2324</v>
      </c>
      <c r="F342" s="20">
        <v>55</v>
      </c>
      <c r="G342" t="s">
        <v>2339</v>
      </c>
      <c r="H342">
        <v>1200</v>
      </c>
      <c r="I342" s="16" t="str">
        <f t="shared" si="5"/>
        <v>Normal</v>
      </c>
      <c r="J342">
        <v>5</v>
      </c>
    </row>
    <row r="343" spans="1:10">
      <c r="A343" t="s">
        <v>2685</v>
      </c>
      <c r="B343" t="s">
        <v>1143</v>
      </c>
      <c r="C343" t="s">
        <v>2267</v>
      </c>
      <c r="D343" s="9">
        <v>45756</v>
      </c>
      <c r="E343" t="s">
        <v>2330</v>
      </c>
      <c r="G343" t="s">
        <v>2328</v>
      </c>
      <c r="H343">
        <v>595</v>
      </c>
      <c r="I343" s="16" t="str">
        <f t="shared" si="5"/>
        <v>Normal</v>
      </c>
      <c r="J343">
        <v>5</v>
      </c>
    </row>
    <row r="344" spans="1:10">
      <c r="A344" t="s">
        <v>2686</v>
      </c>
      <c r="B344" t="s">
        <v>896</v>
      </c>
      <c r="C344" t="s">
        <v>2228</v>
      </c>
      <c r="D344" s="9">
        <v>45514</v>
      </c>
      <c r="E344" t="s">
        <v>23</v>
      </c>
      <c r="G344" t="s">
        <v>2331</v>
      </c>
      <c r="H344">
        <v>799</v>
      </c>
      <c r="I344" s="16" t="str">
        <f t="shared" si="5"/>
        <v>Normal</v>
      </c>
      <c r="J344">
        <v>2</v>
      </c>
    </row>
    <row r="345" spans="1:10">
      <c r="A345" t="s">
        <v>2687</v>
      </c>
      <c r="B345" t="s">
        <v>1095</v>
      </c>
      <c r="C345" t="s">
        <v>2233</v>
      </c>
      <c r="D345" s="9">
        <v>46360</v>
      </c>
      <c r="E345" t="s">
        <v>2324</v>
      </c>
      <c r="F345" s="20">
        <v>25</v>
      </c>
      <c r="G345" t="s">
        <v>23</v>
      </c>
      <c r="H345">
        <v>2500</v>
      </c>
      <c r="I345" s="16" t="str">
        <f t="shared" si="5"/>
        <v>Normal</v>
      </c>
      <c r="J345">
        <v>4</v>
      </c>
    </row>
    <row r="346" spans="1:10">
      <c r="A346" t="s">
        <v>2688</v>
      </c>
      <c r="B346" t="s">
        <v>1207</v>
      </c>
      <c r="C346" t="s">
        <v>2253</v>
      </c>
      <c r="D346" s="9">
        <v>45494</v>
      </c>
      <c r="E346" t="s">
        <v>2324</v>
      </c>
      <c r="F346" s="20">
        <v>75</v>
      </c>
      <c r="G346" t="s">
        <v>23</v>
      </c>
      <c r="H346">
        <v>1200</v>
      </c>
      <c r="I346" s="16" t="str">
        <f t="shared" si="5"/>
        <v>Normal</v>
      </c>
      <c r="J346">
        <v>4</v>
      </c>
    </row>
    <row r="347" spans="1:10">
      <c r="A347" t="s">
        <v>2689</v>
      </c>
      <c r="B347" t="s">
        <v>1813</v>
      </c>
      <c r="C347" t="s">
        <v>2249</v>
      </c>
      <c r="D347" s="9">
        <v>45392</v>
      </c>
      <c r="E347" t="s">
        <v>2330</v>
      </c>
      <c r="F347" s="20">
        <v>100</v>
      </c>
      <c r="G347" t="s">
        <v>2325</v>
      </c>
      <c r="H347">
        <v>1500</v>
      </c>
      <c r="I347" s="16" t="str">
        <f t="shared" si="5"/>
        <v>Normal</v>
      </c>
      <c r="J347" t="s">
        <v>39</v>
      </c>
    </row>
    <row r="348" spans="1:10">
      <c r="A348" t="s">
        <v>2690</v>
      </c>
      <c r="B348" t="s">
        <v>1524</v>
      </c>
      <c r="C348" t="s">
        <v>2193</v>
      </c>
      <c r="D348" s="9">
        <v>45616</v>
      </c>
      <c r="E348" t="s">
        <v>2324</v>
      </c>
      <c r="F348" s="20">
        <v>40</v>
      </c>
      <c r="G348" t="s">
        <v>23</v>
      </c>
      <c r="H348">
        <v>0</v>
      </c>
      <c r="I348" s="16" t="str">
        <f t="shared" si="5"/>
        <v>Zero Amount</v>
      </c>
      <c r="J348">
        <v>3</v>
      </c>
    </row>
    <row r="349" spans="1:10">
      <c r="A349" t="s">
        <v>2691</v>
      </c>
      <c r="B349" t="s">
        <v>1586</v>
      </c>
      <c r="C349" t="s">
        <v>2231</v>
      </c>
      <c r="D349" s="9">
        <v>45157</v>
      </c>
      <c r="E349" t="s">
        <v>2330</v>
      </c>
      <c r="F349" s="20">
        <v>100</v>
      </c>
      <c r="G349" t="s">
        <v>2325</v>
      </c>
      <c r="H349">
        <v>3000</v>
      </c>
      <c r="I349" s="16" t="str">
        <f t="shared" si="5"/>
        <v>Normal</v>
      </c>
      <c r="J349">
        <v>2</v>
      </c>
    </row>
    <row r="350" spans="1:10">
      <c r="A350" t="s">
        <v>2692</v>
      </c>
      <c r="B350" t="s">
        <v>1282</v>
      </c>
      <c r="C350" t="s">
        <v>2251</v>
      </c>
      <c r="D350" s="9">
        <v>46049</v>
      </c>
      <c r="E350" t="s">
        <v>2330</v>
      </c>
      <c r="G350" t="s">
        <v>2339</v>
      </c>
      <c r="H350">
        <v>1500</v>
      </c>
      <c r="I350" s="16" t="str">
        <f t="shared" si="5"/>
        <v>Normal</v>
      </c>
      <c r="J350">
        <v>5</v>
      </c>
    </row>
    <row r="351" spans="1:10">
      <c r="A351" t="s">
        <v>2693</v>
      </c>
      <c r="B351" t="s">
        <v>1984</v>
      </c>
      <c r="C351" t="s">
        <v>2213</v>
      </c>
      <c r="D351" s="9">
        <v>46142</v>
      </c>
      <c r="E351" t="s">
        <v>2324</v>
      </c>
      <c r="F351" s="20">
        <v>60</v>
      </c>
      <c r="G351" t="s">
        <v>2345</v>
      </c>
      <c r="H351">
        <v>1500</v>
      </c>
      <c r="I351" s="16" t="str">
        <f t="shared" si="5"/>
        <v>Normal</v>
      </c>
      <c r="J351">
        <v>4</v>
      </c>
    </row>
    <row r="352" spans="1:10">
      <c r="A352" t="s">
        <v>2694</v>
      </c>
      <c r="B352" t="s">
        <v>116</v>
      </c>
      <c r="C352" t="s">
        <v>2264</v>
      </c>
      <c r="D352" s="9">
        <v>45907</v>
      </c>
      <c r="E352" t="s">
        <v>2324</v>
      </c>
      <c r="G352" t="s">
        <v>2331</v>
      </c>
      <c r="H352">
        <v>2500</v>
      </c>
      <c r="I352" s="16" t="str">
        <f t="shared" si="5"/>
        <v>Normal</v>
      </c>
      <c r="J352">
        <v>3</v>
      </c>
    </row>
    <row r="353" spans="1:10">
      <c r="A353" t="s">
        <v>2695</v>
      </c>
      <c r="B353" t="s">
        <v>228</v>
      </c>
      <c r="C353" t="s">
        <v>2241</v>
      </c>
      <c r="D353" s="9">
        <v>45393</v>
      </c>
      <c r="E353" t="s">
        <v>2324</v>
      </c>
      <c r="F353" s="20">
        <v>60</v>
      </c>
      <c r="G353" t="s">
        <v>2328</v>
      </c>
      <c r="H353">
        <v>2500</v>
      </c>
      <c r="I353" s="16" t="str">
        <f t="shared" si="5"/>
        <v>Normal</v>
      </c>
      <c r="J353">
        <v>1</v>
      </c>
    </row>
    <row r="354" spans="1:10">
      <c r="A354" t="s">
        <v>2696</v>
      </c>
      <c r="B354" t="s">
        <v>878</v>
      </c>
      <c r="C354" t="s">
        <v>2222</v>
      </c>
      <c r="D354" s="9">
        <v>45794</v>
      </c>
      <c r="E354" t="s">
        <v>2324</v>
      </c>
      <c r="F354" s="20">
        <v>40</v>
      </c>
      <c r="G354" t="s">
        <v>2325</v>
      </c>
      <c r="H354">
        <v>0</v>
      </c>
      <c r="I354" s="16" t="str">
        <f t="shared" si="5"/>
        <v>Zero Amount</v>
      </c>
      <c r="J354">
        <v>4</v>
      </c>
    </row>
    <row r="355" spans="1:10">
      <c r="A355" t="s">
        <v>2697</v>
      </c>
      <c r="B355" t="s">
        <v>80</v>
      </c>
      <c r="C355" t="s">
        <v>2193</v>
      </c>
      <c r="D355" s="9">
        <v>45189</v>
      </c>
      <c r="E355" t="s">
        <v>2324</v>
      </c>
      <c r="F355" s="20">
        <v>60</v>
      </c>
      <c r="G355" t="s">
        <v>2345</v>
      </c>
      <c r="H355">
        <v>0</v>
      </c>
      <c r="I355" s="16" t="str">
        <f t="shared" si="5"/>
        <v>Zero Amount</v>
      </c>
      <c r="J355">
        <v>4</v>
      </c>
    </row>
    <row r="356" spans="1:10">
      <c r="A356" t="s">
        <v>2698</v>
      </c>
      <c r="B356" t="s">
        <v>615</v>
      </c>
      <c r="C356" t="s">
        <v>2222</v>
      </c>
      <c r="D356" s="9">
        <v>45025</v>
      </c>
      <c r="E356" t="s">
        <v>2330</v>
      </c>
      <c r="F356" s="20">
        <v>100</v>
      </c>
      <c r="G356" t="s">
        <v>2325</v>
      </c>
      <c r="H356">
        <v>0</v>
      </c>
      <c r="I356" s="16" t="str">
        <f t="shared" si="5"/>
        <v>Zero Amount</v>
      </c>
      <c r="J356">
        <v>1</v>
      </c>
    </row>
    <row r="357" spans="1:10">
      <c r="A357" t="s">
        <v>2699</v>
      </c>
      <c r="B357" t="s">
        <v>170</v>
      </c>
      <c r="C357" t="s">
        <v>2218</v>
      </c>
      <c r="D357" s="9">
        <v>45541</v>
      </c>
      <c r="E357" t="s">
        <v>2324</v>
      </c>
      <c r="G357" t="s">
        <v>2339</v>
      </c>
      <c r="H357">
        <v>1500</v>
      </c>
      <c r="I357" s="16" t="str">
        <f t="shared" si="5"/>
        <v>Normal</v>
      </c>
      <c r="J357">
        <v>4</v>
      </c>
    </row>
    <row r="358" spans="1:10">
      <c r="A358" t="s">
        <v>2700</v>
      </c>
      <c r="B358" t="s">
        <v>1030</v>
      </c>
      <c r="C358" t="s">
        <v>2269</v>
      </c>
      <c r="D358" s="9">
        <v>45424</v>
      </c>
      <c r="E358" t="s">
        <v>2324</v>
      </c>
      <c r="F358" s="20">
        <v>10</v>
      </c>
      <c r="G358" t="s">
        <v>2328</v>
      </c>
      <c r="I358" s="16" t="str">
        <f t="shared" si="5"/>
        <v>Unknown</v>
      </c>
      <c r="J358">
        <v>5</v>
      </c>
    </row>
    <row r="359" spans="1:10">
      <c r="A359" t="s">
        <v>2701</v>
      </c>
      <c r="B359" t="s">
        <v>112</v>
      </c>
      <c r="C359" t="s">
        <v>2187</v>
      </c>
      <c r="D359" s="9">
        <v>45878</v>
      </c>
      <c r="E359" t="s">
        <v>2327</v>
      </c>
      <c r="F359" s="20">
        <v>0</v>
      </c>
      <c r="G359" t="s">
        <v>2325</v>
      </c>
      <c r="H359">
        <v>799</v>
      </c>
      <c r="I359" s="16" t="str">
        <f t="shared" si="5"/>
        <v>Normal</v>
      </c>
      <c r="J359">
        <v>4</v>
      </c>
    </row>
    <row r="360" spans="1:10">
      <c r="A360" t="s">
        <v>2702</v>
      </c>
      <c r="B360" t="s">
        <v>1184</v>
      </c>
      <c r="C360" t="s">
        <v>2264</v>
      </c>
      <c r="D360" s="9">
        <v>46052</v>
      </c>
      <c r="E360" t="s">
        <v>2337</v>
      </c>
      <c r="G360" t="s">
        <v>23</v>
      </c>
      <c r="H360">
        <v>2500</v>
      </c>
      <c r="I360" s="16" t="str">
        <f t="shared" si="5"/>
        <v>Normal</v>
      </c>
      <c r="J360" t="s">
        <v>39</v>
      </c>
    </row>
    <row r="361" spans="1:10">
      <c r="A361" t="s">
        <v>2703</v>
      </c>
      <c r="B361" t="s">
        <v>780</v>
      </c>
      <c r="C361" t="s">
        <v>2202</v>
      </c>
      <c r="D361" s="9">
        <v>45673</v>
      </c>
      <c r="E361" t="s">
        <v>23</v>
      </c>
      <c r="G361" t="s">
        <v>2331</v>
      </c>
      <c r="H361">
        <v>999.99</v>
      </c>
      <c r="I361" s="16" t="str">
        <f t="shared" si="5"/>
        <v>Normal</v>
      </c>
      <c r="J361">
        <v>4</v>
      </c>
    </row>
    <row r="362" spans="1:10">
      <c r="A362" t="s">
        <v>2704</v>
      </c>
      <c r="B362" t="s">
        <v>854</v>
      </c>
      <c r="C362" t="s">
        <v>2233</v>
      </c>
      <c r="D362" s="9">
        <v>45831</v>
      </c>
      <c r="E362" t="s">
        <v>2330</v>
      </c>
      <c r="G362" t="s">
        <v>2325</v>
      </c>
      <c r="H362">
        <v>2500</v>
      </c>
      <c r="I362" s="16" t="str">
        <f t="shared" si="5"/>
        <v>Normal</v>
      </c>
      <c r="J362">
        <v>5</v>
      </c>
    </row>
    <row r="363" spans="1:10">
      <c r="A363" t="s">
        <v>2705</v>
      </c>
      <c r="B363" t="s">
        <v>1432</v>
      </c>
      <c r="C363" t="s">
        <v>2187</v>
      </c>
      <c r="D363" s="9">
        <v>45382</v>
      </c>
      <c r="E363" t="s">
        <v>2337</v>
      </c>
      <c r="F363" s="20">
        <v>15</v>
      </c>
      <c r="G363" t="s">
        <v>23</v>
      </c>
      <c r="H363">
        <v>799</v>
      </c>
      <c r="I363" s="16" t="str">
        <f t="shared" si="5"/>
        <v>Normal</v>
      </c>
      <c r="J363">
        <v>5</v>
      </c>
    </row>
    <row r="364" spans="1:10">
      <c r="A364" t="s">
        <v>2706</v>
      </c>
      <c r="B364" t="s">
        <v>861</v>
      </c>
      <c r="C364" t="s">
        <v>2247</v>
      </c>
      <c r="D364" s="9">
        <v>46008</v>
      </c>
      <c r="E364" t="s">
        <v>2337</v>
      </c>
      <c r="F364" s="20">
        <v>5</v>
      </c>
      <c r="G364" t="s">
        <v>2331</v>
      </c>
      <c r="I364" s="16" t="str">
        <f t="shared" si="5"/>
        <v>Unknown</v>
      </c>
      <c r="J364">
        <v>5</v>
      </c>
    </row>
    <row r="365" spans="1:10">
      <c r="A365" t="s">
        <v>2707</v>
      </c>
      <c r="B365" t="s">
        <v>1181</v>
      </c>
      <c r="C365" t="s">
        <v>2225</v>
      </c>
      <c r="D365" s="9">
        <v>45199</v>
      </c>
      <c r="E365" t="s">
        <v>2324</v>
      </c>
      <c r="F365" s="20">
        <v>10</v>
      </c>
      <c r="G365" t="s">
        <v>23</v>
      </c>
      <c r="I365" s="16" t="str">
        <f t="shared" si="5"/>
        <v>Unknown</v>
      </c>
      <c r="J365">
        <v>5</v>
      </c>
    </row>
    <row r="366" spans="1:10">
      <c r="A366" t="s">
        <v>2708</v>
      </c>
      <c r="B366" t="s">
        <v>99</v>
      </c>
      <c r="C366" t="s">
        <v>2216</v>
      </c>
      <c r="D366" s="9">
        <v>46086</v>
      </c>
      <c r="E366" t="s">
        <v>2327</v>
      </c>
      <c r="F366" s="20">
        <v>20</v>
      </c>
      <c r="G366" t="s">
        <v>2325</v>
      </c>
      <c r="H366">
        <v>1200</v>
      </c>
      <c r="I366" s="16" t="str">
        <f t="shared" si="5"/>
        <v>Normal</v>
      </c>
      <c r="J366">
        <v>4</v>
      </c>
    </row>
    <row r="367" spans="1:10">
      <c r="A367" t="s">
        <v>2709</v>
      </c>
      <c r="B367" t="s">
        <v>258</v>
      </c>
      <c r="C367" t="s">
        <v>2261</v>
      </c>
      <c r="D367" s="9">
        <v>45472</v>
      </c>
      <c r="E367" t="s">
        <v>2330</v>
      </c>
      <c r="G367" t="s">
        <v>2331</v>
      </c>
      <c r="I367" s="16" t="str">
        <f t="shared" si="5"/>
        <v>Unknown</v>
      </c>
      <c r="J367">
        <v>4</v>
      </c>
    </row>
    <row r="368" spans="1:10">
      <c r="A368" t="s">
        <v>2710</v>
      </c>
      <c r="B368" t="s">
        <v>593</v>
      </c>
      <c r="C368" t="s">
        <v>2193</v>
      </c>
      <c r="D368" s="9">
        <v>45923</v>
      </c>
      <c r="E368" t="s">
        <v>2337</v>
      </c>
      <c r="F368" s="20">
        <v>0</v>
      </c>
      <c r="G368" t="s">
        <v>23</v>
      </c>
      <c r="H368">
        <v>0</v>
      </c>
      <c r="I368" s="16" t="str">
        <f t="shared" si="5"/>
        <v>Zero Amount</v>
      </c>
      <c r="J368">
        <v>2</v>
      </c>
    </row>
    <row r="369" spans="1:10">
      <c r="A369" t="s">
        <v>2711</v>
      </c>
      <c r="B369" t="s">
        <v>2022</v>
      </c>
      <c r="C369" t="s">
        <v>2237</v>
      </c>
      <c r="D369" s="9">
        <v>45278</v>
      </c>
      <c r="E369" t="s">
        <v>2330</v>
      </c>
      <c r="F369" s="20">
        <v>100</v>
      </c>
      <c r="G369" t="s">
        <v>23</v>
      </c>
      <c r="H369">
        <v>1500</v>
      </c>
      <c r="I369" s="16" t="str">
        <f t="shared" si="5"/>
        <v>Normal</v>
      </c>
      <c r="J369">
        <v>3</v>
      </c>
    </row>
    <row r="370" spans="1:10">
      <c r="A370" t="s">
        <v>2712</v>
      </c>
      <c r="B370" t="s">
        <v>1904</v>
      </c>
      <c r="C370" t="s">
        <v>2244</v>
      </c>
      <c r="D370" s="9">
        <v>45480</v>
      </c>
      <c r="E370" t="s">
        <v>2324</v>
      </c>
      <c r="F370" s="20">
        <v>10</v>
      </c>
      <c r="G370" t="s">
        <v>2328</v>
      </c>
      <c r="H370">
        <v>1200</v>
      </c>
      <c r="I370" s="16" t="str">
        <f t="shared" si="5"/>
        <v>Normal</v>
      </c>
      <c r="J370">
        <v>4</v>
      </c>
    </row>
    <row r="371" spans="1:10">
      <c r="A371" t="s">
        <v>2713</v>
      </c>
      <c r="B371" t="s">
        <v>506</v>
      </c>
      <c r="C371" t="s">
        <v>2261</v>
      </c>
      <c r="D371" s="9">
        <v>45557</v>
      </c>
      <c r="E371" t="s">
        <v>2327</v>
      </c>
      <c r="G371" t="s">
        <v>23</v>
      </c>
      <c r="I371" s="16" t="str">
        <f t="shared" si="5"/>
        <v>Unknown</v>
      </c>
      <c r="J371" t="s">
        <v>39</v>
      </c>
    </row>
    <row r="372" spans="1:10">
      <c r="A372" t="s">
        <v>2714</v>
      </c>
      <c r="B372" t="s">
        <v>457</v>
      </c>
      <c r="C372" t="s">
        <v>2193</v>
      </c>
      <c r="D372" s="9">
        <v>45619</v>
      </c>
      <c r="E372" t="s">
        <v>23</v>
      </c>
      <c r="G372" t="s">
        <v>23</v>
      </c>
      <c r="H372">
        <v>0</v>
      </c>
      <c r="I372" s="16" t="str">
        <f t="shared" si="5"/>
        <v>Zero Amount</v>
      </c>
      <c r="J372" t="s">
        <v>39</v>
      </c>
    </row>
    <row r="373" spans="1:10">
      <c r="A373" t="s">
        <v>2715</v>
      </c>
      <c r="B373" t="s">
        <v>551</v>
      </c>
      <c r="C373" t="s">
        <v>2259</v>
      </c>
      <c r="D373" s="9">
        <v>45852</v>
      </c>
      <c r="E373" t="s">
        <v>2337</v>
      </c>
      <c r="F373" s="20">
        <v>20</v>
      </c>
      <c r="G373" t="s">
        <v>2328</v>
      </c>
      <c r="H373">
        <v>0</v>
      </c>
      <c r="I373" s="16" t="str">
        <f t="shared" si="5"/>
        <v>Zero Amount</v>
      </c>
      <c r="J373" t="s">
        <v>39</v>
      </c>
    </row>
    <row r="374" spans="1:10">
      <c r="A374" t="s">
        <v>2716</v>
      </c>
      <c r="B374" t="s">
        <v>1122</v>
      </c>
      <c r="C374" t="s">
        <v>2259</v>
      </c>
      <c r="D374" s="9">
        <v>45274</v>
      </c>
      <c r="E374" t="s">
        <v>2330</v>
      </c>
      <c r="G374" t="s">
        <v>2331</v>
      </c>
      <c r="H374">
        <v>0</v>
      </c>
      <c r="I374" s="16" t="str">
        <f t="shared" si="5"/>
        <v>Zero Amount</v>
      </c>
      <c r="J374">
        <v>5</v>
      </c>
    </row>
    <row r="375" spans="1:10">
      <c r="A375" t="s">
        <v>2717</v>
      </c>
      <c r="B375" t="s">
        <v>2084</v>
      </c>
      <c r="C375" t="s">
        <v>2251</v>
      </c>
      <c r="D375" s="9">
        <v>45861</v>
      </c>
      <c r="E375" t="s">
        <v>2327</v>
      </c>
      <c r="F375" s="20">
        <v>15</v>
      </c>
      <c r="G375" t="s">
        <v>2331</v>
      </c>
      <c r="H375">
        <v>1500</v>
      </c>
      <c r="I375" s="16" t="str">
        <f t="shared" si="5"/>
        <v>Normal</v>
      </c>
      <c r="J375">
        <v>5</v>
      </c>
    </row>
    <row r="376" spans="1:10">
      <c r="A376" t="s">
        <v>2718</v>
      </c>
      <c r="B376" t="s">
        <v>1922</v>
      </c>
      <c r="C376" t="s">
        <v>2249</v>
      </c>
      <c r="D376" s="9">
        <v>45486</v>
      </c>
      <c r="E376" t="s">
        <v>23</v>
      </c>
      <c r="G376" t="s">
        <v>2331</v>
      </c>
      <c r="H376">
        <v>1500</v>
      </c>
      <c r="I376" s="16" t="str">
        <f t="shared" si="5"/>
        <v>Normal</v>
      </c>
      <c r="J376">
        <v>5</v>
      </c>
    </row>
    <row r="377" spans="1:10">
      <c r="A377" t="s">
        <v>2719</v>
      </c>
      <c r="B377" t="s">
        <v>535</v>
      </c>
      <c r="C377" t="s">
        <v>2209</v>
      </c>
      <c r="D377" s="9">
        <v>45857</v>
      </c>
      <c r="E377" t="s">
        <v>23</v>
      </c>
      <c r="G377" t="s">
        <v>2339</v>
      </c>
      <c r="H377">
        <v>499</v>
      </c>
      <c r="I377" s="16" t="str">
        <f t="shared" si="5"/>
        <v>Normal</v>
      </c>
      <c r="J377" t="s">
        <v>39</v>
      </c>
    </row>
    <row r="378" spans="1:10">
      <c r="A378" t="s">
        <v>2720</v>
      </c>
      <c r="B378" t="s">
        <v>589</v>
      </c>
      <c r="C378" t="s">
        <v>2237</v>
      </c>
      <c r="D378" s="9">
        <v>45524</v>
      </c>
      <c r="E378" t="s">
        <v>2330</v>
      </c>
      <c r="F378" s="20">
        <v>100</v>
      </c>
      <c r="G378" t="s">
        <v>2325</v>
      </c>
      <c r="H378">
        <v>1500</v>
      </c>
      <c r="I378" s="16" t="str">
        <f t="shared" si="5"/>
        <v>Normal</v>
      </c>
      <c r="J378">
        <v>2</v>
      </c>
    </row>
    <row r="379" spans="1:10">
      <c r="A379" t="s">
        <v>2721</v>
      </c>
      <c r="B379" t="s">
        <v>383</v>
      </c>
      <c r="C379" t="s">
        <v>2244</v>
      </c>
      <c r="D379" s="9">
        <v>44933</v>
      </c>
      <c r="E379" t="s">
        <v>2324</v>
      </c>
      <c r="F379" s="20">
        <v>10</v>
      </c>
      <c r="G379" t="s">
        <v>2339</v>
      </c>
      <c r="H379">
        <v>1200</v>
      </c>
      <c r="I379" s="16" t="str">
        <f t="shared" si="5"/>
        <v>Normal</v>
      </c>
      <c r="J379" t="s">
        <v>39</v>
      </c>
    </row>
    <row r="380" spans="1:10">
      <c r="A380" t="s">
        <v>2722</v>
      </c>
      <c r="B380" t="s">
        <v>284</v>
      </c>
      <c r="C380" t="s">
        <v>2228</v>
      </c>
      <c r="D380" s="9">
        <v>45956</v>
      </c>
      <c r="E380" t="s">
        <v>2330</v>
      </c>
      <c r="F380" s="20">
        <v>100</v>
      </c>
      <c r="G380" t="s">
        <v>2325</v>
      </c>
      <c r="H380">
        <v>799</v>
      </c>
      <c r="I380" s="16" t="str">
        <f t="shared" si="5"/>
        <v>Normal</v>
      </c>
      <c r="J380">
        <v>3</v>
      </c>
    </row>
    <row r="381" spans="1:10">
      <c r="A381" t="s">
        <v>2723</v>
      </c>
      <c r="B381" t="s">
        <v>1047</v>
      </c>
      <c r="C381" t="s">
        <v>2222</v>
      </c>
      <c r="D381" s="9">
        <v>45781</v>
      </c>
      <c r="E381" t="s">
        <v>2330</v>
      </c>
      <c r="G381" t="s">
        <v>2328</v>
      </c>
      <c r="H381">
        <v>0</v>
      </c>
      <c r="I381" s="16" t="str">
        <f t="shared" si="5"/>
        <v>Zero Amount</v>
      </c>
      <c r="J381">
        <v>3</v>
      </c>
    </row>
    <row r="382" spans="1:10">
      <c r="A382" t="s">
        <v>2724</v>
      </c>
      <c r="B382" t="s">
        <v>972</v>
      </c>
      <c r="C382" t="s">
        <v>2244</v>
      </c>
      <c r="D382" s="9">
        <v>45183</v>
      </c>
      <c r="E382" t="s">
        <v>2330</v>
      </c>
      <c r="F382" s="20">
        <v>100</v>
      </c>
      <c r="G382" t="s">
        <v>2331</v>
      </c>
      <c r="H382">
        <v>1200</v>
      </c>
      <c r="I382" s="16" t="str">
        <f t="shared" si="5"/>
        <v>Normal</v>
      </c>
      <c r="J382" t="s">
        <v>39</v>
      </c>
    </row>
    <row r="383" spans="1:10">
      <c r="A383" t="s">
        <v>2725</v>
      </c>
      <c r="B383" t="s">
        <v>832</v>
      </c>
      <c r="C383" t="s">
        <v>2218</v>
      </c>
      <c r="D383" s="9">
        <v>45830</v>
      </c>
      <c r="E383" t="s">
        <v>2330</v>
      </c>
      <c r="G383" t="s">
        <v>2328</v>
      </c>
      <c r="H383">
        <v>787.27</v>
      </c>
      <c r="I383" s="16" t="str">
        <f t="shared" si="5"/>
        <v>Normal</v>
      </c>
      <c r="J383">
        <v>4</v>
      </c>
    </row>
    <row r="384" spans="1:10">
      <c r="A384" t="s">
        <v>2726</v>
      </c>
      <c r="B384" t="s">
        <v>1248</v>
      </c>
      <c r="C384" t="s">
        <v>2247</v>
      </c>
      <c r="D384" s="9">
        <v>45773</v>
      </c>
      <c r="E384" t="s">
        <v>2330</v>
      </c>
      <c r="G384" t="s">
        <v>23</v>
      </c>
      <c r="I384" s="16" t="str">
        <f t="shared" si="5"/>
        <v>Unknown</v>
      </c>
      <c r="J384">
        <v>4</v>
      </c>
    </row>
    <row r="385" spans="1:10">
      <c r="A385" t="s">
        <v>2727</v>
      </c>
      <c r="B385" t="s">
        <v>806</v>
      </c>
      <c r="C385" t="s">
        <v>2209</v>
      </c>
      <c r="D385" s="9">
        <v>45452</v>
      </c>
      <c r="E385" t="s">
        <v>2330</v>
      </c>
      <c r="F385" s="20">
        <v>100</v>
      </c>
      <c r="G385" t="s">
        <v>2339</v>
      </c>
      <c r="H385">
        <v>499</v>
      </c>
      <c r="I385" s="16" t="str">
        <f t="shared" si="5"/>
        <v>Normal</v>
      </c>
      <c r="J385">
        <v>1</v>
      </c>
    </row>
    <row r="386" spans="1:10">
      <c r="A386" t="s">
        <v>2728</v>
      </c>
      <c r="B386" t="s">
        <v>562</v>
      </c>
      <c r="C386" t="s">
        <v>2209</v>
      </c>
      <c r="D386" s="9">
        <v>46179</v>
      </c>
      <c r="E386" t="s">
        <v>2330</v>
      </c>
      <c r="F386" s="20">
        <v>100</v>
      </c>
      <c r="G386" t="s">
        <v>2345</v>
      </c>
      <c r="H386">
        <v>499</v>
      </c>
      <c r="I386" s="16" t="str">
        <f t="shared" si="5"/>
        <v>Normal</v>
      </c>
      <c r="J386">
        <v>3</v>
      </c>
    </row>
    <row r="387" spans="1:10">
      <c r="A387" t="s">
        <v>2729</v>
      </c>
      <c r="B387" t="s">
        <v>542</v>
      </c>
      <c r="C387" t="s">
        <v>2241</v>
      </c>
      <c r="D387" s="9">
        <v>46127</v>
      </c>
      <c r="E387" t="s">
        <v>2337</v>
      </c>
      <c r="F387" s="20">
        <v>20</v>
      </c>
      <c r="G387" t="s">
        <v>2331</v>
      </c>
      <c r="H387">
        <v>2500</v>
      </c>
      <c r="I387" s="16" t="str">
        <f t="shared" ref="I387:I450" si="6">IF(H387="", "Unknown", IF(H387=0, "Zero Amount", IF(H387&lt;1, "Review", IF(H387&gt;1, "Normal"))))</f>
        <v>Normal</v>
      </c>
      <c r="J387">
        <v>3</v>
      </c>
    </row>
    <row r="388" spans="1:10">
      <c r="A388" t="s">
        <v>2730</v>
      </c>
      <c r="B388" t="s">
        <v>922</v>
      </c>
      <c r="C388" t="s">
        <v>2244</v>
      </c>
      <c r="D388" s="9">
        <v>46000</v>
      </c>
      <c r="E388" t="s">
        <v>2337</v>
      </c>
      <c r="F388" s="20">
        <v>20</v>
      </c>
      <c r="G388" t="s">
        <v>2331</v>
      </c>
      <c r="H388">
        <v>1200</v>
      </c>
      <c r="I388" s="16" t="str">
        <f t="shared" si="6"/>
        <v>Normal</v>
      </c>
      <c r="J388">
        <v>5</v>
      </c>
    </row>
    <row r="389" spans="1:10">
      <c r="A389" t="s">
        <v>2731</v>
      </c>
      <c r="B389" t="s">
        <v>1967</v>
      </c>
      <c r="C389" t="s">
        <v>2198</v>
      </c>
      <c r="D389" s="9">
        <v>45905</v>
      </c>
      <c r="E389" t="s">
        <v>2330</v>
      </c>
      <c r="F389" s="20">
        <v>100</v>
      </c>
      <c r="G389" t="s">
        <v>2345</v>
      </c>
      <c r="I389" s="16" t="str">
        <f t="shared" si="6"/>
        <v>Unknown</v>
      </c>
      <c r="J389" t="s">
        <v>39</v>
      </c>
    </row>
    <row r="390" spans="1:10">
      <c r="A390" t="s">
        <v>2732</v>
      </c>
      <c r="B390" t="s">
        <v>562</v>
      </c>
      <c r="C390" t="s">
        <v>2267</v>
      </c>
      <c r="D390" s="9">
        <v>45297</v>
      </c>
      <c r="E390" t="s">
        <v>23</v>
      </c>
      <c r="G390" t="s">
        <v>2345</v>
      </c>
      <c r="H390">
        <v>999.99</v>
      </c>
      <c r="I390" s="16" t="str">
        <f t="shared" si="6"/>
        <v>Normal</v>
      </c>
      <c r="J390">
        <v>5</v>
      </c>
    </row>
    <row r="391" spans="1:10">
      <c r="A391" t="s">
        <v>2733</v>
      </c>
      <c r="B391" t="s">
        <v>481</v>
      </c>
      <c r="C391" t="s">
        <v>2244</v>
      </c>
      <c r="D391" s="9">
        <v>44969</v>
      </c>
      <c r="E391" t="s">
        <v>2324</v>
      </c>
      <c r="F391" s="20">
        <v>25</v>
      </c>
      <c r="G391" t="s">
        <v>23</v>
      </c>
      <c r="H391">
        <v>1200</v>
      </c>
      <c r="I391" s="16" t="str">
        <f t="shared" si="6"/>
        <v>Normal</v>
      </c>
      <c r="J391" t="s">
        <v>39</v>
      </c>
    </row>
    <row r="392" spans="1:10">
      <c r="A392" t="s">
        <v>2734</v>
      </c>
      <c r="B392" t="s">
        <v>1306</v>
      </c>
      <c r="C392" t="s">
        <v>2259</v>
      </c>
      <c r="D392" s="9">
        <v>45393</v>
      </c>
      <c r="E392" t="s">
        <v>2330</v>
      </c>
      <c r="F392" s="20">
        <v>100</v>
      </c>
      <c r="G392" t="s">
        <v>2325</v>
      </c>
      <c r="H392">
        <v>0</v>
      </c>
      <c r="I392" s="16" t="str">
        <f t="shared" si="6"/>
        <v>Zero Amount</v>
      </c>
      <c r="J392">
        <v>4</v>
      </c>
    </row>
    <row r="393" spans="1:10">
      <c r="A393" t="s">
        <v>2735</v>
      </c>
      <c r="B393" t="s">
        <v>1432</v>
      </c>
      <c r="C393" t="s">
        <v>2228</v>
      </c>
      <c r="D393" s="9">
        <v>45259</v>
      </c>
      <c r="E393" t="s">
        <v>2330</v>
      </c>
      <c r="F393" s="20">
        <v>100</v>
      </c>
      <c r="G393" t="s">
        <v>2325</v>
      </c>
      <c r="H393">
        <v>799</v>
      </c>
      <c r="I393" s="16" t="str">
        <f t="shared" si="6"/>
        <v>Normal</v>
      </c>
      <c r="J393">
        <v>1</v>
      </c>
    </row>
    <row r="394" spans="1:10">
      <c r="A394" t="s">
        <v>2736</v>
      </c>
      <c r="B394" t="s">
        <v>44</v>
      </c>
      <c r="C394" t="s">
        <v>2247</v>
      </c>
      <c r="D394" s="9">
        <v>46045</v>
      </c>
      <c r="E394" t="s">
        <v>2324</v>
      </c>
      <c r="F394" s="20">
        <v>10</v>
      </c>
      <c r="G394" t="s">
        <v>2345</v>
      </c>
      <c r="I394" s="16" t="str">
        <f t="shared" si="6"/>
        <v>Unknown</v>
      </c>
      <c r="J394">
        <v>3</v>
      </c>
    </row>
    <row r="395" spans="1:10">
      <c r="A395" t="s">
        <v>2737</v>
      </c>
      <c r="B395" t="s">
        <v>1040</v>
      </c>
      <c r="C395" t="s">
        <v>2193</v>
      </c>
      <c r="D395" s="9">
        <v>45222</v>
      </c>
      <c r="E395" t="s">
        <v>2330</v>
      </c>
      <c r="G395" t="s">
        <v>2345</v>
      </c>
      <c r="H395">
        <v>0</v>
      </c>
      <c r="I395" s="16" t="str">
        <f t="shared" si="6"/>
        <v>Zero Amount</v>
      </c>
      <c r="J395">
        <v>5</v>
      </c>
    </row>
    <row r="396" spans="1:10">
      <c r="A396" t="s">
        <v>2738</v>
      </c>
      <c r="B396" t="s">
        <v>1043</v>
      </c>
      <c r="C396" t="s">
        <v>2251</v>
      </c>
      <c r="D396" s="9">
        <v>46161</v>
      </c>
      <c r="E396" t="s">
        <v>2330</v>
      </c>
      <c r="F396" s="20">
        <v>100</v>
      </c>
      <c r="G396" t="s">
        <v>23</v>
      </c>
      <c r="I396" s="16" t="str">
        <f t="shared" si="6"/>
        <v>Unknown</v>
      </c>
      <c r="J396">
        <v>5</v>
      </c>
    </row>
    <row r="397" spans="1:10">
      <c r="A397" t="s">
        <v>2739</v>
      </c>
      <c r="B397" t="s">
        <v>1820</v>
      </c>
      <c r="C397" t="s">
        <v>2209</v>
      </c>
      <c r="D397" s="9">
        <v>45513</v>
      </c>
      <c r="E397" t="s">
        <v>2324</v>
      </c>
      <c r="F397" s="20">
        <v>10</v>
      </c>
      <c r="G397" t="s">
        <v>2339</v>
      </c>
      <c r="H397">
        <v>499</v>
      </c>
      <c r="I397" s="16" t="str">
        <f t="shared" si="6"/>
        <v>Normal</v>
      </c>
      <c r="J397">
        <v>3</v>
      </c>
    </row>
    <row r="398" spans="1:10">
      <c r="A398" t="s">
        <v>2740</v>
      </c>
      <c r="B398" t="s">
        <v>692</v>
      </c>
      <c r="C398" t="s">
        <v>2269</v>
      </c>
      <c r="D398" s="9">
        <v>45668</v>
      </c>
      <c r="E398" t="s">
        <v>2324</v>
      </c>
      <c r="F398" s="20">
        <v>55</v>
      </c>
      <c r="G398" t="s">
        <v>2345</v>
      </c>
      <c r="H398">
        <v>499</v>
      </c>
      <c r="I398" s="16" t="str">
        <f t="shared" si="6"/>
        <v>Normal</v>
      </c>
      <c r="J398" t="s">
        <v>39</v>
      </c>
    </row>
    <row r="399" spans="1:10">
      <c r="A399" t="s">
        <v>2741</v>
      </c>
      <c r="B399" t="s">
        <v>1191</v>
      </c>
      <c r="C399" t="s">
        <v>2202</v>
      </c>
      <c r="D399" s="9">
        <v>45102</v>
      </c>
      <c r="E399" t="s">
        <v>2330</v>
      </c>
      <c r="G399" t="s">
        <v>2345</v>
      </c>
      <c r="H399">
        <v>613.20000000000005</v>
      </c>
      <c r="I399" s="16" t="str">
        <f t="shared" si="6"/>
        <v>Normal</v>
      </c>
      <c r="J399">
        <v>1</v>
      </c>
    </row>
    <row r="400" spans="1:10">
      <c r="A400" t="s">
        <v>2742</v>
      </c>
      <c r="B400" t="s">
        <v>1255</v>
      </c>
      <c r="C400" t="s">
        <v>2267</v>
      </c>
      <c r="D400" s="9">
        <v>45591</v>
      </c>
      <c r="E400" t="s">
        <v>2324</v>
      </c>
      <c r="F400" s="20">
        <v>75</v>
      </c>
      <c r="G400" t="s">
        <v>2331</v>
      </c>
      <c r="H400">
        <v>999.99</v>
      </c>
      <c r="I400" s="16" t="str">
        <f t="shared" si="6"/>
        <v>Normal</v>
      </c>
      <c r="J400" t="s">
        <v>39</v>
      </c>
    </row>
    <row r="401" spans="1:10">
      <c r="A401" t="s">
        <v>2743</v>
      </c>
      <c r="B401" t="s">
        <v>1911</v>
      </c>
      <c r="C401" t="s">
        <v>2187</v>
      </c>
      <c r="D401" s="9">
        <v>46010</v>
      </c>
      <c r="E401" t="s">
        <v>2337</v>
      </c>
      <c r="F401" s="20">
        <v>20</v>
      </c>
      <c r="G401" t="s">
        <v>2339</v>
      </c>
      <c r="H401">
        <v>799</v>
      </c>
      <c r="I401" s="16" t="str">
        <f t="shared" si="6"/>
        <v>Normal</v>
      </c>
      <c r="J401" t="s">
        <v>39</v>
      </c>
    </row>
    <row r="402" spans="1:10">
      <c r="A402" t="s">
        <v>2744</v>
      </c>
      <c r="B402" t="s">
        <v>1019</v>
      </c>
      <c r="C402" t="s">
        <v>2198</v>
      </c>
      <c r="D402" s="9">
        <v>45235</v>
      </c>
      <c r="E402" t="s">
        <v>23</v>
      </c>
      <c r="G402" t="s">
        <v>2325</v>
      </c>
      <c r="I402" s="16" t="str">
        <f t="shared" si="6"/>
        <v>Unknown</v>
      </c>
      <c r="J402" t="s">
        <v>39</v>
      </c>
    </row>
    <row r="403" spans="1:10">
      <c r="A403" t="s">
        <v>2745</v>
      </c>
      <c r="B403" t="s">
        <v>1873</v>
      </c>
      <c r="C403" t="s">
        <v>2233</v>
      </c>
      <c r="D403" s="9">
        <v>45590</v>
      </c>
      <c r="E403" t="s">
        <v>2330</v>
      </c>
      <c r="F403" s="20">
        <v>100</v>
      </c>
      <c r="G403" t="s">
        <v>2331</v>
      </c>
      <c r="H403">
        <v>2500</v>
      </c>
      <c r="I403" s="16" t="str">
        <f t="shared" si="6"/>
        <v>Normal</v>
      </c>
      <c r="J403">
        <v>2</v>
      </c>
    </row>
    <row r="404" spans="1:10">
      <c r="A404" t="s">
        <v>2746</v>
      </c>
      <c r="B404" t="s">
        <v>469</v>
      </c>
      <c r="C404" t="s">
        <v>2225</v>
      </c>
      <c r="D404" s="9">
        <v>46160</v>
      </c>
      <c r="E404" t="s">
        <v>2324</v>
      </c>
      <c r="F404" s="20">
        <v>60</v>
      </c>
      <c r="G404" t="s">
        <v>2331</v>
      </c>
      <c r="I404" s="16" t="str">
        <f t="shared" si="6"/>
        <v>Unknown</v>
      </c>
      <c r="J404">
        <v>5</v>
      </c>
    </row>
    <row r="405" spans="1:10">
      <c r="A405" t="s">
        <v>2747</v>
      </c>
      <c r="B405" t="s">
        <v>707</v>
      </c>
      <c r="C405" t="s">
        <v>2259</v>
      </c>
      <c r="D405" s="9">
        <v>45204</v>
      </c>
      <c r="E405" t="s">
        <v>2327</v>
      </c>
      <c r="F405" s="20">
        <v>15</v>
      </c>
      <c r="G405" t="s">
        <v>2345</v>
      </c>
      <c r="H405">
        <v>0</v>
      </c>
      <c r="I405" s="16" t="str">
        <f t="shared" si="6"/>
        <v>Zero Amount</v>
      </c>
      <c r="J405">
        <v>4</v>
      </c>
    </row>
    <row r="406" spans="1:10">
      <c r="A406" t="s">
        <v>2748</v>
      </c>
      <c r="B406" t="s">
        <v>664</v>
      </c>
      <c r="C406" t="s">
        <v>2264</v>
      </c>
      <c r="D406" s="9">
        <v>45337</v>
      </c>
      <c r="E406" t="s">
        <v>2330</v>
      </c>
      <c r="F406" s="20">
        <v>100</v>
      </c>
      <c r="G406" t="s">
        <v>2325</v>
      </c>
      <c r="H406">
        <v>2500</v>
      </c>
      <c r="I406" s="16" t="str">
        <f t="shared" si="6"/>
        <v>Normal</v>
      </c>
      <c r="J406">
        <v>3</v>
      </c>
    </row>
    <row r="407" spans="1:10">
      <c r="A407" t="s">
        <v>2749</v>
      </c>
      <c r="B407" t="s">
        <v>1169</v>
      </c>
      <c r="C407" t="s">
        <v>2267</v>
      </c>
      <c r="D407" s="9">
        <v>46171</v>
      </c>
      <c r="E407" t="s">
        <v>2330</v>
      </c>
      <c r="F407" s="20">
        <v>100</v>
      </c>
      <c r="G407" t="s">
        <v>2328</v>
      </c>
      <c r="H407">
        <v>999.99</v>
      </c>
      <c r="I407" s="16" t="str">
        <f t="shared" si="6"/>
        <v>Normal</v>
      </c>
      <c r="J407" t="s">
        <v>39</v>
      </c>
    </row>
    <row r="408" spans="1:10">
      <c r="A408" t="s">
        <v>2750</v>
      </c>
      <c r="B408" t="s">
        <v>1091</v>
      </c>
      <c r="C408" t="s">
        <v>2209</v>
      </c>
      <c r="D408" s="9">
        <v>45558</v>
      </c>
      <c r="E408" t="s">
        <v>2327</v>
      </c>
      <c r="G408" t="s">
        <v>2325</v>
      </c>
      <c r="H408">
        <v>499</v>
      </c>
      <c r="I408" s="16" t="str">
        <f t="shared" si="6"/>
        <v>Normal</v>
      </c>
      <c r="J408">
        <v>3</v>
      </c>
    </row>
    <row r="409" spans="1:10">
      <c r="A409" t="s">
        <v>2751</v>
      </c>
      <c r="B409" t="s">
        <v>1040</v>
      </c>
      <c r="C409" t="s">
        <v>2271</v>
      </c>
      <c r="D409" s="9">
        <v>45696</v>
      </c>
      <c r="E409" t="s">
        <v>2327</v>
      </c>
      <c r="F409" s="20">
        <v>15</v>
      </c>
      <c r="G409" t="s">
        <v>2345</v>
      </c>
      <c r="H409">
        <v>1200</v>
      </c>
      <c r="I409" s="16" t="str">
        <f t="shared" si="6"/>
        <v>Normal</v>
      </c>
      <c r="J409">
        <v>2</v>
      </c>
    </row>
    <row r="410" spans="1:10">
      <c r="A410" t="s">
        <v>2752</v>
      </c>
      <c r="B410" t="s">
        <v>376</v>
      </c>
      <c r="C410" t="s">
        <v>2237</v>
      </c>
      <c r="D410" s="9">
        <v>45280</v>
      </c>
      <c r="E410" t="s">
        <v>2324</v>
      </c>
      <c r="F410" s="20">
        <v>40</v>
      </c>
      <c r="G410" t="s">
        <v>2339</v>
      </c>
      <c r="H410">
        <v>1500</v>
      </c>
      <c r="I410" s="16" t="str">
        <f t="shared" si="6"/>
        <v>Normal</v>
      </c>
      <c r="J410">
        <v>5</v>
      </c>
    </row>
    <row r="411" spans="1:10">
      <c r="A411" t="s">
        <v>2753</v>
      </c>
      <c r="B411" t="s">
        <v>181</v>
      </c>
      <c r="C411" t="s">
        <v>2267</v>
      </c>
      <c r="D411" s="9">
        <v>45511</v>
      </c>
      <c r="E411" t="s">
        <v>2337</v>
      </c>
      <c r="F411" s="20">
        <v>5</v>
      </c>
      <c r="G411" t="s">
        <v>2328</v>
      </c>
      <c r="H411">
        <v>999.99</v>
      </c>
      <c r="I411" s="16" t="str">
        <f t="shared" si="6"/>
        <v>Normal</v>
      </c>
      <c r="J411">
        <v>5</v>
      </c>
    </row>
    <row r="412" spans="1:10">
      <c r="A412" t="s">
        <v>2754</v>
      </c>
      <c r="B412" t="s">
        <v>1308</v>
      </c>
      <c r="C412" t="s">
        <v>2251</v>
      </c>
      <c r="D412" s="9">
        <v>45479</v>
      </c>
      <c r="E412" t="s">
        <v>2330</v>
      </c>
      <c r="G412" t="s">
        <v>2345</v>
      </c>
      <c r="H412">
        <v>1500</v>
      </c>
      <c r="I412" s="16" t="str">
        <f t="shared" si="6"/>
        <v>Normal</v>
      </c>
      <c r="J412">
        <v>1</v>
      </c>
    </row>
    <row r="413" spans="1:10">
      <c r="A413" t="s">
        <v>2755</v>
      </c>
      <c r="B413" t="s">
        <v>370</v>
      </c>
      <c r="C413" t="s">
        <v>2241</v>
      </c>
      <c r="D413" s="9">
        <v>46141</v>
      </c>
      <c r="E413" t="s">
        <v>2330</v>
      </c>
      <c r="G413" t="s">
        <v>2345</v>
      </c>
      <c r="I413" s="16" t="str">
        <f t="shared" si="6"/>
        <v>Unknown</v>
      </c>
      <c r="J413">
        <v>1</v>
      </c>
    </row>
    <row r="414" spans="1:10">
      <c r="A414" t="s">
        <v>2756</v>
      </c>
      <c r="B414" t="s">
        <v>462</v>
      </c>
      <c r="C414" t="s">
        <v>2241</v>
      </c>
      <c r="D414" s="9">
        <v>46163</v>
      </c>
      <c r="E414" t="s">
        <v>2327</v>
      </c>
      <c r="F414" s="20">
        <v>20</v>
      </c>
      <c r="G414" t="s">
        <v>2331</v>
      </c>
      <c r="H414">
        <v>1752.74</v>
      </c>
      <c r="I414" s="16" t="str">
        <f t="shared" si="6"/>
        <v>Normal</v>
      </c>
      <c r="J414" t="s">
        <v>39</v>
      </c>
    </row>
    <row r="415" spans="1:10">
      <c r="A415" t="s">
        <v>2757</v>
      </c>
      <c r="B415" t="s">
        <v>1397</v>
      </c>
      <c r="C415" t="s">
        <v>2247</v>
      </c>
      <c r="D415" s="9">
        <v>45730</v>
      </c>
      <c r="E415" t="s">
        <v>2330</v>
      </c>
      <c r="F415" s="20">
        <v>100</v>
      </c>
      <c r="G415" t="s">
        <v>2331</v>
      </c>
      <c r="I415" s="16" t="str">
        <f t="shared" si="6"/>
        <v>Unknown</v>
      </c>
      <c r="J415">
        <v>3</v>
      </c>
    </row>
    <row r="416" spans="1:10">
      <c r="A416" t="s">
        <v>2758</v>
      </c>
      <c r="B416" t="s">
        <v>56</v>
      </c>
      <c r="C416" t="s">
        <v>2209</v>
      </c>
      <c r="D416" s="9">
        <v>45084</v>
      </c>
      <c r="E416" t="s">
        <v>23</v>
      </c>
      <c r="G416" t="s">
        <v>2331</v>
      </c>
      <c r="H416">
        <v>499</v>
      </c>
      <c r="I416" s="16" t="str">
        <f t="shared" si="6"/>
        <v>Normal</v>
      </c>
      <c r="J416">
        <v>3</v>
      </c>
    </row>
    <row r="417" spans="1:10">
      <c r="A417" t="s">
        <v>2759</v>
      </c>
      <c r="B417" t="s">
        <v>725</v>
      </c>
      <c r="C417" t="s">
        <v>2273</v>
      </c>
      <c r="D417" s="9">
        <v>45989</v>
      </c>
      <c r="E417" t="s">
        <v>2330</v>
      </c>
      <c r="G417" t="s">
        <v>2339</v>
      </c>
      <c r="H417">
        <v>799</v>
      </c>
      <c r="I417" s="16" t="str">
        <f t="shared" si="6"/>
        <v>Normal</v>
      </c>
      <c r="J417" t="s">
        <v>39</v>
      </c>
    </row>
    <row r="418" spans="1:10">
      <c r="A418" t="s">
        <v>2760</v>
      </c>
      <c r="B418" t="s">
        <v>121</v>
      </c>
      <c r="C418" t="s">
        <v>2235</v>
      </c>
      <c r="D418" s="9">
        <v>45115</v>
      </c>
      <c r="E418" t="s">
        <v>23</v>
      </c>
      <c r="G418" t="s">
        <v>2328</v>
      </c>
      <c r="H418">
        <v>3000</v>
      </c>
      <c r="I418" s="16" t="str">
        <f t="shared" si="6"/>
        <v>Normal</v>
      </c>
      <c r="J418">
        <v>4</v>
      </c>
    </row>
    <row r="419" spans="1:10">
      <c r="A419" t="s">
        <v>2761</v>
      </c>
      <c r="B419" t="s">
        <v>1489</v>
      </c>
      <c r="C419" t="s">
        <v>2237</v>
      </c>
      <c r="D419" s="9">
        <v>46080</v>
      </c>
      <c r="E419" t="s">
        <v>2330</v>
      </c>
      <c r="G419" t="s">
        <v>23</v>
      </c>
      <c r="H419">
        <v>1500</v>
      </c>
      <c r="I419" s="16" t="str">
        <f t="shared" si="6"/>
        <v>Normal</v>
      </c>
      <c r="J419">
        <v>3</v>
      </c>
    </row>
    <row r="420" spans="1:10">
      <c r="A420" t="s">
        <v>2762</v>
      </c>
      <c r="B420" t="s">
        <v>1496</v>
      </c>
      <c r="C420" t="s">
        <v>2222</v>
      </c>
      <c r="D420" s="9">
        <v>45648</v>
      </c>
      <c r="E420" t="s">
        <v>2330</v>
      </c>
      <c r="F420" s="20">
        <v>100</v>
      </c>
      <c r="G420" t="s">
        <v>2328</v>
      </c>
      <c r="H420">
        <v>0</v>
      </c>
      <c r="I420" s="16" t="str">
        <f t="shared" si="6"/>
        <v>Zero Amount</v>
      </c>
      <c r="J420">
        <v>5</v>
      </c>
    </row>
    <row r="421" spans="1:10">
      <c r="A421" t="s">
        <v>2763</v>
      </c>
      <c r="B421" t="s">
        <v>1026</v>
      </c>
      <c r="C421" t="s">
        <v>2247</v>
      </c>
      <c r="D421" s="9">
        <v>46049</v>
      </c>
      <c r="E421" t="s">
        <v>2330</v>
      </c>
      <c r="F421" s="20">
        <v>100</v>
      </c>
      <c r="G421" t="s">
        <v>2345</v>
      </c>
      <c r="I421" s="16" t="str">
        <f t="shared" si="6"/>
        <v>Unknown</v>
      </c>
      <c r="J421" t="s">
        <v>39</v>
      </c>
    </row>
    <row r="422" spans="1:10">
      <c r="A422" t="s">
        <v>2764</v>
      </c>
      <c r="B422" t="s">
        <v>1654</v>
      </c>
      <c r="C422" t="s">
        <v>2257</v>
      </c>
      <c r="D422" s="9">
        <v>45864</v>
      </c>
      <c r="E422" t="s">
        <v>2330</v>
      </c>
      <c r="F422" s="20">
        <v>100</v>
      </c>
      <c r="G422" t="s">
        <v>2339</v>
      </c>
      <c r="I422" s="16" t="str">
        <f t="shared" si="6"/>
        <v>Unknown</v>
      </c>
      <c r="J422">
        <v>4</v>
      </c>
    </row>
    <row r="423" spans="1:10">
      <c r="A423" t="s">
        <v>2765</v>
      </c>
      <c r="B423" t="s">
        <v>1259</v>
      </c>
      <c r="C423" t="s">
        <v>2264</v>
      </c>
      <c r="D423" s="9">
        <v>45809</v>
      </c>
      <c r="E423" t="s">
        <v>2324</v>
      </c>
      <c r="F423" s="20">
        <v>40</v>
      </c>
      <c r="G423" t="s">
        <v>23</v>
      </c>
      <c r="H423">
        <v>2500</v>
      </c>
      <c r="I423" s="16" t="str">
        <f t="shared" si="6"/>
        <v>Normal</v>
      </c>
      <c r="J423" t="s">
        <v>39</v>
      </c>
    </row>
    <row r="424" spans="1:10">
      <c r="A424" t="s">
        <v>2766</v>
      </c>
      <c r="B424" t="s">
        <v>1480</v>
      </c>
      <c r="C424" t="s">
        <v>2209</v>
      </c>
      <c r="D424" s="9">
        <v>45302</v>
      </c>
      <c r="E424" t="s">
        <v>2330</v>
      </c>
      <c r="F424" s="20">
        <v>100</v>
      </c>
      <c r="G424" t="s">
        <v>2339</v>
      </c>
      <c r="H424">
        <v>499</v>
      </c>
      <c r="I424" s="16" t="str">
        <f t="shared" si="6"/>
        <v>Normal</v>
      </c>
      <c r="J424" t="s">
        <v>39</v>
      </c>
    </row>
    <row r="425" spans="1:10">
      <c r="A425" t="s">
        <v>2767</v>
      </c>
      <c r="B425" t="s">
        <v>1145</v>
      </c>
      <c r="C425" t="s">
        <v>2222</v>
      </c>
      <c r="D425" s="9">
        <v>45547</v>
      </c>
      <c r="E425" t="s">
        <v>2327</v>
      </c>
      <c r="F425" s="20">
        <v>5</v>
      </c>
      <c r="G425" t="s">
        <v>2325</v>
      </c>
      <c r="H425">
        <v>0</v>
      </c>
      <c r="I425" s="16" t="str">
        <f t="shared" si="6"/>
        <v>Zero Amount</v>
      </c>
      <c r="J425">
        <v>1</v>
      </c>
    </row>
    <row r="426" spans="1:10">
      <c r="A426" t="s">
        <v>2768</v>
      </c>
      <c r="B426" t="s">
        <v>2769</v>
      </c>
      <c r="C426" t="s">
        <v>2253</v>
      </c>
      <c r="D426" s="9">
        <v>45484</v>
      </c>
      <c r="E426" t="s">
        <v>2324</v>
      </c>
      <c r="F426" s="20">
        <v>10</v>
      </c>
      <c r="G426" t="s">
        <v>2331</v>
      </c>
      <c r="H426">
        <v>1200</v>
      </c>
      <c r="I426" s="16" t="str">
        <f t="shared" si="6"/>
        <v>Normal</v>
      </c>
      <c r="J426">
        <v>5</v>
      </c>
    </row>
    <row r="427" spans="1:10">
      <c r="A427" t="s">
        <v>2770</v>
      </c>
      <c r="B427" t="s">
        <v>1748</v>
      </c>
      <c r="C427" t="s">
        <v>2244</v>
      </c>
      <c r="D427" s="9">
        <v>45692</v>
      </c>
      <c r="E427" t="s">
        <v>2337</v>
      </c>
      <c r="F427" s="20">
        <v>5</v>
      </c>
      <c r="G427" t="s">
        <v>23</v>
      </c>
      <c r="I427" s="16" t="str">
        <f t="shared" si="6"/>
        <v>Unknown</v>
      </c>
      <c r="J427">
        <v>5</v>
      </c>
    </row>
    <row r="428" spans="1:10">
      <c r="A428" t="s">
        <v>2771</v>
      </c>
      <c r="B428" t="s">
        <v>930</v>
      </c>
      <c r="C428" t="s">
        <v>2261</v>
      </c>
      <c r="D428" s="9">
        <v>45671</v>
      </c>
      <c r="E428" t="s">
        <v>2337</v>
      </c>
      <c r="F428" s="20">
        <v>5</v>
      </c>
      <c r="G428" t="s">
        <v>2339</v>
      </c>
      <c r="I428" s="16" t="str">
        <f t="shared" si="6"/>
        <v>Unknown</v>
      </c>
      <c r="J428">
        <v>3</v>
      </c>
    </row>
    <row r="429" spans="1:10">
      <c r="A429" t="s">
        <v>2772</v>
      </c>
      <c r="B429" t="s">
        <v>1492</v>
      </c>
      <c r="C429" t="s">
        <v>2261</v>
      </c>
      <c r="D429" s="9">
        <v>45818</v>
      </c>
      <c r="E429" t="s">
        <v>2330</v>
      </c>
      <c r="G429" t="s">
        <v>2331</v>
      </c>
      <c r="I429" s="16" t="str">
        <f t="shared" si="6"/>
        <v>Unknown</v>
      </c>
      <c r="J429">
        <v>4</v>
      </c>
    </row>
    <row r="430" spans="1:10">
      <c r="A430" t="s">
        <v>2773</v>
      </c>
      <c r="B430" t="s">
        <v>1308</v>
      </c>
      <c r="C430" t="s">
        <v>2237</v>
      </c>
      <c r="D430" s="9">
        <v>45222</v>
      </c>
      <c r="E430" t="s">
        <v>2330</v>
      </c>
      <c r="F430" s="20">
        <v>100</v>
      </c>
      <c r="G430" t="s">
        <v>2339</v>
      </c>
      <c r="H430">
        <v>1500</v>
      </c>
      <c r="I430" s="16" t="str">
        <f t="shared" si="6"/>
        <v>Normal</v>
      </c>
      <c r="J430">
        <v>1</v>
      </c>
    </row>
    <row r="431" spans="1:10">
      <c r="A431" t="s">
        <v>2774</v>
      </c>
      <c r="B431" t="s">
        <v>900</v>
      </c>
      <c r="C431" t="s">
        <v>2228</v>
      </c>
      <c r="D431" s="9">
        <v>45290</v>
      </c>
      <c r="E431" t="s">
        <v>2324</v>
      </c>
      <c r="F431" s="20">
        <v>60</v>
      </c>
      <c r="G431" t="s">
        <v>2328</v>
      </c>
      <c r="H431">
        <v>517.57000000000005</v>
      </c>
      <c r="I431" s="16" t="str">
        <f t="shared" si="6"/>
        <v>Normal</v>
      </c>
      <c r="J431" t="s">
        <v>39</v>
      </c>
    </row>
    <row r="432" spans="1:10">
      <c r="A432" t="s">
        <v>2775</v>
      </c>
      <c r="B432" t="s">
        <v>324</v>
      </c>
      <c r="C432" t="s">
        <v>2251</v>
      </c>
      <c r="D432" s="9">
        <v>45567</v>
      </c>
      <c r="E432" t="s">
        <v>2327</v>
      </c>
      <c r="F432" s="20">
        <v>20</v>
      </c>
      <c r="G432" t="s">
        <v>2345</v>
      </c>
      <c r="H432">
        <v>-1500</v>
      </c>
      <c r="I432" s="16" t="str">
        <f t="shared" si="6"/>
        <v>Review</v>
      </c>
      <c r="J432">
        <v>1</v>
      </c>
    </row>
    <row r="433" spans="1:10">
      <c r="A433" t="s">
        <v>2776</v>
      </c>
      <c r="B433" t="s">
        <v>1620</v>
      </c>
      <c r="C433" t="s">
        <v>2198</v>
      </c>
      <c r="D433" s="9">
        <v>45291</v>
      </c>
      <c r="E433" t="s">
        <v>2337</v>
      </c>
      <c r="F433" s="20">
        <v>5</v>
      </c>
      <c r="G433" t="s">
        <v>2345</v>
      </c>
      <c r="I433" s="16" t="str">
        <f t="shared" si="6"/>
        <v>Unknown</v>
      </c>
      <c r="J433">
        <v>4</v>
      </c>
    </row>
    <row r="434" spans="1:10">
      <c r="A434" t="s">
        <v>2777</v>
      </c>
      <c r="B434" t="s">
        <v>1449</v>
      </c>
      <c r="C434" t="s">
        <v>2253</v>
      </c>
      <c r="D434" s="9">
        <v>45720</v>
      </c>
      <c r="E434" t="s">
        <v>2330</v>
      </c>
      <c r="F434" s="20">
        <v>100</v>
      </c>
      <c r="G434" t="s">
        <v>2328</v>
      </c>
      <c r="H434">
        <v>-1200</v>
      </c>
      <c r="I434" s="16" t="str">
        <f t="shared" si="6"/>
        <v>Review</v>
      </c>
      <c r="J434">
        <v>2</v>
      </c>
    </row>
    <row r="435" spans="1:10">
      <c r="A435" t="s">
        <v>2778</v>
      </c>
      <c r="B435" t="s">
        <v>697</v>
      </c>
      <c r="C435" t="s">
        <v>2209</v>
      </c>
      <c r="D435" s="9">
        <v>45749</v>
      </c>
      <c r="E435" t="s">
        <v>2324</v>
      </c>
      <c r="F435" s="20">
        <v>55</v>
      </c>
      <c r="G435" t="s">
        <v>2331</v>
      </c>
      <c r="H435">
        <v>499</v>
      </c>
      <c r="I435" s="16" t="str">
        <f t="shared" si="6"/>
        <v>Normal</v>
      </c>
      <c r="J435" t="s">
        <v>39</v>
      </c>
    </row>
    <row r="436" spans="1:10">
      <c r="A436" t="s">
        <v>2779</v>
      </c>
      <c r="B436" t="s">
        <v>1511</v>
      </c>
      <c r="C436" t="s">
        <v>2264</v>
      </c>
      <c r="D436" s="9">
        <v>45516</v>
      </c>
      <c r="E436" t="s">
        <v>2327</v>
      </c>
      <c r="F436" s="20">
        <v>15</v>
      </c>
      <c r="G436" t="s">
        <v>2328</v>
      </c>
      <c r="H436">
        <v>2500</v>
      </c>
      <c r="I436" s="16" t="str">
        <f t="shared" si="6"/>
        <v>Normal</v>
      </c>
      <c r="J436" t="s">
        <v>39</v>
      </c>
    </row>
    <row r="437" spans="1:10">
      <c r="A437" t="s">
        <v>2780</v>
      </c>
      <c r="B437" t="s">
        <v>1693</v>
      </c>
      <c r="C437" t="s">
        <v>2187</v>
      </c>
      <c r="D437" s="9">
        <v>46054</v>
      </c>
      <c r="E437" t="s">
        <v>2337</v>
      </c>
      <c r="F437" s="20">
        <v>20</v>
      </c>
      <c r="G437" t="s">
        <v>2345</v>
      </c>
      <c r="H437">
        <v>799</v>
      </c>
      <c r="I437" s="16" t="str">
        <f t="shared" si="6"/>
        <v>Normal</v>
      </c>
      <c r="J437" t="s">
        <v>39</v>
      </c>
    </row>
    <row r="438" spans="1:10">
      <c r="A438" t="s">
        <v>2781</v>
      </c>
      <c r="B438" t="s">
        <v>462</v>
      </c>
      <c r="C438" t="s">
        <v>2249</v>
      </c>
      <c r="D438" s="9">
        <v>45852</v>
      </c>
      <c r="E438" t="s">
        <v>2324</v>
      </c>
      <c r="G438" t="s">
        <v>2331</v>
      </c>
      <c r="I438" s="16" t="str">
        <f t="shared" si="6"/>
        <v>Unknown</v>
      </c>
      <c r="J438">
        <v>5</v>
      </c>
    </row>
    <row r="439" spans="1:10">
      <c r="A439" t="s">
        <v>2782</v>
      </c>
      <c r="B439" t="s">
        <v>449</v>
      </c>
      <c r="C439" t="s">
        <v>2264</v>
      </c>
      <c r="D439" s="9">
        <v>45577</v>
      </c>
      <c r="E439" t="s">
        <v>2337</v>
      </c>
      <c r="G439" t="s">
        <v>2331</v>
      </c>
      <c r="H439">
        <v>2500</v>
      </c>
      <c r="I439" s="16" t="str">
        <f t="shared" si="6"/>
        <v>Normal</v>
      </c>
      <c r="J439">
        <v>4</v>
      </c>
    </row>
    <row r="440" spans="1:10">
      <c r="A440" t="s">
        <v>2783</v>
      </c>
      <c r="B440" t="s">
        <v>589</v>
      </c>
      <c r="C440" t="s">
        <v>2187</v>
      </c>
      <c r="D440" s="9">
        <v>45408</v>
      </c>
      <c r="E440" t="s">
        <v>2330</v>
      </c>
      <c r="G440" t="s">
        <v>23</v>
      </c>
      <c r="H440">
        <v>799</v>
      </c>
      <c r="I440" s="16" t="str">
        <f t="shared" si="6"/>
        <v>Normal</v>
      </c>
      <c r="J440">
        <v>1</v>
      </c>
    </row>
    <row r="441" spans="1:10">
      <c r="A441" t="s">
        <v>2784</v>
      </c>
      <c r="B441" t="s">
        <v>1620</v>
      </c>
      <c r="C441" t="s">
        <v>2193</v>
      </c>
      <c r="D441" s="9">
        <v>45777</v>
      </c>
      <c r="E441" t="s">
        <v>2330</v>
      </c>
      <c r="G441" t="s">
        <v>23</v>
      </c>
      <c r="H441">
        <v>0</v>
      </c>
      <c r="I441" s="16" t="str">
        <f t="shared" si="6"/>
        <v>Zero Amount</v>
      </c>
      <c r="J441" t="s">
        <v>39</v>
      </c>
    </row>
    <row r="442" spans="1:10">
      <c r="A442" t="s">
        <v>2785</v>
      </c>
      <c r="B442" t="s">
        <v>1711</v>
      </c>
      <c r="C442" t="s">
        <v>2228</v>
      </c>
      <c r="D442" s="9">
        <v>46111</v>
      </c>
      <c r="E442" t="s">
        <v>2324</v>
      </c>
      <c r="F442" s="20">
        <v>40</v>
      </c>
      <c r="G442" t="s">
        <v>2345</v>
      </c>
      <c r="H442">
        <v>799</v>
      </c>
      <c r="I442" s="16" t="str">
        <f t="shared" si="6"/>
        <v>Normal</v>
      </c>
      <c r="J442">
        <v>4</v>
      </c>
    </row>
    <row r="443" spans="1:10">
      <c r="A443" t="s">
        <v>2786</v>
      </c>
      <c r="B443" t="s">
        <v>129</v>
      </c>
      <c r="C443" t="s">
        <v>2244</v>
      </c>
      <c r="D443" s="9">
        <v>46037</v>
      </c>
      <c r="E443" t="s">
        <v>2327</v>
      </c>
      <c r="F443" s="20">
        <v>15</v>
      </c>
      <c r="G443" t="s">
        <v>23</v>
      </c>
      <c r="H443">
        <v>1200</v>
      </c>
      <c r="I443" s="16" t="str">
        <f t="shared" si="6"/>
        <v>Normal</v>
      </c>
      <c r="J443">
        <v>3</v>
      </c>
    </row>
    <row r="444" spans="1:10">
      <c r="A444" t="s">
        <v>2787</v>
      </c>
      <c r="B444" t="s">
        <v>1229</v>
      </c>
      <c r="C444" t="s">
        <v>2222</v>
      </c>
      <c r="D444" s="9">
        <v>46188</v>
      </c>
      <c r="E444" t="s">
        <v>2330</v>
      </c>
      <c r="F444" s="20">
        <v>100</v>
      </c>
      <c r="G444" t="s">
        <v>2345</v>
      </c>
      <c r="H444">
        <v>0</v>
      </c>
      <c r="I444" s="16" t="str">
        <f t="shared" si="6"/>
        <v>Zero Amount</v>
      </c>
      <c r="J444">
        <v>4</v>
      </c>
    </row>
    <row r="445" spans="1:10">
      <c r="A445" t="s">
        <v>2788</v>
      </c>
      <c r="B445" t="s">
        <v>1970</v>
      </c>
      <c r="C445" t="s">
        <v>2259</v>
      </c>
      <c r="D445" s="9">
        <v>45981</v>
      </c>
      <c r="E445" t="s">
        <v>2330</v>
      </c>
      <c r="F445" s="20">
        <v>100</v>
      </c>
      <c r="G445" t="s">
        <v>2331</v>
      </c>
      <c r="H445">
        <v>0</v>
      </c>
      <c r="I445" s="16" t="str">
        <f t="shared" si="6"/>
        <v>Zero Amount</v>
      </c>
      <c r="J445" t="s">
        <v>39</v>
      </c>
    </row>
    <row r="446" spans="1:10">
      <c r="A446" t="s">
        <v>2789</v>
      </c>
      <c r="B446" t="s">
        <v>502</v>
      </c>
      <c r="C446" t="s">
        <v>2259</v>
      </c>
      <c r="D446" s="9">
        <v>45211</v>
      </c>
      <c r="E446" t="s">
        <v>23</v>
      </c>
      <c r="G446" t="s">
        <v>2331</v>
      </c>
      <c r="I446" s="16" t="str">
        <f t="shared" si="6"/>
        <v>Unknown</v>
      </c>
      <c r="J446">
        <v>4</v>
      </c>
    </row>
    <row r="447" spans="1:10">
      <c r="A447" t="s">
        <v>2790</v>
      </c>
      <c r="B447" t="s">
        <v>1705</v>
      </c>
      <c r="C447" t="s">
        <v>2257</v>
      </c>
      <c r="D447" s="9">
        <v>45809</v>
      </c>
      <c r="E447" t="s">
        <v>2330</v>
      </c>
      <c r="F447" s="20">
        <v>100</v>
      </c>
      <c r="G447" t="s">
        <v>2345</v>
      </c>
      <c r="I447" s="16" t="str">
        <f t="shared" si="6"/>
        <v>Unknown</v>
      </c>
      <c r="J447">
        <v>5</v>
      </c>
    </row>
    <row r="448" spans="1:10">
      <c r="A448" t="s">
        <v>2791</v>
      </c>
      <c r="B448" t="s">
        <v>320</v>
      </c>
      <c r="C448" t="s">
        <v>2225</v>
      </c>
      <c r="D448" s="9">
        <v>45773</v>
      </c>
      <c r="E448" t="s">
        <v>2330</v>
      </c>
      <c r="F448" s="20">
        <v>100</v>
      </c>
      <c r="G448" t="s">
        <v>2331</v>
      </c>
      <c r="I448" s="16" t="str">
        <f t="shared" si="6"/>
        <v>Unknown</v>
      </c>
      <c r="J448" t="s">
        <v>39</v>
      </c>
    </row>
    <row r="449" spans="1:10">
      <c r="A449" t="s">
        <v>2792</v>
      </c>
      <c r="B449" t="s">
        <v>1432</v>
      </c>
      <c r="C449" t="s">
        <v>2241</v>
      </c>
      <c r="D449" s="9">
        <v>45548</v>
      </c>
      <c r="E449" t="s">
        <v>2324</v>
      </c>
      <c r="F449" s="20">
        <v>40</v>
      </c>
      <c r="G449" t="s">
        <v>2345</v>
      </c>
      <c r="H449">
        <v>1543.95</v>
      </c>
      <c r="I449" s="16" t="str">
        <f t="shared" si="6"/>
        <v>Normal</v>
      </c>
      <c r="J449">
        <v>2</v>
      </c>
    </row>
    <row r="450" spans="1:10">
      <c r="A450" t="s">
        <v>2793</v>
      </c>
      <c r="B450" t="s">
        <v>713</v>
      </c>
      <c r="C450" t="s">
        <v>2259</v>
      </c>
      <c r="D450" s="9">
        <v>45642</v>
      </c>
      <c r="E450" t="s">
        <v>2324</v>
      </c>
      <c r="G450" t="s">
        <v>2325</v>
      </c>
      <c r="H450">
        <v>0</v>
      </c>
      <c r="I450" s="16" t="str">
        <f t="shared" si="6"/>
        <v>Zero Amount</v>
      </c>
      <c r="J450">
        <v>4</v>
      </c>
    </row>
    <row r="451" spans="1:10">
      <c r="A451" t="s">
        <v>2794</v>
      </c>
      <c r="B451" t="s">
        <v>2108</v>
      </c>
      <c r="C451" t="s">
        <v>2218</v>
      </c>
      <c r="D451" s="9">
        <v>45921</v>
      </c>
      <c r="E451" t="s">
        <v>2330</v>
      </c>
      <c r="F451" s="20">
        <v>100</v>
      </c>
      <c r="G451" t="s">
        <v>23</v>
      </c>
      <c r="H451">
        <v>1500</v>
      </c>
      <c r="I451" s="16" t="str">
        <f t="shared" ref="I451:I514" si="7">IF(H451="", "Unknown", IF(H451=0, "Zero Amount", IF(H451&lt;1, "Review", IF(H451&gt;1, "Normal"))))</f>
        <v>Normal</v>
      </c>
      <c r="J451" t="s">
        <v>39</v>
      </c>
    </row>
    <row r="452" spans="1:10">
      <c r="A452" t="s">
        <v>2795</v>
      </c>
      <c r="B452" t="s">
        <v>828</v>
      </c>
      <c r="C452" t="s">
        <v>2261</v>
      </c>
      <c r="D452" s="9">
        <v>46057</v>
      </c>
      <c r="E452" t="s">
        <v>2330</v>
      </c>
      <c r="G452" t="s">
        <v>2345</v>
      </c>
      <c r="I452" s="16" t="str">
        <f t="shared" si="7"/>
        <v>Unknown</v>
      </c>
      <c r="J452" t="s">
        <v>39</v>
      </c>
    </row>
    <row r="453" spans="1:10">
      <c r="A453" t="s">
        <v>2796</v>
      </c>
      <c r="B453" t="s">
        <v>2797</v>
      </c>
      <c r="C453" t="s">
        <v>2273</v>
      </c>
      <c r="D453" s="9">
        <v>45207</v>
      </c>
      <c r="E453" t="s">
        <v>2330</v>
      </c>
      <c r="G453" t="s">
        <v>2325</v>
      </c>
      <c r="H453">
        <v>-799</v>
      </c>
      <c r="I453" s="16" t="str">
        <f t="shared" si="7"/>
        <v>Review</v>
      </c>
      <c r="J453">
        <v>2</v>
      </c>
    </row>
    <row r="454" spans="1:10">
      <c r="A454" t="s">
        <v>2798</v>
      </c>
      <c r="B454" t="s">
        <v>107</v>
      </c>
      <c r="C454" t="s">
        <v>2264</v>
      </c>
      <c r="D454" s="9">
        <v>45584</v>
      </c>
      <c r="E454" t="s">
        <v>2327</v>
      </c>
      <c r="F454" s="20">
        <v>15</v>
      </c>
      <c r="G454" t="s">
        <v>2331</v>
      </c>
      <c r="H454">
        <v>2500</v>
      </c>
      <c r="I454" s="16" t="str">
        <f t="shared" si="7"/>
        <v>Normal</v>
      </c>
      <c r="J454">
        <v>2</v>
      </c>
    </row>
    <row r="455" spans="1:10">
      <c r="A455" t="s">
        <v>2799</v>
      </c>
      <c r="B455" t="s">
        <v>394</v>
      </c>
      <c r="C455" t="s">
        <v>2216</v>
      </c>
      <c r="D455" s="9">
        <v>45735</v>
      </c>
      <c r="E455" t="s">
        <v>2330</v>
      </c>
      <c r="F455" s="20">
        <v>100</v>
      </c>
      <c r="G455" t="s">
        <v>2345</v>
      </c>
      <c r="H455">
        <v>1200</v>
      </c>
      <c r="I455" s="16" t="str">
        <f t="shared" si="7"/>
        <v>Normal</v>
      </c>
      <c r="J455">
        <v>3</v>
      </c>
    </row>
    <row r="456" spans="1:10">
      <c r="A456" t="s">
        <v>2800</v>
      </c>
      <c r="B456" t="s">
        <v>1711</v>
      </c>
      <c r="C456" t="s">
        <v>2247</v>
      </c>
      <c r="D456" s="9">
        <v>45133</v>
      </c>
      <c r="E456" t="s">
        <v>2324</v>
      </c>
      <c r="F456" s="20">
        <v>60</v>
      </c>
      <c r="G456" t="s">
        <v>2345</v>
      </c>
      <c r="I456" s="16" t="str">
        <f t="shared" si="7"/>
        <v>Unknown</v>
      </c>
      <c r="J456">
        <v>4</v>
      </c>
    </row>
    <row r="457" spans="1:10">
      <c r="A457" t="s">
        <v>2801</v>
      </c>
      <c r="B457" t="s">
        <v>1295</v>
      </c>
      <c r="C457" t="s">
        <v>2225</v>
      </c>
      <c r="D457" s="9">
        <v>45356</v>
      </c>
      <c r="E457" t="s">
        <v>2324</v>
      </c>
      <c r="G457" t="s">
        <v>23</v>
      </c>
      <c r="I457" s="16" t="str">
        <f t="shared" si="7"/>
        <v>Unknown</v>
      </c>
      <c r="J457">
        <v>5</v>
      </c>
    </row>
    <row r="458" spans="1:10">
      <c r="A458" t="s">
        <v>2802</v>
      </c>
      <c r="B458" t="s">
        <v>809</v>
      </c>
      <c r="C458" t="s">
        <v>2244</v>
      </c>
      <c r="D458" s="9">
        <v>45559</v>
      </c>
      <c r="E458" t="s">
        <v>2327</v>
      </c>
      <c r="F458" s="20">
        <v>20</v>
      </c>
      <c r="G458" t="s">
        <v>2331</v>
      </c>
      <c r="H458">
        <v>1200</v>
      </c>
      <c r="I458" s="16" t="str">
        <f t="shared" si="7"/>
        <v>Normal</v>
      </c>
      <c r="J458">
        <v>2</v>
      </c>
    </row>
    <row r="459" spans="1:10">
      <c r="A459" t="s">
        <v>2803</v>
      </c>
      <c r="B459" t="s">
        <v>1806</v>
      </c>
      <c r="C459" t="s">
        <v>2244</v>
      </c>
      <c r="D459" s="9">
        <v>45342</v>
      </c>
      <c r="E459" t="s">
        <v>2324</v>
      </c>
      <c r="F459" s="20">
        <v>25</v>
      </c>
      <c r="G459" t="s">
        <v>2345</v>
      </c>
      <c r="H459">
        <v>1200</v>
      </c>
      <c r="I459" s="16" t="str">
        <f t="shared" si="7"/>
        <v>Normal</v>
      </c>
      <c r="J459">
        <v>5</v>
      </c>
    </row>
    <row r="460" spans="1:10">
      <c r="A460" t="s">
        <v>2804</v>
      </c>
      <c r="B460" t="s">
        <v>1194</v>
      </c>
      <c r="C460" t="s">
        <v>2235</v>
      </c>
      <c r="D460" s="9">
        <v>45596</v>
      </c>
      <c r="E460" t="s">
        <v>23</v>
      </c>
      <c r="G460" t="s">
        <v>2339</v>
      </c>
      <c r="H460">
        <v>3000</v>
      </c>
      <c r="I460" s="16" t="str">
        <f t="shared" si="7"/>
        <v>Normal</v>
      </c>
      <c r="J460" t="s">
        <v>39</v>
      </c>
    </row>
    <row r="461" spans="1:10">
      <c r="A461" t="s">
        <v>2805</v>
      </c>
      <c r="B461" t="s">
        <v>1327</v>
      </c>
      <c r="C461" t="s">
        <v>2247</v>
      </c>
      <c r="D461" s="9">
        <v>45604</v>
      </c>
      <c r="E461" t="s">
        <v>2337</v>
      </c>
      <c r="F461" s="20">
        <v>0</v>
      </c>
      <c r="G461" t="s">
        <v>23</v>
      </c>
      <c r="I461" s="16" t="str">
        <f t="shared" si="7"/>
        <v>Unknown</v>
      </c>
      <c r="J461">
        <v>2</v>
      </c>
    </row>
    <row r="462" spans="1:10">
      <c r="A462" t="s">
        <v>2806</v>
      </c>
      <c r="B462" t="s">
        <v>900</v>
      </c>
      <c r="C462" t="s">
        <v>2231</v>
      </c>
      <c r="D462" s="9">
        <v>45312</v>
      </c>
      <c r="E462" t="s">
        <v>2327</v>
      </c>
      <c r="F462" s="20">
        <v>20</v>
      </c>
      <c r="G462" t="s">
        <v>2331</v>
      </c>
      <c r="H462">
        <v>3000</v>
      </c>
      <c r="I462" s="16" t="str">
        <f t="shared" si="7"/>
        <v>Normal</v>
      </c>
      <c r="J462">
        <v>4</v>
      </c>
    </row>
    <row r="463" spans="1:10">
      <c r="A463" t="s">
        <v>2807</v>
      </c>
      <c r="B463" t="s">
        <v>394</v>
      </c>
      <c r="C463" t="s">
        <v>2231</v>
      </c>
      <c r="D463" s="9">
        <v>45612</v>
      </c>
      <c r="E463" t="s">
        <v>2330</v>
      </c>
      <c r="F463" s="20">
        <v>100</v>
      </c>
      <c r="G463" t="s">
        <v>2339</v>
      </c>
      <c r="H463">
        <v>3000</v>
      </c>
      <c r="I463" s="16" t="str">
        <f t="shared" si="7"/>
        <v>Normal</v>
      </c>
      <c r="J463" t="s">
        <v>39</v>
      </c>
    </row>
    <row r="464" spans="1:10">
      <c r="A464" t="s">
        <v>2808</v>
      </c>
      <c r="B464" t="s">
        <v>622</v>
      </c>
      <c r="C464" t="s">
        <v>2261</v>
      </c>
      <c r="D464" s="9">
        <v>45234</v>
      </c>
      <c r="E464" t="s">
        <v>2337</v>
      </c>
      <c r="G464" t="s">
        <v>2325</v>
      </c>
      <c r="I464" s="16" t="str">
        <f t="shared" si="7"/>
        <v>Unknown</v>
      </c>
      <c r="J464">
        <v>4</v>
      </c>
    </row>
    <row r="465" spans="1:10">
      <c r="A465" t="s">
        <v>2809</v>
      </c>
      <c r="B465" t="s">
        <v>1561</v>
      </c>
      <c r="C465" t="s">
        <v>2271</v>
      </c>
      <c r="D465" s="9">
        <v>46158</v>
      </c>
      <c r="E465" t="s">
        <v>2330</v>
      </c>
      <c r="G465" t="s">
        <v>2331</v>
      </c>
      <c r="H465">
        <v>1200</v>
      </c>
      <c r="I465" s="16" t="str">
        <f t="shared" si="7"/>
        <v>Normal</v>
      </c>
      <c r="J465">
        <v>3</v>
      </c>
    </row>
    <row r="466" spans="1:10">
      <c r="A466" t="s">
        <v>2810</v>
      </c>
      <c r="B466" t="s">
        <v>1203</v>
      </c>
      <c r="C466" t="s">
        <v>2241</v>
      </c>
      <c r="D466" s="9">
        <v>46099</v>
      </c>
      <c r="E466" t="s">
        <v>2337</v>
      </c>
      <c r="F466" s="20">
        <v>5</v>
      </c>
      <c r="G466" t="s">
        <v>23</v>
      </c>
      <c r="H466">
        <v>2500</v>
      </c>
      <c r="I466" s="16" t="str">
        <f t="shared" si="7"/>
        <v>Normal</v>
      </c>
      <c r="J466">
        <v>4</v>
      </c>
    </row>
    <row r="467" spans="1:10">
      <c r="A467" t="s">
        <v>2811</v>
      </c>
      <c r="B467" t="s">
        <v>1091</v>
      </c>
      <c r="C467" t="s">
        <v>2267</v>
      </c>
      <c r="D467" s="9">
        <v>45550</v>
      </c>
      <c r="E467" t="s">
        <v>2327</v>
      </c>
      <c r="F467" s="20">
        <v>5</v>
      </c>
      <c r="G467" t="s">
        <v>2331</v>
      </c>
      <c r="H467">
        <v>999.99</v>
      </c>
      <c r="I467" s="16" t="str">
        <f t="shared" si="7"/>
        <v>Normal</v>
      </c>
      <c r="J467">
        <v>4</v>
      </c>
    </row>
    <row r="468" spans="1:10">
      <c r="A468" t="s">
        <v>2812</v>
      </c>
      <c r="B468" t="s">
        <v>1723</v>
      </c>
      <c r="C468" t="s">
        <v>2251</v>
      </c>
      <c r="D468" s="9">
        <v>45997</v>
      </c>
      <c r="E468" t="s">
        <v>2324</v>
      </c>
      <c r="F468" s="20">
        <v>55</v>
      </c>
      <c r="G468" t="s">
        <v>2328</v>
      </c>
      <c r="H468">
        <v>1500</v>
      </c>
      <c r="I468" s="16" t="str">
        <f t="shared" si="7"/>
        <v>Normal</v>
      </c>
      <c r="J468">
        <v>4</v>
      </c>
    </row>
    <row r="469" spans="1:10">
      <c r="A469" t="s">
        <v>2813</v>
      </c>
      <c r="B469" t="s">
        <v>1532</v>
      </c>
      <c r="C469" t="s">
        <v>2213</v>
      </c>
      <c r="D469" s="9">
        <v>45869</v>
      </c>
      <c r="E469" t="s">
        <v>2330</v>
      </c>
      <c r="F469" s="20">
        <v>100</v>
      </c>
      <c r="G469" t="s">
        <v>2331</v>
      </c>
      <c r="H469">
        <v>-1500</v>
      </c>
      <c r="I469" s="16" t="str">
        <f t="shared" si="7"/>
        <v>Review</v>
      </c>
      <c r="J469">
        <v>4</v>
      </c>
    </row>
    <row r="470" spans="1:10">
      <c r="A470" t="s">
        <v>2814</v>
      </c>
      <c r="B470" t="s">
        <v>1798</v>
      </c>
      <c r="C470" t="s">
        <v>2247</v>
      </c>
      <c r="D470" s="9">
        <v>45910</v>
      </c>
      <c r="E470" t="s">
        <v>2337</v>
      </c>
      <c r="F470" s="20">
        <v>0</v>
      </c>
      <c r="G470" t="s">
        <v>2339</v>
      </c>
      <c r="I470" s="16" t="str">
        <f t="shared" si="7"/>
        <v>Unknown</v>
      </c>
      <c r="J470">
        <v>3</v>
      </c>
    </row>
    <row r="471" spans="1:10">
      <c r="A471" t="s">
        <v>2815</v>
      </c>
      <c r="B471" t="s">
        <v>2101</v>
      </c>
      <c r="C471" t="s">
        <v>2251</v>
      </c>
      <c r="D471" s="9">
        <v>45106</v>
      </c>
      <c r="E471" t="s">
        <v>2324</v>
      </c>
      <c r="F471" s="20">
        <v>40</v>
      </c>
      <c r="G471" t="s">
        <v>2328</v>
      </c>
      <c r="H471">
        <v>1500</v>
      </c>
      <c r="I471" s="16" t="str">
        <f t="shared" si="7"/>
        <v>Normal</v>
      </c>
      <c r="J471" t="s">
        <v>39</v>
      </c>
    </row>
    <row r="472" spans="1:10">
      <c r="A472" t="s">
        <v>2816</v>
      </c>
      <c r="B472" t="s">
        <v>2045</v>
      </c>
      <c r="C472" t="s">
        <v>2241</v>
      </c>
      <c r="D472" s="9">
        <v>45508</v>
      </c>
      <c r="E472" t="s">
        <v>2327</v>
      </c>
      <c r="F472" s="20">
        <v>20</v>
      </c>
      <c r="G472" t="s">
        <v>2325</v>
      </c>
      <c r="H472">
        <v>2500</v>
      </c>
      <c r="I472" s="16" t="str">
        <f t="shared" si="7"/>
        <v>Normal</v>
      </c>
      <c r="J472">
        <v>3</v>
      </c>
    </row>
    <row r="473" spans="1:10">
      <c r="A473" t="s">
        <v>2817</v>
      </c>
      <c r="B473" t="s">
        <v>684</v>
      </c>
      <c r="C473" t="s">
        <v>2237</v>
      </c>
      <c r="D473" s="9">
        <v>45343</v>
      </c>
      <c r="E473" t="s">
        <v>2330</v>
      </c>
      <c r="F473" s="20">
        <v>100</v>
      </c>
      <c r="G473" t="s">
        <v>2331</v>
      </c>
      <c r="H473">
        <v>1500</v>
      </c>
      <c r="I473" s="16" t="str">
        <f t="shared" si="7"/>
        <v>Normal</v>
      </c>
      <c r="J473">
        <v>3</v>
      </c>
    </row>
    <row r="474" spans="1:10">
      <c r="A474" t="s">
        <v>2818</v>
      </c>
      <c r="B474" t="s">
        <v>159</v>
      </c>
      <c r="C474" t="s">
        <v>2213</v>
      </c>
      <c r="D474" s="9">
        <v>45408</v>
      </c>
      <c r="E474" t="s">
        <v>23</v>
      </c>
      <c r="G474" t="s">
        <v>23</v>
      </c>
      <c r="H474">
        <v>1500</v>
      </c>
      <c r="I474" s="16" t="str">
        <f t="shared" si="7"/>
        <v>Normal</v>
      </c>
      <c r="J474">
        <v>5</v>
      </c>
    </row>
    <row r="475" spans="1:10">
      <c r="A475" t="s">
        <v>2819</v>
      </c>
      <c r="B475" t="s">
        <v>926</v>
      </c>
      <c r="C475" t="s">
        <v>2264</v>
      </c>
      <c r="D475" s="9">
        <v>46062</v>
      </c>
      <c r="E475" t="s">
        <v>23</v>
      </c>
      <c r="G475" t="s">
        <v>2331</v>
      </c>
      <c r="H475">
        <v>2500</v>
      </c>
      <c r="I475" s="16" t="str">
        <f t="shared" si="7"/>
        <v>Normal</v>
      </c>
      <c r="J475">
        <v>5</v>
      </c>
    </row>
    <row r="476" spans="1:10">
      <c r="A476" t="s">
        <v>2820</v>
      </c>
      <c r="B476" t="s">
        <v>626</v>
      </c>
      <c r="C476" t="s">
        <v>2216</v>
      </c>
      <c r="D476" s="9">
        <v>45416</v>
      </c>
      <c r="E476" t="s">
        <v>2324</v>
      </c>
      <c r="F476" s="20">
        <v>10</v>
      </c>
      <c r="G476" t="s">
        <v>2328</v>
      </c>
      <c r="H476">
        <v>1200</v>
      </c>
      <c r="I476" s="16" t="str">
        <f t="shared" si="7"/>
        <v>Normal</v>
      </c>
      <c r="J476" t="s">
        <v>39</v>
      </c>
    </row>
    <row r="477" spans="1:10">
      <c r="A477" t="s">
        <v>2821</v>
      </c>
      <c r="B477" t="s">
        <v>1926</v>
      </c>
      <c r="C477" t="s">
        <v>2237</v>
      </c>
      <c r="D477" s="9">
        <v>46016</v>
      </c>
      <c r="E477" t="s">
        <v>2324</v>
      </c>
      <c r="G477" t="s">
        <v>2331</v>
      </c>
      <c r="H477">
        <v>1500</v>
      </c>
      <c r="I477" s="16" t="str">
        <f t="shared" si="7"/>
        <v>Normal</v>
      </c>
      <c r="J477">
        <v>4</v>
      </c>
    </row>
    <row r="478" spans="1:10">
      <c r="A478" t="s">
        <v>2822</v>
      </c>
      <c r="B478" t="s">
        <v>1978</v>
      </c>
      <c r="C478" t="s">
        <v>2257</v>
      </c>
      <c r="D478" s="9">
        <v>45969</v>
      </c>
      <c r="E478" t="s">
        <v>23</v>
      </c>
      <c r="G478" t="s">
        <v>2345</v>
      </c>
      <c r="I478" s="16" t="str">
        <f t="shared" si="7"/>
        <v>Unknown</v>
      </c>
      <c r="J478">
        <v>5</v>
      </c>
    </row>
    <row r="479" spans="1:10">
      <c r="A479" t="s">
        <v>2823</v>
      </c>
      <c r="B479" t="s">
        <v>1114</v>
      </c>
      <c r="C479" t="s">
        <v>2264</v>
      </c>
      <c r="D479" s="9">
        <v>45552</v>
      </c>
      <c r="E479" t="s">
        <v>2330</v>
      </c>
      <c r="F479" s="20">
        <v>100</v>
      </c>
      <c r="G479" t="s">
        <v>23</v>
      </c>
      <c r="H479">
        <v>2500</v>
      </c>
      <c r="I479" s="16" t="str">
        <f t="shared" si="7"/>
        <v>Normal</v>
      </c>
      <c r="J479">
        <v>3</v>
      </c>
    </row>
    <row r="480" spans="1:10">
      <c r="A480" t="s">
        <v>2824</v>
      </c>
      <c r="B480" t="s">
        <v>1596</v>
      </c>
      <c r="C480" t="s">
        <v>2264</v>
      </c>
      <c r="D480" s="9">
        <v>45362</v>
      </c>
      <c r="E480" t="s">
        <v>2324</v>
      </c>
      <c r="F480" s="20">
        <v>25</v>
      </c>
      <c r="G480" t="s">
        <v>2331</v>
      </c>
      <c r="H480">
        <v>2500</v>
      </c>
      <c r="I480" s="16" t="str">
        <f t="shared" si="7"/>
        <v>Normal</v>
      </c>
      <c r="J480">
        <v>2</v>
      </c>
    </row>
    <row r="481" spans="1:10">
      <c r="A481" t="s">
        <v>2825</v>
      </c>
      <c r="B481" t="s">
        <v>664</v>
      </c>
      <c r="C481" t="s">
        <v>2228</v>
      </c>
      <c r="D481" s="9">
        <v>46084</v>
      </c>
      <c r="E481" t="s">
        <v>2324</v>
      </c>
      <c r="F481" s="20">
        <v>25</v>
      </c>
      <c r="G481" t="s">
        <v>2325</v>
      </c>
      <c r="H481">
        <v>799</v>
      </c>
      <c r="I481" s="16" t="str">
        <f t="shared" si="7"/>
        <v>Normal</v>
      </c>
      <c r="J481">
        <v>1</v>
      </c>
    </row>
    <row r="482" spans="1:10">
      <c r="A482" t="s">
        <v>2826</v>
      </c>
      <c r="B482" t="s">
        <v>1007</v>
      </c>
      <c r="C482" t="s">
        <v>2202</v>
      </c>
      <c r="D482" s="9">
        <v>45552</v>
      </c>
      <c r="E482" t="s">
        <v>2324</v>
      </c>
      <c r="F482" s="20">
        <v>55</v>
      </c>
      <c r="G482" t="s">
        <v>2345</v>
      </c>
      <c r="H482">
        <v>999.99</v>
      </c>
      <c r="I482" s="16" t="str">
        <f t="shared" si="7"/>
        <v>Normal</v>
      </c>
      <c r="J482">
        <v>5</v>
      </c>
    </row>
    <row r="483" spans="1:10">
      <c r="A483" t="s">
        <v>2827</v>
      </c>
      <c r="B483" t="s">
        <v>1291</v>
      </c>
      <c r="C483" t="s">
        <v>2222</v>
      </c>
      <c r="D483" s="9">
        <v>45115</v>
      </c>
      <c r="E483" t="s">
        <v>23</v>
      </c>
      <c r="G483" t="s">
        <v>2345</v>
      </c>
      <c r="H483">
        <v>0</v>
      </c>
      <c r="I483" s="16" t="str">
        <f t="shared" si="7"/>
        <v>Zero Amount</v>
      </c>
      <c r="J483">
        <v>3</v>
      </c>
    </row>
    <row r="484" spans="1:10">
      <c r="A484" t="s">
        <v>2828</v>
      </c>
      <c r="B484" t="s">
        <v>2097</v>
      </c>
      <c r="C484" t="s">
        <v>2218</v>
      </c>
      <c r="D484" s="9">
        <v>45266</v>
      </c>
      <c r="E484" t="s">
        <v>2330</v>
      </c>
      <c r="F484" s="20">
        <v>100</v>
      </c>
      <c r="G484" t="s">
        <v>2345</v>
      </c>
      <c r="H484">
        <v>1500</v>
      </c>
      <c r="I484" s="16" t="str">
        <f t="shared" si="7"/>
        <v>Normal</v>
      </c>
      <c r="J484" t="s">
        <v>39</v>
      </c>
    </row>
    <row r="485" spans="1:10">
      <c r="A485" t="s">
        <v>2829</v>
      </c>
      <c r="B485" t="s">
        <v>137</v>
      </c>
      <c r="C485" t="s">
        <v>2216</v>
      </c>
      <c r="D485" s="9">
        <v>45390</v>
      </c>
      <c r="E485" t="s">
        <v>2324</v>
      </c>
      <c r="F485" s="20">
        <v>75</v>
      </c>
      <c r="G485" t="s">
        <v>2339</v>
      </c>
      <c r="H485">
        <v>1200</v>
      </c>
      <c r="I485" s="16" t="str">
        <f t="shared" si="7"/>
        <v>Normal</v>
      </c>
      <c r="J485">
        <v>2</v>
      </c>
    </row>
    <row r="486" spans="1:10">
      <c r="A486" t="s">
        <v>2830</v>
      </c>
      <c r="B486" t="s">
        <v>2097</v>
      </c>
      <c r="C486" t="s">
        <v>2251</v>
      </c>
      <c r="D486" s="9">
        <v>45700</v>
      </c>
      <c r="E486" t="s">
        <v>23</v>
      </c>
      <c r="G486" t="s">
        <v>2339</v>
      </c>
      <c r="H486">
        <v>1500</v>
      </c>
      <c r="I486" s="16" t="str">
        <f t="shared" si="7"/>
        <v>Normal</v>
      </c>
      <c r="J486">
        <v>5</v>
      </c>
    </row>
    <row r="487" spans="1:10">
      <c r="A487" t="s">
        <v>2831</v>
      </c>
      <c r="B487" t="s">
        <v>510</v>
      </c>
      <c r="C487" t="s">
        <v>2205</v>
      </c>
      <c r="D487" s="9">
        <v>45996</v>
      </c>
      <c r="E487" t="s">
        <v>2330</v>
      </c>
      <c r="G487" t="s">
        <v>2325</v>
      </c>
      <c r="H487">
        <v>1500</v>
      </c>
      <c r="I487" s="16" t="str">
        <f t="shared" si="7"/>
        <v>Normal</v>
      </c>
      <c r="J487">
        <v>4</v>
      </c>
    </row>
    <row r="488" spans="1:10">
      <c r="A488" t="s">
        <v>2832</v>
      </c>
      <c r="B488" t="s">
        <v>145</v>
      </c>
      <c r="C488" t="s">
        <v>2269</v>
      </c>
      <c r="D488" s="9">
        <v>45755</v>
      </c>
      <c r="E488" t="s">
        <v>2330</v>
      </c>
      <c r="G488" t="s">
        <v>2345</v>
      </c>
      <c r="H488">
        <v>499</v>
      </c>
      <c r="I488" s="16" t="str">
        <f t="shared" si="7"/>
        <v>Normal</v>
      </c>
      <c r="J488" t="s">
        <v>39</v>
      </c>
    </row>
    <row r="489" spans="1:10">
      <c r="A489" t="s">
        <v>2833</v>
      </c>
      <c r="B489" t="s">
        <v>1365</v>
      </c>
      <c r="C489" t="s">
        <v>2259</v>
      </c>
      <c r="D489" s="9">
        <v>45465</v>
      </c>
      <c r="E489" t="s">
        <v>2337</v>
      </c>
      <c r="F489" s="20">
        <v>20</v>
      </c>
      <c r="G489" t="s">
        <v>2331</v>
      </c>
      <c r="H489">
        <v>0</v>
      </c>
      <c r="I489" s="16" t="str">
        <f t="shared" si="7"/>
        <v>Zero Amount</v>
      </c>
      <c r="J489">
        <v>4</v>
      </c>
    </row>
    <row r="490" spans="1:10">
      <c r="A490" t="s">
        <v>2834</v>
      </c>
      <c r="B490" t="s">
        <v>611</v>
      </c>
      <c r="C490" t="s">
        <v>2247</v>
      </c>
      <c r="D490" s="9">
        <v>46149</v>
      </c>
      <c r="E490" t="s">
        <v>2324</v>
      </c>
      <c r="F490" s="20">
        <v>60</v>
      </c>
      <c r="G490" t="s">
        <v>23</v>
      </c>
      <c r="I490" s="16" t="str">
        <f t="shared" si="7"/>
        <v>Unknown</v>
      </c>
      <c r="J490">
        <v>3</v>
      </c>
    </row>
    <row r="491" spans="1:10">
      <c r="A491" t="s">
        <v>2835</v>
      </c>
      <c r="B491" t="s">
        <v>664</v>
      </c>
      <c r="C491" t="s">
        <v>2269</v>
      </c>
      <c r="D491" s="9">
        <v>46186</v>
      </c>
      <c r="E491" t="s">
        <v>23</v>
      </c>
      <c r="G491" t="s">
        <v>2328</v>
      </c>
      <c r="H491">
        <v>499</v>
      </c>
      <c r="I491" s="16" t="str">
        <f t="shared" si="7"/>
        <v>Normal</v>
      </c>
      <c r="J491" t="s">
        <v>39</v>
      </c>
    </row>
    <row r="492" spans="1:10">
      <c r="A492" t="s">
        <v>2836</v>
      </c>
      <c r="B492" t="s">
        <v>85</v>
      </c>
      <c r="C492" t="s">
        <v>2253</v>
      </c>
      <c r="D492" s="9">
        <v>45363</v>
      </c>
      <c r="E492" t="s">
        <v>2324</v>
      </c>
      <c r="F492" s="20">
        <v>25</v>
      </c>
      <c r="G492" t="s">
        <v>2339</v>
      </c>
      <c r="H492">
        <v>-1200</v>
      </c>
      <c r="I492" s="16" t="str">
        <f t="shared" si="7"/>
        <v>Review</v>
      </c>
      <c r="J492">
        <v>2</v>
      </c>
    </row>
    <row r="493" spans="1:10">
      <c r="A493" t="s">
        <v>2837</v>
      </c>
      <c r="B493" t="s">
        <v>1058</v>
      </c>
      <c r="C493" t="s">
        <v>2249</v>
      </c>
      <c r="D493" s="9">
        <v>46164</v>
      </c>
      <c r="E493" t="s">
        <v>2324</v>
      </c>
      <c r="F493" s="20">
        <v>75</v>
      </c>
      <c r="G493" t="s">
        <v>23</v>
      </c>
      <c r="H493">
        <v>1500</v>
      </c>
      <c r="I493" s="16" t="str">
        <f t="shared" si="7"/>
        <v>Normal</v>
      </c>
      <c r="J493">
        <v>1</v>
      </c>
    </row>
    <row r="494" spans="1:10">
      <c r="A494" t="s">
        <v>2838</v>
      </c>
      <c r="B494" t="s">
        <v>2104</v>
      </c>
      <c r="C494" t="s">
        <v>2273</v>
      </c>
      <c r="D494" s="9">
        <v>45309</v>
      </c>
      <c r="E494" t="s">
        <v>2330</v>
      </c>
      <c r="F494" s="20">
        <v>100</v>
      </c>
      <c r="G494" t="s">
        <v>2325</v>
      </c>
      <c r="H494">
        <v>799</v>
      </c>
      <c r="I494" s="16" t="str">
        <f t="shared" si="7"/>
        <v>Normal</v>
      </c>
      <c r="J494">
        <v>5</v>
      </c>
    </row>
    <row r="495" spans="1:10">
      <c r="A495" t="s">
        <v>2839</v>
      </c>
      <c r="B495" t="s">
        <v>1365</v>
      </c>
      <c r="C495" t="s">
        <v>2253</v>
      </c>
      <c r="D495" s="9">
        <v>45804</v>
      </c>
      <c r="E495" t="s">
        <v>2337</v>
      </c>
      <c r="F495" s="20">
        <v>0</v>
      </c>
      <c r="G495" t="s">
        <v>2345</v>
      </c>
      <c r="H495">
        <v>1200</v>
      </c>
      <c r="I495" s="16" t="str">
        <f t="shared" si="7"/>
        <v>Normal</v>
      </c>
      <c r="J495">
        <v>3</v>
      </c>
    </row>
    <row r="496" spans="1:10">
      <c r="A496" t="s">
        <v>2840</v>
      </c>
      <c r="B496" t="s">
        <v>2047</v>
      </c>
      <c r="C496" t="s">
        <v>2244</v>
      </c>
      <c r="D496" s="9">
        <v>46006</v>
      </c>
      <c r="E496" t="s">
        <v>2324</v>
      </c>
      <c r="G496" t="s">
        <v>2325</v>
      </c>
      <c r="H496">
        <v>1200</v>
      </c>
      <c r="I496" s="16" t="str">
        <f t="shared" si="7"/>
        <v>Normal</v>
      </c>
      <c r="J496" t="s">
        <v>39</v>
      </c>
    </row>
    <row r="497" spans="1:10">
      <c r="A497" t="s">
        <v>2841</v>
      </c>
      <c r="B497" t="s">
        <v>936</v>
      </c>
      <c r="C497" t="s">
        <v>2218</v>
      </c>
      <c r="D497" s="9">
        <v>45976</v>
      </c>
      <c r="E497" t="s">
        <v>2327</v>
      </c>
      <c r="F497" s="20">
        <v>5</v>
      </c>
      <c r="G497" t="s">
        <v>23</v>
      </c>
      <c r="H497">
        <v>1500</v>
      </c>
      <c r="I497" s="16" t="str">
        <f t="shared" si="7"/>
        <v>Normal</v>
      </c>
      <c r="J497">
        <v>1</v>
      </c>
    </row>
    <row r="498" spans="1:10">
      <c r="A498" t="s">
        <v>2842</v>
      </c>
      <c r="B498" t="s">
        <v>692</v>
      </c>
      <c r="C498" t="s">
        <v>2193</v>
      </c>
      <c r="D498" s="9">
        <v>45731</v>
      </c>
      <c r="E498" t="s">
        <v>2330</v>
      </c>
      <c r="G498" t="s">
        <v>2325</v>
      </c>
      <c r="H498">
        <v>0</v>
      </c>
      <c r="I498" s="16" t="str">
        <f t="shared" si="7"/>
        <v>Zero Amount</v>
      </c>
      <c r="J498">
        <v>5</v>
      </c>
    </row>
    <row r="499" spans="1:10">
      <c r="A499" t="s">
        <v>2843</v>
      </c>
      <c r="B499" t="s">
        <v>274</v>
      </c>
      <c r="C499" t="s">
        <v>2271</v>
      </c>
      <c r="D499" s="9">
        <v>45239</v>
      </c>
      <c r="E499" t="s">
        <v>2330</v>
      </c>
      <c r="G499" t="s">
        <v>2325</v>
      </c>
      <c r="H499">
        <v>1200</v>
      </c>
      <c r="I499" s="16" t="str">
        <f t="shared" si="7"/>
        <v>Normal</v>
      </c>
      <c r="J499" t="s">
        <v>39</v>
      </c>
    </row>
    <row r="500" spans="1:10">
      <c r="A500" t="s">
        <v>2844</v>
      </c>
      <c r="B500" t="s">
        <v>2159</v>
      </c>
      <c r="C500" t="s">
        <v>2261</v>
      </c>
      <c r="D500" s="9">
        <v>45795</v>
      </c>
      <c r="E500" t="s">
        <v>23</v>
      </c>
      <c r="G500" t="s">
        <v>2345</v>
      </c>
      <c r="I500" s="16" t="str">
        <f t="shared" si="7"/>
        <v>Unknown</v>
      </c>
      <c r="J500">
        <v>5</v>
      </c>
    </row>
    <row r="501" spans="1:10">
      <c r="A501" t="s">
        <v>2845</v>
      </c>
      <c r="B501" t="s">
        <v>1207</v>
      </c>
      <c r="C501" t="s">
        <v>2264</v>
      </c>
      <c r="D501" s="9">
        <v>46169</v>
      </c>
      <c r="E501" t="s">
        <v>2324</v>
      </c>
      <c r="F501" s="20">
        <v>25</v>
      </c>
      <c r="G501" t="s">
        <v>2331</v>
      </c>
      <c r="H501">
        <v>2500</v>
      </c>
      <c r="I501" s="16" t="str">
        <f t="shared" si="7"/>
        <v>Normal</v>
      </c>
      <c r="J501">
        <v>5</v>
      </c>
    </row>
    <row r="502" spans="1:10">
      <c r="A502" t="s">
        <v>2846</v>
      </c>
      <c r="B502" t="s">
        <v>2583</v>
      </c>
      <c r="C502" t="s">
        <v>2213</v>
      </c>
      <c r="D502" s="9">
        <v>45288</v>
      </c>
      <c r="E502" t="s">
        <v>2330</v>
      </c>
      <c r="F502" s="20">
        <v>100</v>
      </c>
      <c r="G502" t="s">
        <v>2345</v>
      </c>
      <c r="H502">
        <v>1500</v>
      </c>
      <c r="I502" s="16" t="str">
        <f t="shared" si="7"/>
        <v>Normal</v>
      </c>
      <c r="J502">
        <v>4</v>
      </c>
    </row>
    <row r="503" spans="1:10">
      <c r="A503" t="s">
        <v>2847</v>
      </c>
      <c r="B503" t="s">
        <v>2143</v>
      </c>
      <c r="C503" t="s">
        <v>2233</v>
      </c>
      <c r="D503" s="9">
        <v>46088</v>
      </c>
      <c r="E503" t="s">
        <v>23</v>
      </c>
      <c r="G503" t="s">
        <v>23</v>
      </c>
      <c r="H503">
        <v>1575.8</v>
      </c>
      <c r="I503" s="16" t="str">
        <f t="shared" si="7"/>
        <v>Normal</v>
      </c>
      <c r="J503">
        <v>1</v>
      </c>
    </row>
    <row r="504" spans="1:10">
      <c r="A504" t="s">
        <v>2848</v>
      </c>
      <c r="B504" t="s">
        <v>12</v>
      </c>
      <c r="C504" t="s">
        <v>2218</v>
      </c>
      <c r="D504" s="9">
        <v>45839</v>
      </c>
      <c r="E504" t="s">
        <v>2330</v>
      </c>
      <c r="G504" t="s">
        <v>2331</v>
      </c>
      <c r="H504">
        <v>1500</v>
      </c>
      <c r="I504" s="16" t="str">
        <f t="shared" si="7"/>
        <v>Normal</v>
      </c>
      <c r="J504">
        <v>5</v>
      </c>
    </row>
    <row r="505" spans="1:10">
      <c r="A505" t="s">
        <v>2849</v>
      </c>
      <c r="B505" t="s">
        <v>1880</v>
      </c>
      <c r="C505" t="s">
        <v>2237</v>
      </c>
      <c r="D505" s="9">
        <v>45577</v>
      </c>
      <c r="E505" t="s">
        <v>2330</v>
      </c>
      <c r="G505" t="s">
        <v>2325</v>
      </c>
      <c r="H505">
        <v>954.2</v>
      </c>
      <c r="I505" s="16" t="str">
        <f t="shared" si="7"/>
        <v>Normal</v>
      </c>
      <c r="J505">
        <v>2</v>
      </c>
    </row>
    <row r="506" spans="1:10">
      <c r="A506" t="s">
        <v>2850</v>
      </c>
      <c r="B506" t="s">
        <v>1288</v>
      </c>
      <c r="C506" t="s">
        <v>2218</v>
      </c>
      <c r="D506" s="9">
        <v>45207</v>
      </c>
      <c r="E506" t="s">
        <v>2330</v>
      </c>
      <c r="G506" t="s">
        <v>2339</v>
      </c>
      <c r="H506">
        <v>1500</v>
      </c>
      <c r="I506" s="16" t="str">
        <f t="shared" si="7"/>
        <v>Normal</v>
      </c>
      <c r="J506">
        <v>5</v>
      </c>
    </row>
    <row r="507" spans="1:10">
      <c r="A507" t="s">
        <v>2851</v>
      </c>
      <c r="B507" t="s">
        <v>1809</v>
      </c>
      <c r="C507" t="s">
        <v>2187</v>
      </c>
      <c r="D507" s="9">
        <v>45976</v>
      </c>
      <c r="E507" t="s">
        <v>23</v>
      </c>
      <c r="G507" t="s">
        <v>2331</v>
      </c>
      <c r="H507">
        <v>427.49</v>
      </c>
      <c r="I507" s="16" t="str">
        <f t="shared" si="7"/>
        <v>Normal</v>
      </c>
      <c r="J507">
        <v>5</v>
      </c>
    </row>
    <row r="508" spans="1:10">
      <c r="A508" t="s">
        <v>2852</v>
      </c>
      <c r="B508" t="s">
        <v>1610</v>
      </c>
      <c r="C508" t="s">
        <v>2253</v>
      </c>
      <c r="D508" s="9">
        <v>45650</v>
      </c>
      <c r="E508" t="s">
        <v>2324</v>
      </c>
      <c r="G508" t="s">
        <v>2339</v>
      </c>
      <c r="H508">
        <v>1200</v>
      </c>
      <c r="I508" s="16" t="str">
        <f t="shared" si="7"/>
        <v>Normal</v>
      </c>
      <c r="J508">
        <v>5</v>
      </c>
    </row>
    <row r="509" spans="1:10">
      <c r="A509" t="s">
        <v>2853</v>
      </c>
      <c r="B509" t="s">
        <v>748</v>
      </c>
      <c r="C509" t="s">
        <v>2261</v>
      </c>
      <c r="D509" s="9">
        <v>45790</v>
      </c>
      <c r="E509" t="s">
        <v>2330</v>
      </c>
      <c r="F509" s="20">
        <v>100</v>
      </c>
      <c r="G509" t="s">
        <v>2345</v>
      </c>
      <c r="I509" s="16" t="str">
        <f t="shared" si="7"/>
        <v>Unknown</v>
      </c>
      <c r="J509">
        <v>1</v>
      </c>
    </row>
    <row r="510" spans="1:10">
      <c r="A510" t="s">
        <v>2854</v>
      </c>
      <c r="B510" t="s">
        <v>1210</v>
      </c>
      <c r="C510" t="s">
        <v>2261</v>
      </c>
      <c r="D510" s="9">
        <v>45957</v>
      </c>
      <c r="E510" t="s">
        <v>23</v>
      </c>
      <c r="G510" t="s">
        <v>2325</v>
      </c>
      <c r="I510" s="16" t="str">
        <f t="shared" si="7"/>
        <v>Unknown</v>
      </c>
      <c r="J510" t="s">
        <v>39</v>
      </c>
    </row>
    <row r="511" spans="1:10">
      <c r="A511" t="s">
        <v>2855</v>
      </c>
      <c r="B511" t="s">
        <v>2108</v>
      </c>
      <c r="C511" t="s">
        <v>2253</v>
      </c>
      <c r="D511" s="9">
        <v>46021</v>
      </c>
      <c r="E511" t="s">
        <v>2324</v>
      </c>
      <c r="F511" s="20">
        <v>25</v>
      </c>
      <c r="G511" t="s">
        <v>2339</v>
      </c>
      <c r="H511">
        <v>1200</v>
      </c>
      <c r="I511" s="16" t="str">
        <f t="shared" si="7"/>
        <v>Normal</v>
      </c>
      <c r="J511">
        <v>1</v>
      </c>
    </row>
    <row r="512" spans="1:10">
      <c r="A512" t="s">
        <v>2856</v>
      </c>
      <c r="B512" t="s">
        <v>618</v>
      </c>
      <c r="C512" t="s">
        <v>2249</v>
      </c>
      <c r="D512" s="9">
        <v>45785</v>
      </c>
      <c r="E512" t="s">
        <v>2327</v>
      </c>
      <c r="F512" s="20">
        <v>15</v>
      </c>
      <c r="G512" t="s">
        <v>2328</v>
      </c>
      <c r="H512">
        <v>1500</v>
      </c>
      <c r="I512" s="16" t="str">
        <f t="shared" si="7"/>
        <v>Normal</v>
      </c>
      <c r="J512">
        <v>5</v>
      </c>
    </row>
    <row r="513" spans="1:10">
      <c r="A513" t="s">
        <v>2857</v>
      </c>
      <c r="B513" t="s">
        <v>1026</v>
      </c>
      <c r="C513" t="s">
        <v>2216</v>
      </c>
      <c r="D513" s="9">
        <v>45295</v>
      </c>
      <c r="E513" t="s">
        <v>23</v>
      </c>
      <c r="G513" t="s">
        <v>2345</v>
      </c>
      <c r="H513">
        <v>1200</v>
      </c>
      <c r="I513" s="16" t="str">
        <f t="shared" si="7"/>
        <v>Normal</v>
      </c>
      <c r="J513">
        <v>2</v>
      </c>
    </row>
    <row r="514" spans="1:10">
      <c r="A514" t="s">
        <v>2858</v>
      </c>
      <c r="B514" t="s">
        <v>1259</v>
      </c>
      <c r="C514" t="s">
        <v>2259</v>
      </c>
      <c r="D514" s="9">
        <v>45703</v>
      </c>
      <c r="E514" t="s">
        <v>2324</v>
      </c>
      <c r="F514" s="20">
        <v>55</v>
      </c>
      <c r="G514" t="s">
        <v>2328</v>
      </c>
      <c r="H514">
        <v>0</v>
      </c>
      <c r="I514" s="16" t="str">
        <f t="shared" si="7"/>
        <v>Zero Amount</v>
      </c>
      <c r="J514">
        <v>2</v>
      </c>
    </row>
    <row r="515" spans="1:10">
      <c r="A515" t="s">
        <v>2859</v>
      </c>
      <c r="B515" t="s">
        <v>1558</v>
      </c>
      <c r="C515" t="s">
        <v>2187</v>
      </c>
      <c r="D515" s="9">
        <v>46137</v>
      </c>
      <c r="E515" t="s">
        <v>2330</v>
      </c>
      <c r="F515" s="20">
        <v>100</v>
      </c>
      <c r="G515" t="s">
        <v>2339</v>
      </c>
      <c r="H515">
        <v>799</v>
      </c>
      <c r="I515" s="16" t="str">
        <f t="shared" ref="I515:I578" si="8">IF(H515="", "Unknown", IF(H515=0, "Zero Amount", IF(H515&lt;1, "Review", IF(H515&gt;1, "Normal"))))</f>
        <v>Normal</v>
      </c>
      <c r="J515">
        <v>4</v>
      </c>
    </row>
    <row r="516" spans="1:10">
      <c r="A516" t="s">
        <v>2860</v>
      </c>
      <c r="B516" t="s">
        <v>1700</v>
      </c>
      <c r="C516" t="s">
        <v>2261</v>
      </c>
      <c r="D516" s="9">
        <v>45321</v>
      </c>
      <c r="E516" t="s">
        <v>2330</v>
      </c>
      <c r="F516" s="20">
        <v>100</v>
      </c>
      <c r="G516" t="s">
        <v>2345</v>
      </c>
      <c r="I516" s="16" t="str">
        <f t="shared" si="8"/>
        <v>Unknown</v>
      </c>
      <c r="J516">
        <v>1</v>
      </c>
    </row>
    <row r="517" spans="1:10">
      <c r="A517" t="s">
        <v>2861</v>
      </c>
      <c r="B517" t="s">
        <v>1122</v>
      </c>
      <c r="C517" t="s">
        <v>2267</v>
      </c>
      <c r="D517" s="9">
        <v>44936</v>
      </c>
      <c r="E517" t="s">
        <v>2330</v>
      </c>
      <c r="F517" s="20">
        <v>100</v>
      </c>
      <c r="G517" t="s">
        <v>2328</v>
      </c>
      <c r="I517" s="16" t="str">
        <f t="shared" si="8"/>
        <v>Unknown</v>
      </c>
      <c r="J517">
        <v>3</v>
      </c>
    </row>
    <row r="518" spans="1:10">
      <c r="A518" t="s">
        <v>2862</v>
      </c>
      <c r="B518" t="s">
        <v>1233</v>
      </c>
      <c r="C518" t="s">
        <v>2244</v>
      </c>
      <c r="D518" s="9">
        <v>45577</v>
      </c>
      <c r="E518" t="s">
        <v>2330</v>
      </c>
      <c r="F518" s="20">
        <v>100</v>
      </c>
      <c r="G518" t="s">
        <v>23</v>
      </c>
      <c r="I518" s="16" t="str">
        <f t="shared" si="8"/>
        <v>Unknown</v>
      </c>
      <c r="J518">
        <v>1</v>
      </c>
    </row>
    <row r="519" spans="1:10">
      <c r="A519" t="s">
        <v>2863</v>
      </c>
      <c r="B519" t="s">
        <v>1043</v>
      </c>
      <c r="C519" t="s">
        <v>2202</v>
      </c>
      <c r="D519" s="9">
        <v>45787</v>
      </c>
      <c r="E519" t="s">
        <v>2330</v>
      </c>
      <c r="F519" s="20">
        <v>100</v>
      </c>
      <c r="G519" t="s">
        <v>23</v>
      </c>
      <c r="H519">
        <v>999.99</v>
      </c>
      <c r="I519" s="16" t="str">
        <f t="shared" si="8"/>
        <v>Normal</v>
      </c>
      <c r="J519" t="s">
        <v>39</v>
      </c>
    </row>
    <row r="520" spans="1:10">
      <c r="A520" t="s">
        <v>2864</v>
      </c>
      <c r="B520" t="s">
        <v>99</v>
      </c>
      <c r="C520" t="s">
        <v>2237</v>
      </c>
      <c r="D520" s="9">
        <v>45748</v>
      </c>
      <c r="E520" t="s">
        <v>2337</v>
      </c>
      <c r="F520" s="20">
        <v>20</v>
      </c>
      <c r="G520" t="s">
        <v>2328</v>
      </c>
      <c r="H520">
        <v>968.18</v>
      </c>
      <c r="I520" s="16" t="str">
        <f t="shared" si="8"/>
        <v>Normal</v>
      </c>
      <c r="J520">
        <v>1</v>
      </c>
    </row>
    <row r="521" spans="1:10">
      <c r="A521" t="s">
        <v>2865</v>
      </c>
      <c r="B521" t="s">
        <v>258</v>
      </c>
      <c r="C521" t="s">
        <v>2202</v>
      </c>
      <c r="D521" s="9">
        <v>45128</v>
      </c>
      <c r="E521" t="s">
        <v>2324</v>
      </c>
      <c r="F521" s="20">
        <v>40</v>
      </c>
      <c r="G521" t="s">
        <v>2345</v>
      </c>
      <c r="H521">
        <v>999.99</v>
      </c>
      <c r="I521" s="16" t="str">
        <f t="shared" si="8"/>
        <v>Normal</v>
      </c>
      <c r="J521">
        <v>5</v>
      </c>
    </row>
    <row r="522" spans="1:10">
      <c r="A522" t="s">
        <v>2866</v>
      </c>
      <c r="B522" t="s">
        <v>445</v>
      </c>
      <c r="C522" t="s">
        <v>2237</v>
      </c>
      <c r="D522" s="9">
        <v>45873</v>
      </c>
      <c r="E522" t="s">
        <v>2324</v>
      </c>
      <c r="F522" s="20">
        <v>40</v>
      </c>
      <c r="G522" t="s">
        <v>2339</v>
      </c>
      <c r="H522">
        <v>1500</v>
      </c>
      <c r="I522" s="16" t="str">
        <f t="shared" si="8"/>
        <v>Normal</v>
      </c>
      <c r="J522">
        <v>4</v>
      </c>
    </row>
    <row r="523" spans="1:10">
      <c r="A523" t="s">
        <v>2867</v>
      </c>
      <c r="B523" t="s">
        <v>1544</v>
      </c>
      <c r="C523" t="s">
        <v>2222</v>
      </c>
      <c r="D523" s="9">
        <v>46106</v>
      </c>
      <c r="E523" t="s">
        <v>2330</v>
      </c>
      <c r="F523" s="20">
        <v>100</v>
      </c>
      <c r="G523" t="s">
        <v>2325</v>
      </c>
      <c r="H523">
        <v>0</v>
      </c>
      <c r="I523" s="16" t="str">
        <f t="shared" si="8"/>
        <v>Zero Amount</v>
      </c>
      <c r="J523">
        <v>5</v>
      </c>
    </row>
    <row r="524" spans="1:10">
      <c r="A524" t="s">
        <v>2868</v>
      </c>
      <c r="B524" t="s">
        <v>1239</v>
      </c>
      <c r="C524" t="s">
        <v>2247</v>
      </c>
      <c r="D524" s="9">
        <v>45184</v>
      </c>
      <c r="E524" t="s">
        <v>2330</v>
      </c>
      <c r="G524" t="s">
        <v>2345</v>
      </c>
      <c r="I524" s="16" t="str">
        <f t="shared" si="8"/>
        <v>Unknown</v>
      </c>
      <c r="J524">
        <v>5</v>
      </c>
    </row>
    <row r="525" spans="1:10">
      <c r="A525" t="s">
        <v>2869</v>
      </c>
      <c r="B525" t="s">
        <v>121</v>
      </c>
      <c r="C525" t="s">
        <v>2205</v>
      </c>
      <c r="D525" s="9">
        <v>45517</v>
      </c>
      <c r="E525" t="s">
        <v>2324</v>
      </c>
      <c r="G525" t="s">
        <v>23</v>
      </c>
      <c r="H525">
        <v>1500</v>
      </c>
      <c r="I525" s="16" t="str">
        <f t="shared" si="8"/>
        <v>Normal</v>
      </c>
      <c r="J525">
        <v>3</v>
      </c>
    </row>
    <row r="526" spans="1:10">
      <c r="A526" t="s">
        <v>2870</v>
      </c>
      <c r="B526" t="s">
        <v>824</v>
      </c>
      <c r="C526" t="s">
        <v>2209</v>
      </c>
      <c r="D526" s="9">
        <v>45970</v>
      </c>
      <c r="E526" t="s">
        <v>23</v>
      </c>
      <c r="G526" t="s">
        <v>2331</v>
      </c>
      <c r="H526">
        <v>-499</v>
      </c>
      <c r="I526" s="16" t="str">
        <f t="shared" si="8"/>
        <v>Review</v>
      </c>
      <c r="J526">
        <v>1</v>
      </c>
    </row>
    <row r="527" spans="1:10">
      <c r="A527" t="s">
        <v>2871</v>
      </c>
      <c r="B527" t="s">
        <v>765</v>
      </c>
      <c r="C527" t="s">
        <v>2253</v>
      </c>
      <c r="D527" s="9">
        <v>45241</v>
      </c>
      <c r="E527" t="s">
        <v>2330</v>
      </c>
      <c r="G527" t="s">
        <v>2345</v>
      </c>
      <c r="H527">
        <v>1200</v>
      </c>
      <c r="I527" s="16" t="str">
        <f t="shared" si="8"/>
        <v>Normal</v>
      </c>
      <c r="J527">
        <v>2</v>
      </c>
    </row>
    <row r="528" spans="1:10">
      <c r="A528" t="s">
        <v>2872</v>
      </c>
      <c r="B528" t="s">
        <v>551</v>
      </c>
      <c r="C528" t="s">
        <v>2202</v>
      </c>
      <c r="D528" s="9">
        <v>45595</v>
      </c>
      <c r="E528" t="s">
        <v>2337</v>
      </c>
      <c r="F528" s="20">
        <v>20</v>
      </c>
      <c r="G528" t="s">
        <v>2345</v>
      </c>
      <c r="H528">
        <v>999.99</v>
      </c>
      <c r="I528" s="16" t="str">
        <f t="shared" si="8"/>
        <v>Normal</v>
      </c>
      <c r="J528">
        <v>4</v>
      </c>
    </row>
    <row r="529" spans="1:10">
      <c r="A529" t="s">
        <v>2873</v>
      </c>
      <c r="B529" t="s">
        <v>1960</v>
      </c>
      <c r="C529" t="s">
        <v>2193</v>
      </c>
      <c r="D529" s="9">
        <v>45790</v>
      </c>
      <c r="E529" t="s">
        <v>2324</v>
      </c>
      <c r="F529" s="20">
        <v>10</v>
      </c>
      <c r="G529" t="s">
        <v>2345</v>
      </c>
      <c r="H529">
        <v>0</v>
      </c>
      <c r="I529" s="16" t="str">
        <f t="shared" si="8"/>
        <v>Zero Amount</v>
      </c>
      <c r="J529">
        <v>4</v>
      </c>
    </row>
    <row r="530" spans="1:10">
      <c r="A530" t="s">
        <v>2874</v>
      </c>
      <c r="B530" t="s">
        <v>1870</v>
      </c>
      <c r="C530" t="s">
        <v>2269</v>
      </c>
      <c r="D530" s="9">
        <v>45490</v>
      </c>
      <c r="E530" t="s">
        <v>23</v>
      </c>
      <c r="G530" t="s">
        <v>2331</v>
      </c>
      <c r="H530">
        <v>499</v>
      </c>
      <c r="I530" s="16" t="str">
        <f t="shared" si="8"/>
        <v>Normal</v>
      </c>
      <c r="J530">
        <v>2</v>
      </c>
    </row>
    <row r="531" spans="1:10">
      <c r="A531" t="s">
        <v>2875</v>
      </c>
      <c r="B531" t="s">
        <v>316</v>
      </c>
      <c r="C531" t="s">
        <v>2247</v>
      </c>
      <c r="D531" s="9">
        <v>45360</v>
      </c>
      <c r="E531" t="s">
        <v>2324</v>
      </c>
      <c r="F531" s="20">
        <v>60</v>
      </c>
      <c r="G531" t="s">
        <v>2331</v>
      </c>
      <c r="I531" s="16" t="str">
        <f t="shared" si="8"/>
        <v>Unknown</v>
      </c>
      <c r="J531" t="s">
        <v>39</v>
      </c>
    </row>
    <row r="532" spans="1:10">
      <c r="A532" t="s">
        <v>2876</v>
      </c>
      <c r="B532" t="s">
        <v>2116</v>
      </c>
      <c r="C532" t="s">
        <v>2273</v>
      </c>
      <c r="D532" s="9">
        <v>46025</v>
      </c>
      <c r="E532" t="s">
        <v>2330</v>
      </c>
      <c r="F532" s="20">
        <v>100</v>
      </c>
      <c r="G532" t="s">
        <v>2328</v>
      </c>
      <c r="H532">
        <v>799</v>
      </c>
      <c r="I532" s="16" t="str">
        <f t="shared" si="8"/>
        <v>Normal</v>
      </c>
      <c r="J532" t="s">
        <v>39</v>
      </c>
    </row>
    <row r="533" spans="1:10">
      <c r="A533" t="s">
        <v>2877</v>
      </c>
      <c r="B533" t="s">
        <v>1054</v>
      </c>
      <c r="C533" t="s">
        <v>2235</v>
      </c>
      <c r="D533" s="9">
        <v>45601</v>
      </c>
      <c r="E533" t="s">
        <v>2327</v>
      </c>
      <c r="F533" s="20">
        <v>15</v>
      </c>
      <c r="G533" t="s">
        <v>2331</v>
      </c>
      <c r="H533">
        <v>-3000</v>
      </c>
      <c r="I533" s="16" t="str">
        <f t="shared" si="8"/>
        <v>Review</v>
      </c>
      <c r="J533" t="s">
        <v>39</v>
      </c>
    </row>
    <row r="534" spans="1:10">
      <c r="A534" t="s">
        <v>2878</v>
      </c>
      <c r="B534" t="s">
        <v>1689</v>
      </c>
      <c r="C534" t="s">
        <v>2241</v>
      </c>
      <c r="D534" s="9">
        <v>45684</v>
      </c>
      <c r="E534" t="s">
        <v>2337</v>
      </c>
      <c r="F534" s="20">
        <v>0</v>
      </c>
      <c r="G534" t="s">
        <v>2345</v>
      </c>
      <c r="H534">
        <v>2500</v>
      </c>
      <c r="I534" s="16" t="str">
        <f t="shared" si="8"/>
        <v>Normal</v>
      </c>
      <c r="J534">
        <v>4</v>
      </c>
    </row>
    <row r="535" spans="1:10">
      <c r="A535" t="s">
        <v>2879</v>
      </c>
      <c r="B535" t="s">
        <v>1456</v>
      </c>
      <c r="C535" t="s">
        <v>2187</v>
      </c>
      <c r="D535" s="9">
        <v>45366</v>
      </c>
      <c r="E535" t="s">
        <v>2330</v>
      </c>
      <c r="F535" s="20">
        <v>100</v>
      </c>
      <c r="G535" t="s">
        <v>2345</v>
      </c>
      <c r="H535">
        <v>799</v>
      </c>
      <c r="I535" s="16" t="str">
        <f t="shared" si="8"/>
        <v>Normal</v>
      </c>
      <c r="J535">
        <v>3</v>
      </c>
    </row>
    <row r="536" spans="1:10">
      <c r="A536" t="s">
        <v>2880</v>
      </c>
      <c r="B536" t="s">
        <v>857</v>
      </c>
      <c r="C536" t="s">
        <v>2247</v>
      </c>
      <c r="D536" s="9">
        <v>45952</v>
      </c>
      <c r="E536" t="s">
        <v>2324</v>
      </c>
      <c r="F536" s="20">
        <v>60</v>
      </c>
      <c r="G536" t="s">
        <v>2325</v>
      </c>
      <c r="I536" s="16" t="str">
        <f t="shared" si="8"/>
        <v>Unknown</v>
      </c>
      <c r="J536">
        <v>5</v>
      </c>
    </row>
    <row r="537" spans="1:10">
      <c r="A537" t="s">
        <v>2881</v>
      </c>
      <c r="B537" t="s">
        <v>2119</v>
      </c>
      <c r="C537" t="s">
        <v>2273</v>
      </c>
      <c r="D537" s="9">
        <v>45959</v>
      </c>
      <c r="E537" t="s">
        <v>2327</v>
      </c>
      <c r="F537" s="20">
        <v>5</v>
      </c>
      <c r="G537" t="s">
        <v>2339</v>
      </c>
      <c r="H537">
        <v>799</v>
      </c>
      <c r="I537" s="16" t="str">
        <f t="shared" si="8"/>
        <v>Normal</v>
      </c>
      <c r="J537" t="s">
        <v>39</v>
      </c>
    </row>
    <row r="538" spans="1:10">
      <c r="A538" t="s">
        <v>2882</v>
      </c>
      <c r="B538" t="s">
        <v>408</v>
      </c>
      <c r="C538" t="s">
        <v>2187</v>
      </c>
      <c r="D538" s="9">
        <v>45942</v>
      </c>
      <c r="E538" t="s">
        <v>2330</v>
      </c>
      <c r="F538" s="20">
        <v>100</v>
      </c>
      <c r="G538" t="s">
        <v>2331</v>
      </c>
      <c r="H538">
        <v>799</v>
      </c>
      <c r="I538" s="16" t="str">
        <f t="shared" si="8"/>
        <v>Normal</v>
      </c>
      <c r="J538" t="s">
        <v>39</v>
      </c>
    </row>
    <row r="539" spans="1:10">
      <c r="A539" t="s">
        <v>2883</v>
      </c>
      <c r="B539" t="s">
        <v>1239</v>
      </c>
      <c r="C539" t="s">
        <v>2269</v>
      </c>
      <c r="D539" s="9">
        <v>45997</v>
      </c>
      <c r="E539" t="s">
        <v>2330</v>
      </c>
      <c r="F539" s="20">
        <v>100</v>
      </c>
      <c r="G539" t="s">
        <v>2339</v>
      </c>
      <c r="H539">
        <v>499</v>
      </c>
      <c r="I539" s="16" t="str">
        <f t="shared" si="8"/>
        <v>Normal</v>
      </c>
      <c r="J539">
        <v>1</v>
      </c>
    </row>
    <row r="540" spans="1:10">
      <c r="A540" t="s">
        <v>2884</v>
      </c>
      <c r="B540" t="s">
        <v>1582</v>
      </c>
      <c r="C540" t="s">
        <v>2218</v>
      </c>
      <c r="D540" s="9">
        <v>45399</v>
      </c>
      <c r="E540" t="s">
        <v>2330</v>
      </c>
      <c r="F540" s="20">
        <v>100</v>
      </c>
      <c r="G540" t="s">
        <v>23</v>
      </c>
      <c r="H540">
        <v>1500</v>
      </c>
      <c r="I540" s="16" t="str">
        <f t="shared" si="8"/>
        <v>Normal</v>
      </c>
      <c r="J540">
        <v>3</v>
      </c>
    </row>
    <row r="541" spans="1:10">
      <c r="A541" t="s">
        <v>2885</v>
      </c>
      <c r="B541" t="s">
        <v>491</v>
      </c>
      <c r="C541" t="s">
        <v>2267</v>
      </c>
      <c r="D541" s="9">
        <v>46299</v>
      </c>
      <c r="E541" t="s">
        <v>2330</v>
      </c>
      <c r="F541" s="20">
        <v>100</v>
      </c>
      <c r="G541" t="s">
        <v>2325</v>
      </c>
      <c r="H541">
        <v>999.99</v>
      </c>
      <c r="I541" s="16" t="str">
        <f t="shared" si="8"/>
        <v>Normal</v>
      </c>
      <c r="J541">
        <v>5</v>
      </c>
    </row>
    <row r="542" spans="1:10">
      <c r="A542" t="s">
        <v>2886</v>
      </c>
      <c r="B542" t="s">
        <v>1425</v>
      </c>
      <c r="C542" t="s">
        <v>2193</v>
      </c>
      <c r="D542" s="9">
        <v>45874</v>
      </c>
      <c r="E542" t="s">
        <v>23</v>
      </c>
      <c r="G542" t="s">
        <v>2328</v>
      </c>
      <c r="H542">
        <v>0</v>
      </c>
      <c r="I542" s="16" t="str">
        <f t="shared" si="8"/>
        <v>Zero Amount</v>
      </c>
      <c r="J542">
        <v>4</v>
      </c>
    </row>
    <row r="543" spans="1:10">
      <c r="A543" t="s">
        <v>2887</v>
      </c>
      <c r="B543" t="s">
        <v>729</v>
      </c>
      <c r="C543" t="s">
        <v>2267</v>
      </c>
      <c r="D543" s="9">
        <v>45797</v>
      </c>
      <c r="E543" t="s">
        <v>2324</v>
      </c>
      <c r="F543" s="20">
        <v>25</v>
      </c>
      <c r="G543" t="s">
        <v>2331</v>
      </c>
      <c r="H543">
        <v>665.52</v>
      </c>
      <c r="I543" s="16" t="str">
        <f t="shared" si="8"/>
        <v>Normal</v>
      </c>
      <c r="J543">
        <v>5</v>
      </c>
    </row>
    <row r="544" spans="1:10">
      <c r="A544" t="s">
        <v>2888</v>
      </c>
      <c r="B544" t="s">
        <v>637</v>
      </c>
      <c r="C544" t="s">
        <v>2261</v>
      </c>
      <c r="D544" s="9">
        <v>45732</v>
      </c>
      <c r="E544" t="s">
        <v>2324</v>
      </c>
      <c r="F544" s="20">
        <v>55</v>
      </c>
      <c r="G544" t="s">
        <v>2331</v>
      </c>
      <c r="I544" s="16" t="str">
        <f t="shared" si="8"/>
        <v>Unknown</v>
      </c>
      <c r="J544">
        <v>4</v>
      </c>
    </row>
    <row r="545" spans="1:10">
      <c r="A545" t="s">
        <v>2889</v>
      </c>
      <c r="B545" t="s">
        <v>1552</v>
      </c>
      <c r="C545" t="s">
        <v>2213</v>
      </c>
      <c r="D545" s="9">
        <v>45211</v>
      </c>
      <c r="E545" t="s">
        <v>2324</v>
      </c>
      <c r="G545" t="s">
        <v>2345</v>
      </c>
      <c r="H545">
        <v>1500</v>
      </c>
      <c r="I545" s="16" t="str">
        <f t="shared" si="8"/>
        <v>Normal</v>
      </c>
      <c r="J545">
        <v>5</v>
      </c>
    </row>
    <row r="546" spans="1:10">
      <c r="A546" t="s">
        <v>2890</v>
      </c>
      <c r="B546" t="s">
        <v>1884</v>
      </c>
      <c r="C546" t="s">
        <v>2202</v>
      </c>
      <c r="D546" s="9">
        <v>45423</v>
      </c>
      <c r="E546" t="s">
        <v>2330</v>
      </c>
      <c r="F546" s="20">
        <v>100</v>
      </c>
      <c r="G546" t="s">
        <v>2328</v>
      </c>
      <c r="H546">
        <v>999.99</v>
      </c>
      <c r="I546" s="16" t="str">
        <f t="shared" si="8"/>
        <v>Normal</v>
      </c>
      <c r="J546" t="s">
        <v>39</v>
      </c>
    </row>
    <row r="547" spans="1:10">
      <c r="A547" t="s">
        <v>2891</v>
      </c>
      <c r="B547" t="s">
        <v>1492</v>
      </c>
      <c r="C547" t="s">
        <v>2269</v>
      </c>
      <c r="D547" s="9">
        <v>45751</v>
      </c>
      <c r="E547" t="s">
        <v>2324</v>
      </c>
      <c r="F547" s="20">
        <v>40</v>
      </c>
      <c r="G547" t="s">
        <v>2328</v>
      </c>
      <c r="H547">
        <v>499</v>
      </c>
      <c r="I547" s="16" t="str">
        <f t="shared" si="8"/>
        <v>Normal</v>
      </c>
      <c r="J547">
        <v>2</v>
      </c>
    </row>
    <row r="548" spans="1:10">
      <c r="A548" t="s">
        <v>2892</v>
      </c>
      <c r="B548" t="s">
        <v>1143</v>
      </c>
      <c r="C548" t="s">
        <v>2216</v>
      </c>
      <c r="D548" s="9">
        <v>45215</v>
      </c>
      <c r="E548" t="s">
        <v>2324</v>
      </c>
      <c r="F548" s="20">
        <v>75</v>
      </c>
      <c r="G548" t="s">
        <v>2345</v>
      </c>
      <c r="H548">
        <v>1200</v>
      </c>
      <c r="I548" s="16" t="str">
        <f t="shared" si="8"/>
        <v>Normal</v>
      </c>
      <c r="J548">
        <v>4</v>
      </c>
    </row>
    <row r="549" spans="1:10">
      <c r="A549" t="s">
        <v>2893</v>
      </c>
      <c r="B549" t="s">
        <v>1047</v>
      </c>
      <c r="C549" t="s">
        <v>2259</v>
      </c>
      <c r="D549" s="9">
        <v>45407</v>
      </c>
      <c r="E549" t="s">
        <v>2324</v>
      </c>
      <c r="F549" s="20">
        <v>10</v>
      </c>
      <c r="G549" t="s">
        <v>2339</v>
      </c>
      <c r="H549">
        <v>0</v>
      </c>
      <c r="I549" s="16" t="str">
        <f t="shared" si="8"/>
        <v>Zero Amount</v>
      </c>
      <c r="J549" t="s">
        <v>39</v>
      </c>
    </row>
    <row r="550" spans="1:10">
      <c r="A550" t="s">
        <v>2894</v>
      </c>
      <c r="B550" t="s">
        <v>2087</v>
      </c>
      <c r="C550" t="s">
        <v>2187</v>
      </c>
      <c r="D550" s="9">
        <v>46078</v>
      </c>
      <c r="E550" t="s">
        <v>2327</v>
      </c>
      <c r="F550" s="20">
        <v>5</v>
      </c>
      <c r="G550" t="s">
        <v>2345</v>
      </c>
      <c r="H550">
        <v>-799</v>
      </c>
      <c r="I550" s="16" t="str">
        <f t="shared" si="8"/>
        <v>Review</v>
      </c>
      <c r="J550">
        <v>5</v>
      </c>
    </row>
    <row r="551" spans="1:10">
      <c r="A551" t="s">
        <v>2895</v>
      </c>
      <c r="B551" t="s">
        <v>1233</v>
      </c>
      <c r="C551" t="s">
        <v>2264</v>
      </c>
      <c r="D551" s="9">
        <v>45199</v>
      </c>
      <c r="E551" t="s">
        <v>2330</v>
      </c>
      <c r="G551" t="s">
        <v>2339</v>
      </c>
      <c r="H551">
        <v>2500</v>
      </c>
      <c r="I551" s="16" t="str">
        <f t="shared" si="8"/>
        <v>Normal</v>
      </c>
      <c r="J551">
        <v>3</v>
      </c>
    </row>
    <row r="552" spans="1:10">
      <c r="A552" t="s">
        <v>2896</v>
      </c>
      <c r="B552" t="s">
        <v>1565</v>
      </c>
      <c r="C552" t="s">
        <v>2209</v>
      </c>
      <c r="D552" s="9">
        <v>45639</v>
      </c>
      <c r="E552" t="s">
        <v>2327</v>
      </c>
      <c r="F552" s="20">
        <v>5</v>
      </c>
      <c r="G552" t="s">
        <v>2331</v>
      </c>
      <c r="H552">
        <v>499</v>
      </c>
      <c r="I552" s="16" t="str">
        <f t="shared" si="8"/>
        <v>Normal</v>
      </c>
      <c r="J552">
        <v>3</v>
      </c>
    </row>
    <row r="553" spans="1:10">
      <c r="A553" t="s">
        <v>2897</v>
      </c>
      <c r="B553" t="s">
        <v>637</v>
      </c>
      <c r="C553" t="s">
        <v>2187</v>
      </c>
      <c r="D553" s="9">
        <v>45494</v>
      </c>
      <c r="E553" t="s">
        <v>2330</v>
      </c>
      <c r="F553" s="20">
        <v>100</v>
      </c>
      <c r="G553" t="s">
        <v>2331</v>
      </c>
      <c r="H553">
        <v>547.27</v>
      </c>
      <c r="I553" s="16" t="str">
        <f t="shared" si="8"/>
        <v>Normal</v>
      </c>
      <c r="J553">
        <v>2</v>
      </c>
    </row>
    <row r="554" spans="1:10">
      <c r="A554" t="s">
        <v>2898</v>
      </c>
      <c r="B554" t="s">
        <v>1011</v>
      </c>
      <c r="C554" t="s">
        <v>2249</v>
      </c>
      <c r="D554" s="9">
        <v>46016</v>
      </c>
      <c r="E554" t="s">
        <v>2330</v>
      </c>
      <c r="F554" s="20">
        <v>100</v>
      </c>
      <c r="G554" t="s">
        <v>23</v>
      </c>
      <c r="H554">
        <v>1500</v>
      </c>
      <c r="I554" s="16" t="str">
        <f t="shared" si="8"/>
        <v>Normal</v>
      </c>
      <c r="J554" t="s">
        <v>39</v>
      </c>
    </row>
    <row r="555" spans="1:10">
      <c r="A555" t="s">
        <v>2899</v>
      </c>
      <c r="B555" t="s">
        <v>174</v>
      </c>
      <c r="C555" t="s">
        <v>2259</v>
      </c>
      <c r="D555" s="9">
        <v>45526</v>
      </c>
      <c r="E555" t="s">
        <v>2337</v>
      </c>
      <c r="F555" s="20">
        <v>0</v>
      </c>
      <c r="G555" t="s">
        <v>2339</v>
      </c>
      <c r="H555">
        <v>0</v>
      </c>
      <c r="I555" s="16" t="str">
        <f t="shared" si="8"/>
        <v>Zero Amount</v>
      </c>
      <c r="J555">
        <v>5</v>
      </c>
    </row>
    <row r="556" spans="1:10">
      <c r="A556" t="s">
        <v>2900</v>
      </c>
      <c r="B556" t="s">
        <v>618</v>
      </c>
      <c r="C556" t="s">
        <v>2202</v>
      </c>
      <c r="D556" s="9">
        <v>45636</v>
      </c>
      <c r="E556" t="s">
        <v>2324</v>
      </c>
      <c r="F556" s="20">
        <v>25</v>
      </c>
      <c r="G556" t="s">
        <v>2331</v>
      </c>
      <c r="H556">
        <v>999.99</v>
      </c>
      <c r="I556" s="16" t="str">
        <f t="shared" si="8"/>
        <v>Normal</v>
      </c>
      <c r="J556" t="s">
        <v>39</v>
      </c>
    </row>
    <row r="557" spans="1:10">
      <c r="A557" t="s">
        <v>2901</v>
      </c>
      <c r="B557" t="s">
        <v>453</v>
      </c>
      <c r="C557" t="s">
        <v>2237</v>
      </c>
      <c r="D557" s="9">
        <v>45122</v>
      </c>
      <c r="E557" t="s">
        <v>2337</v>
      </c>
      <c r="G557" t="s">
        <v>2345</v>
      </c>
      <c r="H557">
        <v>1500</v>
      </c>
      <c r="I557" s="16" t="str">
        <f t="shared" si="8"/>
        <v>Normal</v>
      </c>
      <c r="J557">
        <v>5</v>
      </c>
    </row>
    <row r="558" spans="1:10">
      <c r="A558" t="s">
        <v>2902</v>
      </c>
      <c r="B558" t="s">
        <v>1181</v>
      </c>
      <c r="C558" t="s">
        <v>2237</v>
      </c>
      <c r="D558" s="9">
        <v>45178</v>
      </c>
      <c r="E558" t="s">
        <v>2330</v>
      </c>
      <c r="G558" t="s">
        <v>2331</v>
      </c>
      <c r="H558">
        <v>1500</v>
      </c>
      <c r="I558" s="16" t="str">
        <f t="shared" si="8"/>
        <v>Normal</v>
      </c>
      <c r="J558" t="s">
        <v>39</v>
      </c>
    </row>
    <row r="559" spans="1:10">
      <c r="A559" t="s">
        <v>2903</v>
      </c>
      <c r="B559" t="s">
        <v>390</v>
      </c>
      <c r="C559" t="s">
        <v>2237</v>
      </c>
      <c r="D559" s="9">
        <v>46208</v>
      </c>
      <c r="E559" t="s">
        <v>2330</v>
      </c>
      <c r="F559" s="20">
        <v>100</v>
      </c>
      <c r="G559" t="s">
        <v>2339</v>
      </c>
      <c r="H559">
        <v>1500</v>
      </c>
      <c r="I559" s="16" t="str">
        <f t="shared" si="8"/>
        <v>Normal</v>
      </c>
      <c r="J559" t="s">
        <v>39</v>
      </c>
    </row>
    <row r="560" spans="1:10">
      <c r="A560" t="s">
        <v>2904</v>
      </c>
      <c r="B560" t="s">
        <v>562</v>
      </c>
      <c r="C560" t="s">
        <v>2216</v>
      </c>
      <c r="D560" s="9">
        <v>45181</v>
      </c>
      <c r="E560" t="s">
        <v>2324</v>
      </c>
      <c r="F560" s="20">
        <v>75</v>
      </c>
      <c r="G560" t="s">
        <v>2345</v>
      </c>
      <c r="H560">
        <v>1200</v>
      </c>
      <c r="I560" s="16" t="str">
        <f t="shared" si="8"/>
        <v>Normal</v>
      </c>
      <c r="J560" t="s">
        <v>39</v>
      </c>
    </row>
    <row r="561" spans="1:10">
      <c r="A561" t="s">
        <v>2905</v>
      </c>
      <c r="B561" t="s">
        <v>422</v>
      </c>
      <c r="C561" t="s">
        <v>2216</v>
      </c>
      <c r="D561" s="9">
        <v>45851</v>
      </c>
      <c r="E561" t="s">
        <v>2330</v>
      </c>
      <c r="G561" t="s">
        <v>2345</v>
      </c>
      <c r="H561">
        <v>1200</v>
      </c>
      <c r="I561" s="16" t="str">
        <f t="shared" si="8"/>
        <v>Normal</v>
      </c>
      <c r="J561" t="s">
        <v>39</v>
      </c>
    </row>
    <row r="562" spans="1:10">
      <c r="A562" t="s">
        <v>2906</v>
      </c>
      <c r="B562" t="s">
        <v>1242</v>
      </c>
      <c r="C562" t="s">
        <v>2257</v>
      </c>
      <c r="D562" s="9">
        <v>45420</v>
      </c>
      <c r="E562" t="s">
        <v>2330</v>
      </c>
      <c r="G562" t="s">
        <v>2331</v>
      </c>
      <c r="I562" s="16" t="str">
        <f t="shared" si="8"/>
        <v>Unknown</v>
      </c>
      <c r="J562" t="s">
        <v>39</v>
      </c>
    </row>
    <row r="563" spans="1:10">
      <c r="A563" t="s">
        <v>2907</v>
      </c>
      <c r="B563" t="s">
        <v>570</v>
      </c>
      <c r="C563" t="s">
        <v>2247</v>
      </c>
      <c r="D563" s="9">
        <v>45441</v>
      </c>
      <c r="E563" t="s">
        <v>2330</v>
      </c>
      <c r="F563" s="20">
        <v>100</v>
      </c>
      <c r="G563" t="s">
        <v>2325</v>
      </c>
      <c r="I563" s="16" t="str">
        <f t="shared" si="8"/>
        <v>Unknown</v>
      </c>
      <c r="J563">
        <v>4</v>
      </c>
    </row>
    <row r="564" spans="1:10">
      <c r="A564" t="s">
        <v>2908</v>
      </c>
      <c r="B564" t="s">
        <v>707</v>
      </c>
      <c r="C564" t="s">
        <v>2187</v>
      </c>
      <c r="D564" s="9">
        <v>46093</v>
      </c>
      <c r="E564" t="s">
        <v>2330</v>
      </c>
      <c r="F564" s="20">
        <v>100</v>
      </c>
      <c r="G564" t="s">
        <v>2331</v>
      </c>
      <c r="H564">
        <v>799</v>
      </c>
      <c r="I564" s="16" t="str">
        <f t="shared" si="8"/>
        <v>Normal</v>
      </c>
      <c r="J564">
        <v>1</v>
      </c>
    </row>
    <row r="565" spans="1:10">
      <c r="A565" t="s">
        <v>2909</v>
      </c>
      <c r="B565" t="s">
        <v>71</v>
      </c>
      <c r="C565" t="s">
        <v>2247</v>
      </c>
      <c r="D565" s="9">
        <v>45984</v>
      </c>
      <c r="E565" t="s">
        <v>23</v>
      </c>
      <c r="G565" t="s">
        <v>2328</v>
      </c>
      <c r="I565" s="16" t="str">
        <f t="shared" si="8"/>
        <v>Unknown</v>
      </c>
      <c r="J565">
        <v>3</v>
      </c>
    </row>
    <row r="566" spans="1:10">
      <c r="A566" t="s">
        <v>2910</v>
      </c>
      <c r="B566" t="s">
        <v>1683</v>
      </c>
      <c r="C566" t="s">
        <v>2213</v>
      </c>
      <c r="D566" s="9">
        <v>45383</v>
      </c>
      <c r="E566" t="s">
        <v>2330</v>
      </c>
      <c r="G566" t="s">
        <v>2345</v>
      </c>
      <c r="H566">
        <v>1500</v>
      </c>
      <c r="I566" s="16" t="str">
        <f t="shared" si="8"/>
        <v>Normal</v>
      </c>
      <c r="J566">
        <v>5</v>
      </c>
    </row>
    <row r="567" spans="1:10">
      <c r="A567" t="s">
        <v>2911</v>
      </c>
      <c r="B567" t="s">
        <v>1904</v>
      </c>
      <c r="C567" t="s">
        <v>2273</v>
      </c>
      <c r="D567" s="9">
        <v>44964</v>
      </c>
      <c r="E567" t="s">
        <v>2324</v>
      </c>
      <c r="F567" s="20">
        <v>25</v>
      </c>
      <c r="G567" t="s">
        <v>23</v>
      </c>
      <c r="H567">
        <v>-799</v>
      </c>
      <c r="I567" s="16" t="str">
        <f t="shared" si="8"/>
        <v>Review</v>
      </c>
      <c r="J567">
        <v>2</v>
      </c>
    </row>
    <row r="568" spans="1:10">
      <c r="A568" t="s">
        <v>2912</v>
      </c>
      <c r="B568" t="s">
        <v>2034</v>
      </c>
      <c r="C568" t="s">
        <v>2235</v>
      </c>
      <c r="D568" s="9">
        <v>45293</v>
      </c>
      <c r="E568" t="s">
        <v>2324</v>
      </c>
      <c r="F568" s="20">
        <v>75</v>
      </c>
      <c r="G568" t="s">
        <v>2345</v>
      </c>
      <c r="H568">
        <v>3000</v>
      </c>
      <c r="I568" s="16" t="str">
        <f t="shared" si="8"/>
        <v>Normal</v>
      </c>
      <c r="J568">
        <v>3</v>
      </c>
    </row>
    <row r="569" spans="1:10">
      <c r="A569" t="s">
        <v>2913</v>
      </c>
      <c r="B569" t="s">
        <v>270</v>
      </c>
      <c r="C569" t="s">
        <v>2264</v>
      </c>
      <c r="D569" s="9">
        <v>45719</v>
      </c>
      <c r="E569" t="s">
        <v>2337</v>
      </c>
      <c r="F569" s="20">
        <v>0</v>
      </c>
      <c r="G569" t="s">
        <v>2325</v>
      </c>
      <c r="H569">
        <v>2500</v>
      </c>
      <c r="I569" s="16" t="str">
        <f t="shared" si="8"/>
        <v>Normal</v>
      </c>
      <c r="J569">
        <v>5</v>
      </c>
    </row>
    <row r="570" spans="1:10">
      <c r="A570" t="s">
        <v>2914</v>
      </c>
      <c r="B570" t="s">
        <v>1702</v>
      </c>
      <c r="C570" t="s">
        <v>2267</v>
      </c>
      <c r="D570" s="9">
        <v>45762</v>
      </c>
      <c r="E570" t="s">
        <v>2324</v>
      </c>
      <c r="F570" s="20">
        <v>60</v>
      </c>
      <c r="G570" t="s">
        <v>2331</v>
      </c>
      <c r="H570">
        <v>999.99</v>
      </c>
      <c r="I570" s="16" t="str">
        <f t="shared" si="8"/>
        <v>Normal</v>
      </c>
      <c r="J570">
        <v>2</v>
      </c>
    </row>
    <row r="571" spans="1:10">
      <c r="A571" t="s">
        <v>2915</v>
      </c>
      <c r="B571" t="s">
        <v>1165</v>
      </c>
      <c r="C571" t="s">
        <v>2235</v>
      </c>
      <c r="D571" s="9">
        <v>45132</v>
      </c>
      <c r="E571" t="s">
        <v>2324</v>
      </c>
      <c r="G571" t="s">
        <v>2325</v>
      </c>
      <c r="H571">
        <v>-3000</v>
      </c>
      <c r="I571" s="16" t="str">
        <f t="shared" si="8"/>
        <v>Review</v>
      </c>
      <c r="J571">
        <v>5</v>
      </c>
    </row>
    <row r="572" spans="1:10">
      <c r="A572" t="s">
        <v>2916</v>
      </c>
      <c r="B572" t="s">
        <v>558</v>
      </c>
      <c r="C572" t="s">
        <v>2267</v>
      </c>
      <c r="D572" s="9">
        <v>46167</v>
      </c>
      <c r="E572" t="s">
        <v>2330</v>
      </c>
      <c r="F572" s="20">
        <v>100</v>
      </c>
      <c r="G572" t="s">
        <v>2331</v>
      </c>
      <c r="H572">
        <v>999.99</v>
      </c>
      <c r="I572" s="16" t="str">
        <f t="shared" si="8"/>
        <v>Normal</v>
      </c>
      <c r="J572" t="s">
        <v>39</v>
      </c>
    </row>
    <row r="573" spans="1:10">
      <c r="A573" t="s">
        <v>2917</v>
      </c>
      <c r="B573" t="s">
        <v>1948</v>
      </c>
      <c r="C573" t="s">
        <v>2249</v>
      </c>
      <c r="D573" s="9">
        <v>46187</v>
      </c>
      <c r="E573" t="s">
        <v>2330</v>
      </c>
      <c r="F573" s="20">
        <v>100</v>
      </c>
      <c r="G573" t="s">
        <v>2325</v>
      </c>
      <c r="H573">
        <v>1500</v>
      </c>
      <c r="I573" s="16" t="str">
        <f t="shared" si="8"/>
        <v>Normal</v>
      </c>
      <c r="J573">
        <v>5</v>
      </c>
    </row>
    <row r="574" spans="1:10">
      <c r="A574" t="s">
        <v>2918</v>
      </c>
      <c r="B574" t="s">
        <v>1967</v>
      </c>
      <c r="C574" t="s">
        <v>2209</v>
      </c>
      <c r="D574" s="9">
        <v>45334</v>
      </c>
      <c r="E574" t="s">
        <v>2327</v>
      </c>
      <c r="F574" s="20">
        <v>0</v>
      </c>
      <c r="G574" t="s">
        <v>2325</v>
      </c>
      <c r="H574">
        <v>499</v>
      </c>
      <c r="I574" s="16" t="str">
        <f t="shared" si="8"/>
        <v>Normal</v>
      </c>
      <c r="J574" t="s">
        <v>39</v>
      </c>
    </row>
    <row r="575" spans="1:10">
      <c r="A575" t="s">
        <v>2919</v>
      </c>
      <c r="B575" t="s">
        <v>597</v>
      </c>
      <c r="C575" t="s">
        <v>2244</v>
      </c>
      <c r="D575" s="9">
        <v>45770</v>
      </c>
      <c r="E575" t="s">
        <v>2337</v>
      </c>
      <c r="F575" s="20">
        <v>5</v>
      </c>
      <c r="G575" t="s">
        <v>2328</v>
      </c>
      <c r="H575">
        <v>1200</v>
      </c>
      <c r="I575" s="16" t="str">
        <f t="shared" si="8"/>
        <v>Normal</v>
      </c>
      <c r="J575">
        <v>2</v>
      </c>
    </row>
    <row r="576" spans="1:10">
      <c r="A576" t="s">
        <v>2920</v>
      </c>
      <c r="B576" t="s">
        <v>1129</v>
      </c>
      <c r="C576" t="s">
        <v>2231</v>
      </c>
      <c r="D576" s="9">
        <v>45696</v>
      </c>
      <c r="E576" t="s">
        <v>2337</v>
      </c>
      <c r="F576" s="20">
        <v>20</v>
      </c>
      <c r="G576" t="s">
        <v>2345</v>
      </c>
      <c r="H576">
        <v>3000</v>
      </c>
      <c r="I576" s="16" t="str">
        <f t="shared" si="8"/>
        <v>Normal</v>
      </c>
      <c r="J576">
        <v>5</v>
      </c>
    </row>
    <row r="577" spans="1:10">
      <c r="A577" t="s">
        <v>2921</v>
      </c>
      <c r="B577" t="s">
        <v>12</v>
      </c>
      <c r="C577" t="s">
        <v>2198</v>
      </c>
      <c r="D577" s="9">
        <v>45242</v>
      </c>
      <c r="E577" t="s">
        <v>2330</v>
      </c>
      <c r="G577" t="s">
        <v>2331</v>
      </c>
      <c r="I577" s="16" t="str">
        <f t="shared" si="8"/>
        <v>Unknown</v>
      </c>
      <c r="J577">
        <v>1</v>
      </c>
    </row>
    <row r="578" spans="1:10">
      <c r="A578" t="s">
        <v>2922</v>
      </c>
      <c r="B578" t="s">
        <v>258</v>
      </c>
      <c r="C578" t="s">
        <v>2261</v>
      </c>
      <c r="D578" s="9">
        <v>45939</v>
      </c>
      <c r="E578" t="s">
        <v>2327</v>
      </c>
      <c r="F578" s="20">
        <v>5</v>
      </c>
      <c r="G578" t="s">
        <v>2325</v>
      </c>
      <c r="I578" s="16" t="str">
        <f t="shared" si="8"/>
        <v>Unknown</v>
      </c>
      <c r="J578">
        <v>5</v>
      </c>
    </row>
    <row r="579" spans="1:10">
      <c r="A579" t="s">
        <v>2923</v>
      </c>
      <c r="B579" t="s">
        <v>1460</v>
      </c>
      <c r="C579" t="s">
        <v>2264</v>
      </c>
      <c r="D579" s="9">
        <v>46113</v>
      </c>
      <c r="E579" t="s">
        <v>2337</v>
      </c>
      <c r="F579" s="20">
        <v>20</v>
      </c>
      <c r="G579" t="s">
        <v>2331</v>
      </c>
      <c r="H579">
        <v>2500</v>
      </c>
      <c r="I579" s="16" t="str">
        <f t="shared" ref="I579:I642" si="9">IF(H579="", "Unknown", IF(H579=0, "Zero Amount", IF(H579&lt;1, "Review", IF(H579&gt;1, "Normal"))))</f>
        <v>Normal</v>
      </c>
      <c r="J579">
        <v>4</v>
      </c>
    </row>
    <row r="580" spans="1:10">
      <c r="A580" t="s">
        <v>2924</v>
      </c>
      <c r="B580" t="s">
        <v>299</v>
      </c>
      <c r="C580" t="s">
        <v>2216</v>
      </c>
      <c r="D580" s="9">
        <v>45309</v>
      </c>
      <c r="E580" t="s">
        <v>2327</v>
      </c>
      <c r="F580" s="20">
        <v>20</v>
      </c>
      <c r="G580" t="s">
        <v>2339</v>
      </c>
      <c r="H580">
        <v>1200</v>
      </c>
      <c r="I580" s="16" t="str">
        <f t="shared" si="9"/>
        <v>Normal</v>
      </c>
      <c r="J580" t="s">
        <v>39</v>
      </c>
    </row>
    <row r="581" spans="1:10">
      <c r="A581" t="s">
        <v>2925</v>
      </c>
      <c r="B581" t="s">
        <v>2528</v>
      </c>
      <c r="C581" t="s">
        <v>2235</v>
      </c>
      <c r="D581" s="9">
        <v>45130</v>
      </c>
      <c r="E581" t="s">
        <v>2330</v>
      </c>
      <c r="G581" t="s">
        <v>2331</v>
      </c>
      <c r="H581">
        <v>-3000</v>
      </c>
      <c r="I581" s="16" t="str">
        <f t="shared" si="9"/>
        <v>Review</v>
      </c>
      <c r="J581">
        <v>3</v>
      </c>
    </row>
    <row r="582" spans="1:10">
      <c r="A582" t="s">
        <v>2926</v>
      </c>
      <c r="B582" t="s">
        <v>1930</v>
      </c>
      <c r="C582" t="s">
        <v>2222</v>
      </c>
      <c r="D582" s="9">
        <v>45123</v>
      </c>
      <c r="E582" t="s">
        <v>2324</v>
      </c>
      <c r="G582" t="s">
        <v>23</v>
      </c>
      <c r="H582">
        <v>0</v>
      </c>
      <c r="I582" s="16" t="str">
        <f t="shared" si="9"/>
        <v>Zero Amount</v>
      </c>
      <c r="J582">
        <v>4</v>
      </c>
    </row>
    <row r="583" spans="1:10">
      <c r="A583" t="s">
        <v>2927</v>
      </c>
      <c r="B583" t="s">
        <v>1137</v>
      </c>
      <c r="C583" t="s">
        <v>2267</v>
      </c>
      <c r="D583" s="9">
        <v>45658</v>
      </c>
      <c r="E583" t="s">
        <v>23</v>
      </c>
      <c r="G583" t="s">
        <v>2331</v>
      </c>
      <c r="H583">
        <v>999.99</v>
      </c>
      <c r="I583" s="16" t="str">
        <f t="shared" si="9"/>
        <v>Normal</v>
      </c>
      <c r="J583" t="s">
        <v>39</v>
      </c>
    </row>
    <row r="584" spans="1:10">
      <c r="A584" t="s">
        <v>2928</v>
      </c>
      <c r="B584" t="s">
        <v>2929</v>
      </c>
      <c r="C584" t="s">
        <v>2193</v>
      </c>
      <c r="D584" s="9">
        <v>45028</v>
      </c>
      <c r="E584" t="s">
        <v>2330</v>
      </c>
      <c r="G584" t="s">
        <v>2328</v>
      </c>
      <c r="H584">
        <v>0</v>
      </c>
      <c r="I584" s="16" t="str">
        <f t="shared" si="9"/>
        <v>Zero Amount</v>
      </c>
      <c r="J584" t="s">
        <v>39</v>
      </c>
    </row>
    <row r="585" spans="1:10">
      <c r="A585" t="s">
        <v>2930</v>
      </c>
      <c r="B585" t="s">
        <v>2159</v>
      </c>
      <c r="C585" t="s">
        <v>2209</v>
      </c>
      <c r="D585" s="9">
        <v>46048</v>
      </c>
      <c r="E585" t="s">
        <v>23</v>
      </c>
      <c r="G585" t="s">
        <v>2331</v>
      </c>
      <c r="H585">
        <v>-499</v>
      </c>
      <c r="I585" s="16" t="str">
        <f t="shared" si="9"/>
        <v>Review</v>
      </c>
      <c r="J585">
        <v>2</v>
      </c>
    </row>
    <row r="586" spans="1:10">
      <c r="A586" t="s">
        <v>2931</v>
      </c>
      <c r="B586" t="s">
        <v>362</v>
      </c>
      <c r="C586" t="s">
        <v>2259</v>
      </c>
      <c r="D586" s="9">
        <v>45223</v>
      </c>
      <c r="E586" t="s">
        <v>2324</v>
      </c>
      <c r="F586" s="20">
        <v>25</v>
      </c>
      <c r="G586" t="s">
        <v>2328</v>
      </c>
      <c r="H586">
        <v>0</v>
      </c>
      <c r="I586" s="16" t="str">
        <f t="shared" si="9"/>
        <v>Zero Amount</v>
      </c>
      <c r="J586">
        <v>5</v>
      </c>
    </row>
    <row r="587" spans="1:10">
      <c r="A587" t="s">
        <v>2932</v>
      </c>
      <c r="B587" t="s">
        <v>1572</v>
      </c>
      <c r="C587" t="s">
        <v>2193</v>
      </c>
      <c r="D587" s="9">
        <v>45335</v>
      </c>
      <c r="E587" t="s">
        <v>2324</v>
      </c>
      <c r="G587" t="s">
        <v>2345</v>
      </c>
      <c r="H587">
        <v>0</v>
      </c>
      <c r="I587" s="16" t="str">
        <f t="shared" si="9"/>
        <v>Zero Amount</v>
      </c>
      <c r="J587">
        <v>2</v>
      </c>
    </row>
    <row r="588" spans="1:10">
      <c r="A588" t="s">
        <v>2933</v>
      </c>
      <c r="B588" t="s">
        <v>961</v>
      </c>
      <c r="C588" t="s">
        <v>2251</v>
      </c>
      <c r="D588" s="9">
        <v>45456</v>
      </c>
      <c r="E588" t="s">
        <v>2324</v>
      </c>
      <c r="F588" s="20">
        <v>55</v>
      </c>
      <c r="G588" t="s">
        <v>2331</v>
      </c>
      <c r="H588">
        <v>1500</v>
      </c>
      <c r="I588" s="16" t="str">
        <f t="shared" si="9"/>
        <v>Normal</v>
      </c>
      <c r="J588">
        <v>2</v>
      </c>
    </row>
    <row r="589" spans="1:10">
      <c r="A589" t="s">
        <v>2934</v>
      </c>
      <c r="B589" t="s">
        <v>80</v>
      </c>
      <c r="C589" t="s">
        <v>2202</v>
      </c>
      <c r="D589" s="9">
        <v>45338</v>
      </c>
      <c r="E589" t="s">
        <v>23</v>
      </c>
      <c r="G589" t="s">
        <v>2325</v>
      </c>
      <c r="H589">
        <v>999.99</v>
      </c>
      <c r="I589" s="16" t="str">
        <f t="shared" si="9"/>
        <v>Normal</v>
      </c>
      <c r="J589">
        <v>1</v>
      </c>
    </row>
    <row r="590" spans="1:10">
      <c r="A590" t="s">
        <v>2935</v>
      </c>
      <c r="B590" t="s">
        <v>34</v>
      </c>
      <c r="C590" t="s">
        <v>2233</v>
      </c>
      <c r="D590" s="9">
        <v>45895</v>
      </c>
      <c r="E590" t="s">
        <v>2330</v>
      </c>
      <c r="G590" t="s">
        <v>23</v>
      </c>
      <c r="H590">
        <v>2500</v>
      </c>
      <c r="I590" s="16" t="str">
        <f t="shared" si="9"/>
        <v>Normal</v>
      </c>
      <c r="J590" t="s">
        <v>39</v>
      </c>
    </row>
    <row r="591" spans="1:10">
      <c r="A591" t="s">
        <v>2936</v>
      </c>
      <c r="B591" t="s">
        <v>2073</v>
      </c>
      <c r="C591" t="s">
        <v>2249</v>
      </c>
      <c r="D591" s="9">
        <v>46128</v>
      </c>
      <c r="E591" t="s">
        <v>2337</v>
      </c>
      <c r="G591" t="s">
        <v>2328</v>
      </c>
      <c r="H591">
        <v>1500</v>
      </c>
      <c r="I591" s="16" t="str">
        <f t="shared" si="9"/>
        <v>Normal</v>
      </c>
      <c r="J591">
        <v>5</v>
      </c>
    </row>
    <row r="592" spans="1:10">
      <c r="A592" t="s">
        <v>2937</v>
      </c>
      <c r="B592" t="s">
        <v>203</v>
      </c>
      <c r="C592" t="s">
        <v>2249</v>
      </c>
      <c r="D592" s="9">
        <v>45391</v>
      </c>
      <c r="E592" t="s">
        <v>2324</v>
      </c>
      <c r="F592" s="20">
        <v>60</v>
      </c>
      <c r="G592" t="s">
        <v>2325</v>
      </c>
      <c r="H592">
        <v>1500</v>
      </c>
      <c r="I592" s="16" t="str">
        <f t="shared" si="9"/>
        <v>Normal</v>
      </c>
      <c r="J592" t="s">
        <v>39</v>
      </c>
    </row>
    <row r="593" spans="1:10">
      <c r="A593" t="s">
        <v>2938</v>
      </c>
      <c r="B593" t="s">
        <v>1357</v>
      </c>
      <c r="C593" t="s">
        <v>2247</v>
      </c>
      <c r="D593" s="9">
        <v>45625</v>
      </c>
      <c r="E593" t="s">
        <v>2337</v>
      </c>
      <c r="F593" s="20">
        <v>20</v>
      </c>
      <c r="G593" t="s">
        <v>23</v>
      </c>
      <c r="I593" s="16" t="str">
        <f t="shared" si="9"/>
        <v>Unknown</v>
      </c>
      <c r="J593" t="s">
        <v>39</v>
      </c>
    </row>
    <row r="594" spans="1:10">
      <c r="A594" t="s">
        <v>2939</v>
      </c>
      <c r="B594" t="s">
        <v>1711</v>
      </c>
      <c r="C594" t="s">
        <v>2247</v>
      </c>
      <c r="D594" s="9">
        <v>46142</v>
      </c>
      <c r="E594" t="s">
        <v>2330</v>
      </c>
      <c r="F594" s="20">
        <v>100</v>
      </c>
      <c r="G594" t="s">
        <v>2328</v>
      </c>
      <c r="I594" s="16" t="str">
        <f t="shared" si="9"/>
        <v>Unknown</v>
      </c>
      <c r="J594">
        <v>4</v>
      </c>
    </row>
    <row r="595" spans="1:10">
      <c r="A595" t="s">
        <v>2940</v>
      </c>
      <c r="B595" t="s">
        <v>137</v>
      </c>
      <c r="C595" t="s">
        <v>2213</v>
      </c>
      <c r="D595" s="9">
        <v>45480</v>
      </c>
      <c r="E595" t="s">
        <v>2327</v>
      </c>
      <c r="F595" s="20">
        <v>0</v>
      </c>
      <c r="G595" t="s">
        <v>2328</v>
      </c>
      <c r="I595" s="16" t="str">
        <f t="shared" si="9"/>
        <v>Unknown</v>
      </c>
      <c r="J595">
        <v>3</v>
      </c>
    </row>
    <row r="596" spans="1:10">
      <c r="A596" t="s">
        <v>2941</v>
      </c>
      <c r="B596" t="s">
        <v>150</v>
      </c>
      <c r="C596" t="s">
        <v>2259</v>
      </c>
      <c r="D596" s="9">
        <v>45702</v>
      </c>
      <c r="E596" t="s">
        <v>2330</v>
      </c>
      <c r="G596" t="s">
        <v>2331</v>
      </c>
      <c r="H596">
        <v>0</v>
      </c>
      <c r="I596" s="16" t="str">
        <f t="shared" si="9"/>
        <v>Zero Amount</v>
      </c>
      <c r="J596">
        <v>3</v>
      </c>
    </row>
    <row r="597" spans="1:10">
      <c r="A597" t="s">
        <v>2942</v>
      </c>
      <c r="B597" t="s">
        <v>1327</v>
      </c>
      <c r="C597" t="s">
        <v>2216</v>
      </c>
      <c r="D597" s="9">
        <v>45509</v>
      </c>
      <c r="E597" t="s">
        <v>23</v>
      </c>
      <c r="G597" t="s">
        <v>2345</v>
      </c>
      <c r="H597">
        <v>1200</v>
      </c>
      <c r="I597" s="16" t="str">
        <f t="shared" si="9"/>
        <v>Normal</v>
      </c>
      <c r="J597" t="s">
        <v>39</v>
      </c>
    </row>
    <row r="598" spans="1:10">
      <c r="A598" t="s">
        <v>2943</v>
      </c>
      <c r="B598" t="s">
        <v>630</v>
      </c>
      <c r="C598" t="s">
        <v>2213</v>
      </c>
      <c r="D598" s="9">
        <v>45914</v>
      </c>
      <c r="E598" t="s">
        <v>2324</v>
      </c>
      <c r="F598" s="20">
        <v>75</v>
      </c>
      <c r="G598" t="s">
        <v>2339</v>
      </c>
      <c r="H598">
        <v>958.3</v>
      </c>
      <c r="I598" s="16" t="str">
        <f t="shared" si="9"/>
        <v>Normal</v>
      </c>
      <c r="J598">
        <v>4</v>
      </c>
    </row>
    <row r="599" spans="1:10">
      <c r="A599" t="s">
        <v>2944</v>
      </c>
      <c r="B599" t="s">
        <v>1853</v>
      </c>
      <c r="C599" t="s">
        <v>2269</v>
      </c>
      <c r="D599" s="9">
        <v>45641</v>
      </c>
      <c r="E599" t="s">
        <v>2324</v>
      </c>
      <c r="F599" s="20">
        <v>40</v>
      </c>
      <c r="G599" t="s">
        <v>2325</v>
      </c>
      <c r="H599">
        <v>325.02999999999997</v>
      </c>
      <c r="I599" s="16" t="str">
        <f t="shared" si="9"/>
        <v>Normal</v>
      </c>
      <c r="J599">
        <v>4</v>
      </c>
    </row>
    <row r="600" spans="1:10">
      <c r="A600" t="s">
        <v>2945</v>
      </c>
      <c r="B600" t="s">
        <v>1200</v>
      </c>
      <c r="C600" t="s">
        <v>2267</v>
      </c>
      <c r="D600" s="9">
        <v>45689</v>
      </c>
      <c r="E600" t="s">
        <v>2324</v>
      </c>
      <c r="F600" s="20">
        <v>75</v>
      </c>
      <c r="G600" t="s">
        <v>2331</v>
      </c>
      <c r="H600">
        <v>999.99</v>
      </c>
      <c r="I600" s="16" t="str">
        <f t="shared" si="9"/>
        <v>Normal</v>
      </c>
      <c r="J600" t="s">
        <v>39</v>
      </c>
    </row>
    <row r="601" spans="1:10">
      <c r="A601" t="s">
        <v>2946</v>
      </c>
      <c r="B601" t="s">
        <v>1845</v>
      </c>
      <c r="C601" t="s">
        <v>2251</v>
      </c>
      <c r="D601" s="9">
        <v>45536</v>
      </c>
      <c r="E601" t="s">
        <v>2337</v>
      </c>
      <c r="F601" s="20">
        <v>5</v>
      </c>
      <c r="G601" t="s">
        <v>23</v>
      </c>
      <c r="H601">
        <v>1500</v>
      </c>
      <c r="I601" s="16" t="str">
        <f t="shared" si="9"/>
        <v>Normal</v>
      </c>
      <c r="J601">
        <v>2</v>
      </c>
    </row>
    <row r="602" spans="1:10">
      <c r="A602" t="s">
        <v>2947</v>
      </c>
      <c r="B602" t="s">
        <v>1323</v>
      </c>
      <c r="C602" t="s">
        <v>2225</v>
      </c>
      <c r="D602" s="9">
        <v>45309</v>
      </c>
      <c r="E602" t="s">
        <v>2324</v>
      </c>
      <c r="G602" t="s">
        <v>2331</v>
      </c>
      <c r="I602" s="16" t="str">
        <f t="shared" si="9"/>
        <v>Unknown</v>
      </c>
      <c r="J602" t="s">
        <v>39</v>
      </c>
    </row>
    <row r="603" spans="1:10">
      <c r="A603" t="s">
        <v>2948</v>
      </c>
      <c r="B603" t="s">
        <v>95</v>
      </c>
      <c r="C603" t="s">
        <v>2202</v>
      </c>
      <c r="D603" s="9">
        <v>45287</v>
      </c>
      <c r="E603" t="s">
        <v>2330</v>
      </c>
      <c r="G603" t="s">
        <v>2345</v>
      </c>
      <c r="H603">
        <v>740.86</v>
      </c>
      <c r="I603" s="16" t="str">
        <f t="shared" si="9"/>
        <v>Normal</v>
      </c>
      <c r="J603">
        <v>5</v>
      </c>
    </row>
    <row r="604" spans="1:10">
      <c r="A604" t="s">
        <v>2949</v>
      </c>
      <c r="B604" t="s">
        <v>2069</v>
      </c>
      <c r="C604" t="s">
        <v>2244</v>
      </c>
      <c r="D604" s="9">
        <v>45851</v>
      </c>
      <c r="E604" t="s">
        <v>2337</v>
      </c>
      <c r="G604" t="s">
        <v>2331</v>
      </c>
      <c r="H604">
        <v>768.19</v>
      </c>
      <c r="I604" s="16" t="str">
        <f t="shared" si="9"/>
        <v>Normal</v>
      </c>
      <c r="J604" t="s">
        <v>39</v>
      </c>
    </row>
    <row r="605" spans="1:10">
      <c r="A605" t="s">
        <v>2950</v>
      </c>
      <c r="B605" t="s">
        <v>896</v>
      </c>
      <c r="C605" t="s">
        <v>2273</v>
      </c>
      <c r="D605" s="9">
        <v>46070</v>
      </c>
      <c r="E605" t="s">
        <v>2337</v>
      </c>
      <c r="F605" s="20">
        <v>15</v>
      </c>
      <c r="G605" t="s">
        <v>2331</v>
      </c>
      <c r="H605">
        <v>799</v>
      </c>
      <c r="I605" s="16" t="str">
        <f t="shared" si="9"/>
        <v>Normal</v>
      </c>
      <c r="J605" t="s">
        <v>39</v>
      </c>
    </row>
    <row r="606" spans="1:10">
      <c r="A606" t="s">
        <v>2951</v>
      </c>
      <c r="B606" t="s">
        <v>1483</v>
      </c>
      <c r="C606" t="s">
        <v>2205</v>
      </c>
      <c r="D606" s="9">
        <v>45406</v>
      </c>
      <c r="E606" t="s">
        <v>2324</v>
      </c>
      <c r="G606" t="s">
        <v>2331</v>
      </c>
      <c r="H606">
        <v>1500</v>
      </c>
      <c r="I606" s="16" t="str">
        <f t="shared" si="9"/>
        <v>Normal</v>
      </c>
      <c r="J606">
        <v>2</v>
      </c>
    </row>
    <row r="607" spans="1:10">
      <c r="A607" t="s">
        <v>2952</v>
      </c>
      <c r="B607" t="s">
        <v>1225</v>
      </c>
      <c r="C607" t="s">
        <v>2216</v>
      </c>
      <c r="D607" s="9">
        <v>45528</v>
      </c>
      <c r="E607" t="s">
        <v>2330</v>
      </c>
      <c r="F607" s="20">
        <v>100</v>
      </c>
      <c r="G607" t="s">
        <v>2345</v>
      </c>
      <c r="H607">
        <v>1200</v>
      </c>
      <c r="I607" s="16" t="str">
        <f t="shared" si="9"/>
        <v>Normal</v>
      </c>
      <c r="J607">
        <v>1</v>
      </c>
    </row>
    <row r="608" spans="1:10">
      <c r="A608" t="s">
        <v>2953</v>
      </c>
      <c r="B608" t="s">
        <v>137</v>
      </c>
      <c r="C608" t="s">
        <v>2237</v>
      </c>
      <c r="D608" s="9">
        <v>45737</v>
      </c>
      <c r="E608" t="s">
        <v>2330</v>
      </c>
      <c r="F608" s="20">
        <v>100</v>
      </c>
      <c r="G608" t="s">
        <v>23</v>
      </c>
      <c r="H608">
        <v>1500</v>
      </c>
      <c r="I608" s="16" t="str">
        <f t="shared" si="9"/>
        <v>Normal</v>
      </c>
      <c r="J608">
        <v>1</v>
      </c>
    </row>
    <row r="609" spans="1:10">
      <c r="A609" t="s">
        <v>2954</v>
      </c>
      <c r="B609" t="s">
        <v>832</v>
      </c>
      <c r="C609" t="s">
        <v>2205</v>
      </c>
      <c r="D609" s="9">
        <v>45938</v>
      </c>
      <c r="E609" t="s">
        <v>2330</v>
      </c>
      <c r="G609" t="s">
        <v>23</v>
      </c>
      <c r="H609">
        <v>906.58</v>
      </c>
      <c r="I609" s="16" t="str">
        <f t="shared" si="9"/>
        <v>Normal</v>
      </c>
      <c r="J609">
        <v>1</v>
      </c>
    </row>
    <row r="610" spans="1:10">
      <c r="A610" t="s">
        <v>2955</v>
      </c>
      <c r="B610" t="s">
        <v>1635</v>
      </c>
      <c r="C610" t="s">
        <v>2233</v>
      </c>
      <c r="D610" s="9">
        <v>45439</v>
      </c>
      <c r="E610" t="s">
        <v>2330</v>
      </c>
      <c r="F610" s="20">
        <v>100</v>
      </c>
      <c r="G610" t="s">
        <v>2328</v>
      </c>
      <c r="H610">
        <v>-2500</v>
      </c>
      <c r="I610" s="16" t="str">
        <f t="shared" si="9"/>
        <v>Review</v>
      </c>
      <c r="J610">
        <v>4</v>
      </c>
    </row>
    <row r="611" spans="1:10">
      <c r="A611" t="s">
        <v>2956</v>
      </c>
      <c r="B611" t="s">
        <v>2122</v>
      </c>
      <c r="C611" t="s">
        <v>2271</v>
      </c>
      <c r="D611" s="9">
        <v>45849</v>
      </c>
      <c r="E611" t="s">
        <v>2330</v>
      </c>
      <c r="G611" t="s">
        <v>2345</v>
      </c>
      <c r="H611">
        <v>1200</v>
      </c>
      <c r="I611" s="16" t="str">
        <f t="shared" si="9"/>
        <v>Normal</v>
      </c>
      <c r="J611">
        <v>3</v>
      </c>
    </row>
    <row r="612" spans="1:10">
      <c r="A612" t="s">
        <v>2957</v>
      </c>
      <c r="B612" t="s">
        <v>1606</v>
      </c>
      <c r="C612" t="s">
        <v>2228</v>
      </c>
      <c r="D612" s="9">
        <v>46027</v>
      </c>
      <c r="E612" t="s">
        <v>2330</v>
      </c>
      <c r="F612" s="20">
        <v>100</v>
      </c>
      <c r="G612" t="s">
        <v>2331</v>
      </c>
      <c r="H612">
        <v>799</v>
      </c>
      <c r="I612" s="16" t="str">
        <f t="shared" si="9"/>
        <v>Normal</v>
      </c>
      <c r="J612">
        <v>3</v>
      </c>
    </row>
    <row r="613" spans="1:10">
      <c r="A613" t="s">
        <v>2958</v>
      </c>
      <c r="B613" t="s">
        <v>531</v>
      </c>
      <c r="C613" t="s">
        <v>2225</v>
      </c>
      <c r="D613" s="9">
        <v>45632</v>
      </c>
      <c r="E613" t="s">
        <v>2330</v>
      </c>
      <c r="F613" s="20">
        <v>100</v>
      </c>
      <c r="G613" t="s">
        <v>2331</v>
      </c>
      <c r="I613" s="16" t="str">
        <f t="shared" si="9"/>
        <v>Unknown</v>
      </c>
      <c r="J613">
        <v>5</v>
      </c>
    </row>
    <row r="614" spans="1:10">
      <c r="A614" t="s">
        <v>2959</v>
      </c>
      <c r="B614" t="s">
        <v>1880</v>
      </c>
      <c r="C614" t="s">
        <v>2257</v>
      </c>
      <c r="D614" s="9">
        <v>46358</v>
      </c>
      <c r="E614" t="s">
        <v>2324</v>
      </c>
      <c r="F614" s="20">
        <v>10</v>
      </c>
      <c r="G614" t="s">
        <v>2331</v>
      </c>
      <c r="I614" s="16" t="str">
        <f t="shared" si="9"/>
        <v>Unknown</v>
      </c>
      <c r="J614">
        <v>4</v>
      </c>
    </row>
    <row r="615" spans="1:10">
      <c r="A615" t="s">
        <v>2960</v>
      </c>
      <c r="B615" t="s">
        <v>2051</v>
      </c>
      <c r="C615" t="s">
        <v>2267</v>
      </c>
      <c r="D615" s="9">
        <v>45562</v>
      </c>
      <c r="E615" t="s">
        <v>23</v>
      </c>
      <c r="G615" t="s">
        <v>2345</v>
      </c>
      <c r="H615">
        <v>999.99</v>
      </c>
      <c r="I615" s="16" t="str">
        <f t="shared" si="9"/>
        <v>Normal</v>
      </c>
      <c r="J615">
        <v>2</v>
      </c>
    </row>
    <row r="616" spans="1:10">
      <c r="A616" t="s">
        <v>2961</v>
      </c>
      <c r="B616" t="s">
        <v>1711</v>
      </c>
      <c r="C616" t="s">
        <v>2249</v>
      </c>
      <c r="D616" s="9">
        <v>45916</v>
      </c>
      <c r="E616" t="s">
        <v>23</v>
      </c>
      <c r="G616" t="s">
        <v>2339</v>
      </c>
      <c r="H616">
        <v>1500</v>
      </c>
      <c r="I616" s="16" t="str">
        <f t="shared" si="9"/>
        <v>Normal</v>
      </c>
      <c r="J616">
        <v>4</v>
      </c>
    </row>
    <row r="617" spans="1:10">
      <c r="A617" t="s">
        <v>2962</v>
      </c>
      <c r="B617" t="s">
        <v>121</v>
      </c>
      <c r="C617" t="s">
        <v>2244</v>
      </c>
      <c r="D617" s="9">
        <v>45669</v>
      </c>
      <c r="E617" t="s">
        <v>2330</v>
      </c>
      <c r="F617" s="20">
        <v>100</v>
      </c>
      <c r="G617" t="s">
        <v>2339</v>
      </c>
      <c r="H617">
        <v>1200</v>
      </c>
      <c r="I617" s="16" t="str">
        <f t="shared" si="9"/>
        <v>Normal</v>
      </c>
      <c r="J617">
        <v>3</v>
      </c>
    </row>
    <row r="618" spans="1:10">
      <c r="A618" t="s">
        <v>2963</v>
      </c>
      <c r="B618" t="s">
        <v>274</v>
      </c>
      <c r="C618" t="s">
        <v>2253</v>
      </c>
      <c r="D618" s="9">
        <v>45721</v>
      </c>
      <c r="E618" t="s">
        <v>2324</v>
      </c>
      <c r="F618" s="20">
        <v>75</v>
      </c>
      <c r="G618" t="s">
        <v>2345</v>
      </c>
      <c r="H618">
        <v>1200</v>
      </c>
      <c r="I618" s="16" t="str">
        <f t="shared" si="9"/>
        <v>Normal</v>
      </c>
      <c r="J618">
        <v>2</v>
      </c>
    </row>
    <row r="619" spans="1:10">
      <c r="A619" t="s">
        <v>2964</v>
      </c>
      <c r="B619" t="s">
        <v>896</v>
      </c>
      <c r="C619" t="s">
        <v>2237</v>
      </c>
      <c r="D619" s="9">
        <v>45763</v>
      </c>
      <c r="E619" t="s">
        <v>2327</v>
      </c>
      <c r="F619" s="20">
        <v>20</v>
      </c>
      <c r="G619" t="s">
        <v>2345</v>
      </c>
      <c r="H619">
        <v>1113.82</v>
      </c>
      <c r="I619" s="16" t="str">
        <f t="shared" si="9"/>
        <v>Normal</v>
      </c>
      <c r="J619">
        <v>1</v>
      </c>
    </row>
    <row r="620" spans="1:10">
      <c r="A620" t="s">
        <v>2965</v>
      </c>
      <c r="B620" t="s">
        <v>1995</v>
      </c>
      <c r="C620" t="s">
        <v>2257</v>
      </c>
      <c r="D620" s="9">
        <v>45568</v>
      </c>
      <c r="E620" t="s">
        <v>2330</v>
      </c>
      <c r="G620" t="s">
        <v>2328</v>
      </c>
      <c r="I620" s="16" t="str">
        <f t="shared" si="9"/>
        <v>Unknown</v>
      </c>
      <c r="J620">
        <v>3</v>
      </c>
    </row>
    <row r="621" spans="1:10">
      <c r="A621" t="s">
        <v>2966</v>
      </c>
      <c r="B621" t="s">
        <v>566</v>
      </c>
      <c r="C621" t="s">
        <v>2261</v>
      </c>
      <c r="D621" s="9">
        <v>45719</v>
      </c>
      <c r="E621" t="s">
        <v>2324</v>
      </c>
      <c r="G621" t="s">
        <v>2345</v>
      </c>
      <c r="I621" s="16" t="str">
        <f t="shared" si="9"/>
        <v>Unknown</v>
      </c>
      <c r="J621" t="s">
        <v>39</v>
      </c>
    </row>
    <row r="622" spans="1:10">
      <c r="A622" t="s">
        <v>2967</v>
      </c>
      <c r="B622" t="s">
        <v>1347</v>
      </c>
      <c r="C622" t="s">
        <v>2247</v>
      </c>
      <c r="D622" s="9">
        <v>45507</v>
      </c>
      <c r="E622" t="s">
        <v>2324</v>
      </c>
      <c r="F622" s="20">
        <v>60</v>
      </c>
      <c r="G622" t="s">
        <v>2339</v>
      </c>
      <c r="I622" s="16" t="str">
        <f t="shared" si="9"/>
        <v>Unknown</v>
      </c>
      <c r="J622" t="s">
        <v>39</v>
      </c>
    </row>
    <row r="623" spans="1:10">
      <c r="A623" t="s">
        <v>2968</v>
      </c>
      <c r="B623" t="s">
        <v>751</v>
      </c>
      <c r="C623" t="s">
        <v>2216</v>
      </c>
      <c r="D623" s="9">
        <v>45791</v>
      </c>
      <c r="E623" t="s">
        <v>2327</v>
      </c>
      <c r="F623" s="20">
        <v>5</v>
      </c>
      <c r="G623" t="s">
        <v>23</v>
      </c>
      <c r="H623">
        <v>1200</v>
      </c>
      <c r="I623" s="16" t="str">
        <f t="shared" si="9"/>
        <v>Normal</v>
      </c>
      <c r="J623" t="s">
        <v>39</v>
      </c>
    </row>
    <row r="624" spans="1:10">
      <c r="A624" t="s">
        <v>2969</v>
      </c>
      <c r="B624" t="s">
        <v>477</v>
      </c>
      <c r="C624" t="s">
        <v>2225</v>
      </c>
      <c r="D624" s="9">
        <v>45168</v>
      </c>
      <c r="E624" t="s">
        <v>2324</v>
      </c>
      <c r="F624" s="20">
        <v>55</v>
      </c>
      <c r="G624" t="s">
        <v>2328</v>
      </c>
      <c r="I624" s="16" t="str">
        <f t="shared" si="9"/>
        <v>Unknown</v>
      </c>
      <c r="J624">
        <v>4</v>
      </c>
    </row>
    <row r="625" spans="1:10">
      <c r="A625" t="s">
        <v>2970</v>
      </c>
      <c r="B625" t="s">
        <v>1520</v>
      </c>
      <c r="C625" t="s">
        <v>2231</v>
      </c>
      <c r="D625" s="9">
        <v>45281</v>
      </c>
      <c r="E625" t="s">
        <v>23</v>
      </c>
      <c r="G625" t="s">
        <v>2339</v>
      </c>
      <c r="H625">
        <v>3000</v>
      </c>
      <c r="I625" s="16" t="str">
        <f t="shared" si="9"/>
        <v>Normal</v>
      </c>
      <c r="J625" t="s">
        <v>39</v>
      </c>
    </row>
    <row r="626" spans="1:10">
      <c r="A626" t="s">
        <v>2971</v>
      </c>
      <c r="B626" t="s">
        <v>390</v>
      </c>
      <c r="C626" t="s">
        <v>2222</v>
      </c>
      <c r="D626" s="9">
        <v>45135</v>
      </c>
      <c r="E626" t="s">
        <v>2327</v>
      </c>
      <c r="F626" s="20">
        <v>20</v>
      </c>
      <c r="G626" t="s">
        <v>2339</v>
      </c>
      <c r="H626">
        <v>0</v>
      </c>
      <c r="I626" s="16" t="str">
        <f t="shared" si="9"/>
        <v>Zero Amount</v>
      </c>
      <c r="J626">
        <v>2</v>
      </c>
    </row>
    <row r="627" spans="1:10">
      <c r="A627" t="s">
        <v>2972</v>
      </c>
      <c r="B627" t="s">
        <v>993</v>
      </c>
      <c r="C627" t="s">
        <v>2231</v>
      </c>
      <c r="D627" s="9">
        <v>45658</v>
      </c>
      <c r="E627" t="s">
        <v>2330</v>
      </c>
      <c r="F627" s="20">
        <v>100</v>
      </c>
      <c r="G627" t="s">
        <v>2331</v>
      </c>
      <c r="I627" s="16" t="str">
        <f t="shared" si="9"/>
        <v>Unknown</v>
      </c>
      <c r="J627">
        <v>3</v>
      </c>
    </row>
    <row r="628" spans="1:10">
      <c r="A628" t="s">
        <v>2973</v>
      </c>
      <c r="B628" t="s">
        <v>1282</v>
      </c>
      <c r="C628" t="s">
        <v>2235</v>
      </c>
      <c r="D628" s="9">
        <v>45741</v>
      </c>
      <c r="E628" t="s">
        <v>2330</v>
      </c>
      <c r="G628" t="s">
        <v>2345</v>
      </c>
      <c r="H628">
        <v>3000</v>
      </c>
      <c r="I628" s="16" t="str">
        <f t="shared" si="9"/>
        <v>Normal</v>
      </c>
      <c r="J628" t="s">
        <v>39</v>
      </c>
    </row>
    <row r="629" spans="1:10">
      <c r="A629" t="s">
        <v>2974</v>
      </c>
      <c r="B629" t="s">
        <v>2975</v>
      </c>
      <c r="C629" t="s">
        <v>2193</v>
      </c>
      <c r="D629" s="9">
        <v>45419</v>
      </c>
      <c r="E629" t="s">
        <v>2324</v>
      </c>
      <c r="F629" s="20">
        <v>10</v>
      </c>
      <c r="G629" t="s">
        <v>2345</v>
      </c>
      <c r="H629">
        <v>0</v>
      </c>
      <c r="I629" s="16" t="str">
        <f t="shared" si="9"/>
        <v>Zero Amount</v>
      </c>
      <c r="J629" t="s">
        <v>39</v>
      </c>
    </row>
    <row r="630" spans="1:10">
      <c r="A630" t="s">
        <v>2976</v>
      </c>
      <c r="B630" t="s">
        <v>40</v>
      </c>
      <c r="C630" t="s">
        <v>2225</v>
      </c>
      <c r="D630" s="9">
        <v>46004</v>
      </c>
      <c r="E630" t="s">
        <v>2330</v>
      </c>
      <c r="G630" t="s">
        <v>2331</v>
      </c>
      <c r="I630" s="16" t="str">
        <f t="shared" si="9"/>
        <v>Unknown</v>
      </c>
      <c r="J630" t="s">
        <v>39</v>
      </c>
    </row>
    <row r="631" spans="1:10">
      <c r="A631" t="s">
        <v>2977</v>
      </c>
      <c r="B631" t="s">
        <v>296</v>
      </c>
      <c r="C631" t="s">
        <v>2209</v>
      </c>
      <c r="D631" s="9">
        <v>45805</v>
      </c>
      <c r="E631" t="s">
        <v>23</v>
      </c>
      <c r="G631" t="s">
        <v>2331</v>
      </c>
      <c r="H631">
        <v>499</v>
      </c>
      <c r="I631" s="16" t="str">
        <f t="shared" si="9"/>
        <v>Normal</v>
      </c>
      <c r="J631" t="s">
        <v>39</v>
      </c>
    </row>
    <row r="632" spans="1:10">
      <c r="A632" t="s">
        <v>2978</v>
      </c>
      <c r="B632" t="s">
        <v>394</v>
      </c>
      <c r="C632" t="s">
        <v>2269</v>
      </c>
      <c r="D632" s="9">
        <v>46155</v>
      </c>
      <c r="E632" t="s">
        <v>2327</v>
      </c>
      <c r="G632" t="s">
        <v>23</v>
      </c>
      <c r="H632">
        <v>499</v>
      </c>
      <c r="I632" s="16" t="str">
        <f t="shared" si="9"/>
        <v>Normal</v>
      </c>
      <c r="J632">
        <v>3</v>
      </c>
    </row>
    <row r="633" spans="1:10">
      <c r="A633" t="s">
        <v>2979</v>
      </c>
      <c r="B633" t="s">
        <v>692</v>
      </c>
      <c r="C633" t="s">
        <v>2241</v>
      </c>
      <c r="D633" s="9">
        <v>45484</v>
      </c>
      <c r="E633" t="s">
        <v>23</v>
      </c>
      <c r="G633" t="s">
        <v>2331</v>
      </c>
      <c r="H633">
        <v>2500</v>
      </c>
      <c r="I633" s="16" t="str">
        <f t="shared" si="9"/>
        <v>Normal</v>
      </c>
      <c r="J633" t="s">
        <v>39</v>
      </c>
    </row>
    <row r="634" spans="1:10">
      <c r="A634" t="s">
        <v>2980</v>
      </c>
      <c r="B634" t="s">
        <v>1184</v>
      </c>
      <c r="C634" t="s">
        <v>2273</v>
      </c>
      <c r="D634" s="9">
        <v>45130</v>
      </c>
      <c r="E634" t="s">
        <v>2324</v>
      </c>
      <c r="F634" s="20">
        <v>40</v>
      </c>
      <c r="G634" t="s">
        <v>2339</v>
      </c>
      <c r="H634">
        <v>799</v>
      </c>
      <c r="I634" s="16" t="str">
        <f t="shared" si="9"/>
        <v>Normal</v>
      </c>
      <c r="J634" t="s">
        <v>39</v>
      </c>
    </row>
    <row r="635" spans="1:10">
      <c r="A635" t="s">
        <v>2981</v>
      </c>
      <c r="B635" t="s">
        <v>2401</v>
      </c>
      <c r="C635" t="s">
        <v>2237</v>
      </c>
      <c r="D635" s="9">
        <v>45295</v>
      </c>
      <c r="E635" t="s">
        <v>2327</v>
      </c>
      <c r="G635" t="s">
        <v>2328</v>
      </c>
      <c r="H635">
        <v>1500</v>
      </c>
      <c r="I635" s="16" t="str">
        <f t="shared" si="9"/>
        <v>Normal</v>
      </c>
      <c r="J635">
        <v>3</v>
      </c>
    </row>
    <row r="636" spans="1:10">
      <c r="A636" t="s">
        <v>2982</v>
      </c>
      <c r="B636" t="s">
        <v>1670</v>
      </c>
      <c r="C636" t="s">
        <v>2202</v>
      </c>
      <c r="D636" s="9">
        <v>45451</v>
      </c>
      <c r="E636" t="s">
        <v>2324</v>
      </c>
      <c r="F636" s="20">
        <v>40</v>
      </c>
      <c r="G636" t="s">
        <v>2325</v>
      </c>
      <c r="H636">
        <v>999.99</v>
      </c>
      <c r="I636" s="16" t="str">
        <f t="shared" si="9"/>
        <v>Normal</v>
      </c>
      <c r="J636">
        <v>1</v>
      </c>
    </row>
    <row r="637" spans="1:10">
      <c r="A637" t="s">
        <v>2983</v>
      </c>
      <c r="B637" t="s">
        <v>1820</v>
      </c>
      <c r="C637" t="s">
        <v>2213</v>
      </c>
      <c r="D637" s="9">
        <v>45727</v>
      </c>
      <c r="E637" t="s">
        <v>2330</v>
      </c>
      <c r="F637" s="20">
        <v>100</v>
      </c>
      <c r="G637" t="s">
        <v>23</v>
      </c>
      <c r="H637">
        <v>1044.51</v>
      </c>
      <c r="I637" s="16" t="str">
        <f t="shared" si="9"/>
        <v>Normal</v>
      </c>
      <c r="J637">
        <v>3</v>
      </c>
    </row>
    <row r="638" spans="1:10">
      <c r="A638" t="s">
        <v>2984</v>
      </c>
      <c r="B638" t="s">
        <v>34</v>
      </c>
      <c r="C638" t="s">
        <v>2202</v>
      </c>
      <c r="D638" s="9">
        <v>45490</v>
      </c>
      <c r="E638" t="s">
        <v>2324</v>
      </c>
      <c r="F638" s="20">
        <v>75</v>
      </c>
      <c r="G638" t="s">
        <v>2328</v>
      </c>
      <c r="H638">
        <v>999.99</v>
      </c>
      <c r="I638" s="16" t="str">
        <f t="shared" si="9"/>
        <v>Normal</v>
      </c>
      <c r="J638">
        <v>3</v>
      </c>
    </row>
    <row r="639" spans="1:10">
      <c r="A639" t="s">
        <v>2985</v>
      </c>
      <c r="B639" t="s">
        <v>2024</v>
      </c>
      <c r="C639" t="s">
        <v>2251</v>
      </c>
      <c r="D639" s="9">
        <v>45177</v>
      </c>
      <c r="E639" t="s">
        <v>2330</v>
      </c>
      <c r="G639" t="s">
        <v>2325</v>
      </c>
      <c r="H639">
        <v>1500</v>
      </c>
      <c r="I639" s="16" t="str">
        <f t="shared" si="9"/>
        <v>Normal</v>
      </c>
      <c r="J639">
        <v>3</v>
      </c>
    </row>
    <row r="640" spans="1:10">
      <c r="A640" t="s">
        <v>2986</v>
      </c>
      <c r="B640" t="s">
        <v>1114</v>
      </c>
      <c r="C640" t="s">
        <v>2251</v>
      </c>
      <c r="D640" s="9">
        <v>45936</v>
      </c>
      <c r="E640" t="s">
        <v>2337</v>
      </c>
      <c r="F640" s="20">
        <v>20</v>
      </c>
      <c r="G640" t="s">
        <v>2345</v>
      </c>
      <c r="H640">
        <v>1500</v>
      </c>
      <c r="I640" s="16" t="str">
        <f t="shared" si="9"/>
        <v>Normal</v>
      </c>
      <c r="J640">
        <v>4</v>
      </c>
    </row>
    <row r="641" spans="1:10">
      <c r="A641" t="s">
        <v>2987</v>
      </c>
      <c r="B641" t="s">
        <v>1823</v>
      </c>
      <c r="C641" t="s">
        <v>2202</v>
      </c>
      <c r="D641" s="9">
        <v>45299</v>
      </c>
      <c r="E641" t="s">
        <v>23</v>
      </c>
      <c r="G641" t="s">
        <v>23</v>
      </c>
      <c r="H641">
        <v>999.99</v>
      </c>
      <c r="I641" s="16" t="str">
        <f t="shared" si="9"/>
        <v>Normal</v>
      </c>
      <c r="J641">
        <v>4</v>
      </c>
    </row>
    <row r="642" spans="1:10">
      <c r="A642" t="s">
        <v>2988</v>
      </c>
      <c r="B642" t="s">
        <v>1095</v>
      </c>
      <c r="C642" t="s">
        <v>2261</v>
      </c>
      <c r="D642" s="9">
        <v>45952</v>
      </c>
      <c r="E642" t="s">
        <v>2330</v>
      </c>
      <c r="F642" s="20">
        <v>100</v>
      </c>
      <c r="G642" t="s">
        <v>2325</v>
      </c>
      <c r="I642" s="16" t="str">
        <f t="shared" si="9"/>
        <v>Unknown</v>
      </c>
      <c r="J642">
        <v>5</v>
      </c>
    </row>
    <row r="643" spans="1:10">
      <c r="A643" t="s">
        <v>2989</v>
      </c>
      <c r="B643" t="s">
        <v>366</v>
      </c>
      <c r="C643" t="s">
        <v>2222</v>
      </c>
      <c r="D643" s="9">
        <v>45232</v>
      </c>
      <c r="E643" t="s">
        <v>2327</v>
      </c>
      <c r="F643" s="20">
        <v>15</v>
      </c>
      <c r="G643" t="s">
        <v>2345</v>
      </c>
      <c r="H643">
        <v>0</v>
      </c>
      <c r="I643" s="16" t="str">
        <f t="shared" ref="I643:I706" si="10">IF(H643="", "Unknown", IF(H643=0, "Zero Amount", IF(H643&lt;1, "Review", IF(H643&gt;1, "Normal"))))</f>
        <v>Zero Amount</v>
      </c>
      <c r="J643" t="s">
        <v>39</v>
      </c>
    </row>
    <row r="644" spans="1:10">
      <c r="A644" t="s">
        <v>2990</v>
      </c>
      <c r="B644" t="s">
        <v>1153</v>
      </c>
      <c r="C644" t="s">
        <v>2231</v>
      </c>
      <c r="D644" s="9">
        <v>45447</v>
      </c>
      <c r="E644" t="s">
        <v>2324</v>
      </c>
      <c r="F644" s="20">
        <v>60</v>
      </c>
      <c r="G644" t="s">
        <v>2328</v>
      </c>
      <c r="H644">
        <v>3000</v>
      </c>
      <c r="I644" s="16" t="str">
        <f t="shared" si="10"/>
        <v>Normal</v>
      </c>
      <c r="J644" t="s">
        <v>39</v>
      </c>
    </row>
    <row r="645" spans="1:10">
      <c r="A645" t="s">
        <v>2991</v>
      </c>
      <c r="B645" t="s">
        <v>1884</v>
      </c>
      <c r="C645" t="s">
        <v>2241</v>
      </c>
      <c r="D645" s="9">
        <v>45109</v>
      </c>
      <c r="E645" t="s">
        <v>2324</v>
      </c>
      <c r="F645" s="20">
        <v>75</v>
      </c>
      <c r="G645" t="s">
        <v>2331</v>
      </c>
      <c r="H645">
        <v>2500</v>
      </c>
      <c r="I645" s="16" t="str">
        <f t="shared" si="10"/>
        <v>Normal</v>
      </c>
      <c r="J645" t="s">
        <v>39</v>
      </c>
    </row>
    <row r="646" spans="1:10">
      <c r="A646" t="s">
        <v>2992</v>
      </c>
      <c r="B646" t="s">
        <v>1702</v>
      </c>
      <c r="C646" t="s">
        <v>2209</v>
      </c>
      <c r="D646" s="9">
        <v>45458</v>
      </c>
      <c r="E646" t="s">
        <v>2324</v>
      </c>
      <c r="F646" s="20">
        <v>10</v>
      </c>
      <c r="G646" t="s">
        <v>2345</v>
      </c>
      <c r="H646">
        <v>499</v>
      </c>
      <c r="I646" s="16" t="str">
        <f t="shared" si="10"/>
        <v>Normal</v>
      </c>
      <c r="J646">
        <v>1</v>
      </c>
    </row>
    <row r="647" spans="1:10">
      <c r="A647" t="s">
        <v>2993</v>
      </c>
      <c r="B647" t="s">
        <v>213</v>
      </c>
      <c r="C647" t="s">
        <v>2273</v>
      </c>
      <c r="D647" s="9">
        <v>45637</v>
      </c>
      <c r="E647" t="s">
        <v>2330</v>
      </c>
      <c r="F647" s="20">
        <v>100</v>
      </c>
      <c r="G647" t="s">
        <v>2345</v>
      </c>
      <c r="I647" s="16" t="str">
        <f t="shared" si="10"/>
        <v>Unknown</v>
      </c>
      <c r="J647" t="s">
        <v>39</v>
      </c>
    </row>
    <row r="648" spans="1:10">
      <c r="A648" t="s">
        <v>2994</v>
      </c>
      <c r="B648" t="s">
        <v>922</v>
      </c>
      <c r="C648" t="s">
        <v>2253</v>
      </c>
      <c r="D648" s="9">
        <v>45880</v>
      </c>
      <c r="E648" t="s">
        <v>2327</v>
      </c>
      <c r="F648" s="20">
        <v>20</v>
      </c>
      <c r="G648" t="s">
        <v>2328</v>
      </c>
      <c r="H648">
        <v>1200</v>
      </c>
      <c r="I648" s="16" t="str">
        <f t="shared" si="10"/>
        <v>Normal</v>
      </c>
      <c r="J648">
        <v>1</v>
      </c>
    </row>
    <row r="649" spans="1:10">
      <c r="A649" t="s">
        <v>2995</v>
      </c>
      <c r="B649" t="s">
        <v>209</v>
      </c>
      <c r="C649" t="s">
        <v>2205</v>
      </c>
      <c r="D649" s="9">
        <v>46083</v>
      </c>
      <c r="E649" t="s">
        <v>2330</v>
      </c>
      <c r="F649" s="20">
        <v>100</v>
      </c>
      <c r="G649" t="s">
        <v>2328</v>
      </c>
      <c r="H649">
        <v>1500</v>
      </c>
      <c r="I649" s="16" t="str">
        <f t="shared" si="10"/>
        <v>Normal</v>
      </c>
      <c r="J649">
        <v>4</v>
      </c>
    </row>
    <row r="650" spans="1:10">
      <c r="A650" t="s">
        <v>2996</v>
      </c>
      <c r="B650" t="s">
        <v>2108</v>
      </c>
      <c r="C650" t="s">
        <v>2257</v>
      </c>
      <c r="D650" s="9">
        <v>45713</v>
      </c>
      <c r="E650" t="s">
        <v>2330</v>
      </c>
      <c r="G650" t="s">
        <v>2345</v>
      </c>
      <c r="I650" s="16" t="str">
        <f t="shared" si="10"/>
        <v>Unknown</v>
      </c>
      <c r="J650">
        <v>1</v>
      </c>
    </row>
    <row r="651" spans="1:10">
      <c r="A651" t="s">
        <v>2997</v>
      </c>
      <c r="B651" t="s">
        <v>1528</v>
      </c>
      <c r="C651" t="s">
        <v>2257</v>
      </c>
      <c r="D651" s="9">
        <v>45520</v>
      </c>
      <c r="E651" t="s">
        <v>2337</v>
      </c>
      <c r="F651" s="20">
        <v>20</v>
      </c>
      <c r="G651" t="s">
        <v>2325</v>
      </c>
      <c r="I651" s="16" t="str">
        <f t="shared" si="10"/>
        <v>Unknown</v>
      </c>
      <c r="J651">
        <v>4</v>
      </c>
    </row>
    <row r="652" spans="1:10">
      <c r="A652" t="s">
        <v>2998</v>
      </c>
      <c r="B652" t="s">
        <v>1809</v>
      </c>
      <c r="C652" t="s">
        <v>2218</v>
      </c>
      <c r="D652" s="9">
        <v>45757</v>
      </c>
      <c r="E652" t="s">
        <v>2330</v>
      </c>
      <c r="F652" s="20">
        <v>100</v>
      </c>
      <c r="G652" t="s">
        <v>23</v>
      </c>
      <c r="H652">
        <v>1500</v>
      </c>
      <c r="I652" s="16" t="str">
        <f t="shared" si="10"/>
        <v>Normal</v>
      </c>
      <c r="J652">
        <v>4</v>
      </c>
    </row>
    <row r="653" spans="1:10">
      <c r="A653" t="s">
        <v>2999</v>
      </c>
      <c r="B653" t="s">
        <v>510</v>
      </c>
      <c r="C653" t="s">
        <v>2253</v>
      </c>
      <c r="D653" s="9">
        <v>45675</v>
      </c>
      <c r="E653" t="s">
        <v>2330</v>
      </c>
      <c r="F653" s="20">
        <v>100</v>
      </c>
      <c r="G653" t="s">
        <v>2331</v>
      </c>
      <c r="H653">
        <v>1200</v>
      </c>
      <c r="I653" s="16" t="str">
        <f t="shared" si="10"/>
        <v>Normal</v>
      </c>
      <c r="J653" t="s">
        <v>39</v>
      </c>
    </row>
    <row r="654" spans="1:10">
      <c r="A654" t="s">
        <v>3000</v>
      </c>
      <c r="B654" t="s">
        <v>622</v>
      </c>
      <c r="C654" t="s">
        <v>2271</v>
      </c>
      <c r="D654" s="9">
        <v>45240</v>
      </c>
      <c r="E654" t="s">
        <v>2324</v>
      </c>
      <c r="F654" s="20">
        <v>25</v>
      </c>
      <c r="G654" t="s">
        <v>2345</v>
      </c>
      <c r="H654">
        <v>1200</v>
      </c>
      <c r="I654" s="16" t="str">
        <f t="shared" si="10"/>
        <v>Normal</v>
      </c>
      <c r="J654">
        <v>5</v>
      </c>
    </row>
    <row r="655" spans="1:10">
      <c r="A655" t="s">
        <v>3001</v>
      </c>
      <c r="B655" t="s">
        <v>1486</v>
      </c>
      <c r="C655" t="s">
        <v>2222</v>
      </c>
      <c r="D655" s="9">
        <v>45402</v>
      </c>
      <c r="E655" t="s">
        <v>2330</v>
      </c>
      <c r="G655" t="s">
        <v>2345</v>
      </c>
      <c r="H655">
        <v>0</v>
      </c>
      <c r="I655" s="16" t="str">
        <f t="shared" si="10"/>
        <v>Zero Amount</v>
      </c>
      <c r="J655">
        <v>2</v>
      </c>
    </row>
    <row r="656" spans="1:10">
      <c r="A656" t="s">
        <v>3002</v>
      </c>
      <c r="B656" t="s">
        <v>438</v>
      </c>
      <c r="C656" t="s">
        <v>2261</v>
      </c>
      <c r="D656" s="9">
        <v>45764</v>
      </c>
      <c r="E656" t="s">
        <v>2337</v>
      </c>
      <c r="F656" s="20">
        <v>5</v>
      </c>
      <c r="G656" t="s">
        <v>23</v>
      </c>
      <c r="I656" s="16" t="str">
        <f t="shared" si="10"/>
        <v>Unknown</v>
      </c>
      <c r="J656" t="s">
        <v>39</v>
      </c>
    </row>
    <row r="657" spans="1:10">
      <c r="A657" t="s">
        <v>3003</v>
      </c>
      <c r="B657" t="s">
        <v>772</v>
      </c>
      <c r="C657" t="s">
        <v>2205</v>
      </c>
      <c r="D657" s="9">
        <v>46066</v>
      </c>
      <c r="E657" t="s">
        <v>2330</v>
      </c>
      <c r="F657" s="20">
        <v>100</v>
      </c>
      <c r="G657" t="s">
        <v>2331</v>
      </c>
      <c r="H657">
        <v>1500</v>
      </c>
      <c r="I657" s="16" t="str">
        <f t="shared" si="10"/>
        <v>Normal</v>
      </c>
      <c r="J657">
        <v>5</v>
      </c>
    </row>
    <row r="658" spans="1:10">
      <c r="A658" t="s">
        <v>3004</v>
      </c>
      <c r="B658" t="s">
        <v>878</v>
      </c>
      <c r="C658" t="s">
        <v>2193</v>
      </c>
      <c r="D658" s="9">
        <v>46040</v>
      </c>
      <c r="E658" t="s">
        <v>2327</v>
      </c>
      <c r="F658" s="20">
        <v>0</v>
      </c>
      <c r="G658" t="s">
        <v>2331</v>
      </c>
      <c r="H658">
        <v>0</v>
      </c>
      <c r="I658" s="16" t="str">
        <f t="shared" si="10"/>
        <v>Zero Amount</v>
      </c>
      <c r="J658" t="s">
        <v>39</v>
      </c>
    </row>
    <row r="659" spans="1:10">
      <c r="A659" t="s">
        <v>3005</v>
      </c>
      <c r="B659" t="s">
        <v>3006</v>
      </c>
      <c r="C659" t="s">
        <v>2259</v>
      </c>
      <c r="D659" s="9">
        <v>45180</v>
      </c>
      <c r="E659" t="s">
        <v>23</v>
      </c>
      <c r="G659" t="s">
        <v>2325</v>
      </c>
      <c r="H659">
        <v>0</v>
      </c>
      <c r="I659" s="16" t="str">
        <f t="shared" si="10"/>
        <v>Zero Amount</v>
      </c>
      <c r="J659">
        <v>4</v>
      </c>
    </row>
    <row r="660" spans="1:10">
      <c r="A660" t="s">
        <v>3007</v>
      </c>
      <c r="B660" t="s">
        <v>3008</v>
      </c>
      <c r="C660" t="s">
        <v>2259</v>
      </c>
      <c r="D660" s="9">
        <v>46076</v>
      </c>
      <c r="E660" t="s">
        <v>2330</v>
      </c>
      <c r="F660" s="20">
        <v>100</v>
      </c>
      <c r="G660" t="s">
        <v>2339</v>
      </c>
      <c r="H660">
        <v>0</v>
      </c>
      <c r="I660" s="16" t="str">
        <f t="shared" si="10"/>
        <v>Zero Amount</v>
      </c>
      <c r="J660">
        <v>4</v>
      </c>
    </row>
    <row r="661" spans="1:10">
      <c r="A661" t="s">
        <v>3009</v>
      </c>
      <c r="B661" t="s">
        <v>1288</v>
      </c>
      <c r="C661" t="s">
        <v>2269</v>
      </c>
      <c r="D661" s="9">
        <v>45560</v>
      </c>
      <c r="E661" t="s">
        <v>2327</v>
      </c>
      <c r="F661" s="20">
        <v>15</v>
      </c>
      <c r="G661" t="s">
        <v>2345</v>
      </c>
      <c r="H661">
        <v>-499</v>
      </c>
      <c r="I661" s="16" t="str">
        <f t="shared" si="10"/>
        <v>Review</v>
      </c>
      <c r="J661">
        <v>5</v>
      </c>
    </row>
    <row r="662" spans="1:10">
      <c r="A662" t="s">
        <v>3010</v>
      </c>
      <c r="B662" t="s">
        <v>1460</v>
      </c>
      <c r="C662" t="s">
        <v>2231</v>
      </c>
      <c r="D662" s="9">
        <v>45926</v>
      </c>
      <c r="E662" t="s">
        <v>2330</v>
      </c>
      <c r="G662" t="s">
        <v>2339</v>
      </c>
      <c r="H662">
        <v>3000</v>
      </c>
      <c r="I662" s="16" t="str">
        <f t="shared" si="10"/>
        <v>Normal</v>
      </c>
      <c r="J662">
        <v>5</v>
      </c>
    </row>
    <row r="663" spans="1:10">
      <c r="A663" t="s">
        <v>3011</v>
      </c>
      <c r="B663" t="s">
        <v>751</v>
      </c>
      <c r="C663" t="s">
        <v>2225</v>
      </c>
      <c r="D663" s="9">
        <v>45446</v>
      </c>
      <c r="E663" t="s">
        <v>23</v>
      </c>
      <c r="G663" t="s">
        <v>2331</v>
      </c>
      <c r="I663" s="16" t="str">
        <f t="shared" si="10"/>
        <v>Unknown</v>
      </c>
      <c r="J663" t="s">
        <v>39</v>
      </c>
    </row>
    <row r="664" spans="1:10">
      <c r="A664" t="s">
        <v>3012</v>
      </c>
      <c r="B664" t="s">
        <v>940</v>
      </c>
      <c r="C664" t="s">
        <v>2249</v>
      </c>
      <c r="D664" s="9">
        <v>45448</v>
      </c>
      <c r="E664" t="s">
        <v>2330</v>
      </c>
      <c r="G664" t="s">
        <v>2331</v>
      </c>
      <c r="H664">
        <v>1500</v>
      </c>
      <c r="I664" s="16" t="str">
        <f t="shared" si="10"/>
        <v>Normal</v>
      </c>
      <c r="J664">
        <v>5</v>
      </c>
    </row>
    <row r="665" spans="1:10">
      <c r="A665" t="s">
        <v>3013</v>
      </c>
      <c r="B665" t="s">
        <v>253</v>
      </c>
      <c r="C665" t="s">
        <v>2202</v>
      </c>
      <c r="D665" s="9">
        <v>45314</v>
      </c>
      <c r="E665" t="s">
        <v>2324</v>
      </c>
      <c r="F665" s="20">
        <v>55</v>
      </c>
      <c r="G665" t="s">
        <v>2339</v>
      </c>
      <c r="H665">
        <v>999.99</v>
      </c>
      <c r="I665" s="16" t="str">
        <f t="shared" si="10"/>
        <v>Normal</v>
      </c>
      <c r="J665">
        <v>5</v>
      </c>
    </row>
    <row r="666" spans="1:10">
      <c r="A666" t="s">
        <v>3014</v>
      </c>
      <c r="B666" t="s">
        <v>3015</v>
      </c>
      <c r="C666" t="s">
        <v>2228</v>
      </c>
      <c r="D666" s="9">
        <v>45977</v>
      </c>
      <c r="E666" t="s">
        <v>2327</v>
      </c>
      <c r="F666" s="20">
        <v>0</v>
      </c>
      <c r="G666" t="s">
        <v>2345</v>
      </c>
      <c r="H666">
        <v>799</v>
      </c>
      <c r="I666" s="16" t="str">
        <f t="shared" si="10"/>
        <v>Normal</v>
      </c>
      <c r="J666">
        <v>1</v>
      </c>
    </row>
    <row r="667" spans="1:10">
      <c r="A667" t="s">
        <v>3016</v>
      </c>
      <c r="B667" t="s">
        <v>2080</v>
      </c>
      <c r="C667" t="s">
        <v>2193</v>
      </c>
      <c r="D667" s="9">
        <v>45644</v>
      </c>
      <c r="E667" t="s">
        <v>2324</v>
      </c>
      <c r="G667" t="s">
        <v>2345</v>
      </c>
      <c r="H667">
        <v>0</v>
      </c>
      <c r="I667" s="16" t="str">
        <f t="shared" si="10"/>
        <v>Zero Amount</v>
      </c>
      <c r="J667">
        <v>1</v>
      </c>
    </row>
    <row r="668" spans="1:10">
      <c r="A668" t="s">
        <v>3017</v>
      </c>
      <c r="B668" t="s">
        <v>2084</v>
      </c>
      <c r="C668" t="s">
        <v>2244</v>
      </c>
      <c r="D668" s="9">
        <v>46183</v>
      </c>
      <c r="E668" t="s">
        <v>2330</v>
      </c>
      <c r="F668" s="20">
        <v>100</v>
      </c>
      <c r="G668" t="s">
        <v>2328</v>
      </c>
      <c r="H668">
        <v>1200</v>
      </c>
      <c r="I668" s="16" t="str">
        <f t="shared" si="10"/>
        <v>Normal</v>
      </c>
      <c r="J668">
        <v>5</v>
      </c>
    </row>
    <row r="669" spans="1:10">
      <c r="A669" t="s">
        <v>3018</v>
      </c>
      <c r="B669" t="s">
        <v>1075</v>
      </c>
      <c r="C669" t="s">
        <v>2253</v>
      </c>
      <c r="D669" s="9">
        <v>45559</v>
      </c>
      <c r="E669" t="s">
        <v>2337</v>
      </c>
      <c r="F669" s="20">
        <v>20</v>
      </c>
      <c r="G669" t="s">
        <v>2345</v>
      </c>
      <c r="H669">
        <v>1200</v>
      </c>
      <c r="I669" s="16" t="str">
        <f t="shared" si="10"/>
        <v>Normal</v>
      </c>
      <c r="J669">
        <v>1</v>
      </c>
    </row>
    <row r="670" spans="1:10">
      <c r="A670" t="s">
        <v>3019</v>
      </c>
      <c r="B670" t="s">
        <v>1303</v>
      </c>
      <c r="C670" t="s">
        <v>2251</v>
      </c>
      <c r="D670" s="9">
        <v>45027</v>
      </c>
      <c r="E670" t="s">
        <v>23</v>
      </c>
      <c r="G670" t="s">
        <v>2331</v>
      </c>
      <c r="H670">
        <v>1500</v>
      </c>
      <c r="I670" s="16" t="str">
        <f t="shared" si="10"/>
        <v>Normal</v>
      </c>
      <c r="J670" t="s">
        <v>39</v>
      </c>
    </row>
    <row r="671" spans="1:10">
      <c r="A671" t="s">
        <v>3020</v>
      </c>
      <c r="B671" t="s">
        <v>861</v>
      </c>
      <c r="C671" t="s">
        <v>2205</v>
      </c>
      <c r="D671" s="9">
        <v>45285</v>
      </c>
      <c r="E671" t="s">
        <v>2327</v>
      </c>
      <c r="F671" s="20">
        <v>20</v>
      </c>
      <c r="G671" t="s">
        <v>2331</v>
      </c>
      <c r="H671">
        <v>1500</v>
      </c>
      <c r="I671" s="16" t="str">
        <f t="shared" si="10"/>
        <v>Normal</v>
      </c>
      <c r="J671">
        <v>2</v>
      </c>
    </row>
    <row r="672" spans="1:10">
      <c r="A672" t="s">
        <v>3021</v>
      </c>
      <c r="B672" t="s">
        <v>116</v>
      </c>
      <c r="C672" t="s">
        <v>2233</v>
      </c>
      <c r="D672" s="9">
        <v>45456</v>
      </c>
      <c r="E672" t="s">
        <v>2327</v>
      </c>
      <c r="F672" s="20">
        <v>0</v>
      </c>
      <c r="G672" t="s">
        <v>2325</v>
      </c>
      <c r="H672">
        <v>2500</v>
      </c>
      <c r="I672" s="16" t="str">
        <f t="shared" si="10"/>
        <v>Normal</v>
      </c>
      <c r="J672">
        <v>5</v>
      </c>
    </row>
    <row r="673" spans="1:10">
      <c r="A673" t="s">
        <v>3022</v>
      </c>
      <c r="B673" t="s">
        <v>1500</v>
      </c>
      <c r="C673" t="s">
        <v>2205</v>
      </c>
      <c r="D673" s="9">
        <v>45517</v>
      </c>
      <c r="E673" t="s">
        <v>2324</v>
      </c>
      <c r="F673" s="20">
        <v>25</v>
      </c>
      <c r="G673" t="s">
        <v>2328</v>
      </c>
      <c r="H673">
        <v>1500</v>
      </c>
      <c r="I673" s="16" t="str">
        <f t="shared" si="10"/>
        <v>Normal</v>
      </c>
      <c r="J673">
        <v>4</v>
      </c>
    </row>
    <row r="674" spans="1:10">
      <c r="A674" t="s">
        <v>3023</v>
      </c>
      <c r="B674" t="s">
        <v>1711</v>
      </c>
      <c r="C674" t="s">
        <v>2259</v>
      </c>
      <c r="D674" s="9">
        <v>45729</v>
      </c>
      <c r="E674" t="s">
        <v>23</v>
      </c>
      <c r="G674" t="s">
        <v>2331</v>
      </c>
      <c r="H674">
        <v>0</v>
      </c>
      <c r="I674" s="16" t="str">
        <f t="shared" si="10"/>
        <v>Zero Amount</v>
      </c>
      <c r="J674">
        <v>4</v>
      </c>
    </row>
    <row r="675" spans="1:10">
      <c r="A675" t="s">
        <v>3024</v>
      </c>
      <c r="B675" t="s">
        <v>1233</v>
      </c>
      <c r="C675" t="s">
        <v>2253</v>
      </c>
      <c r="D675" s="9">
        <v>45410</v>
      </c>
      <c r="E675" t="s">
        <v>2327</v>
      </c>
      <c r="G675" t="s">
        <v>2325</v>
      </c>
      <c r="H675">
        <v>1200</v>
      </c>
      <c r="I675" s="16" t="str">
        <f t="shared" si="10"/>
        <v>Normal</v>
      </c>
      <c r="J675">
        <v>1</v>
      </c>
    </row>
    <row r="676" spans="1:10">
      <c r="A676" t="s">
        <v>3025</v>
      </c>
      <c r="B676" t="s">
        <v>2101</v>
      </c>
      <c r="C676" t="s">
        <v>2213</v>
      </c>
      <c r="D676" s="9">
        <v>45803</v>
      </c>
      <c r="E676" t="s">
        <v>2324</v>
      </c>
      <c r="F676" s="20">
        <v>55</v>
      </c>
      <c r="G676" t="s">
        <v>2328</v>
      </c>
      <c r="H676">
        <v>1500</v>
      </c>
      <c r="I676" s="16" t="str">
        <f t="shared" si="10"/>
        <v>Normal</v>
      </c>
      <c r="J676">
        <v>5</v>
      </c>
    </row>
    <row r="677" spans="1:10">
      <c r="A677" t="s">
        <v>3026</v>
      </c>
      <c r="B677" t="s">
        <v>1404</v>
      </c>
      <c r="C677" t="s">
        <v>2251</v>
      </c>
      <c r="D677" s="9">
        <v>46036</v>
      </c>
      <c r="E677" t="s">
        <v>2330</v>
      </c>
      <c r="F677" s="20">
        <v>100</v>
      </c>
      <c r="G677" t="s">
        <v>2331</v>
      </c>
      <c r="H677">
        <v>1500</v>
      </c>
      <c r="I677" s="16" t="str">
        <f t="shared" si="10"/>
        <v>Normal</v>
      </c>
      <c r="J677">
        <v>4</v>
      </c>
    </row>
    <row r="678" spans="1:10">
      <c r="A678" t="s">
        <v>3027</v>
      </c>
      <c r="B678" t="s">
        <v>2010</v>
      </c>
      <c r="C678" t="s">
        <v>2251</v>
      </c>
      <c r="D678" s="9">
        <v>46209</v>
      </c>
      <c r="E678" t="s">
        <v>2330</v>
      </c>
      <c r="G678" t="s">
        <v>2325</v>
      </c>
      <c r="H678">
        <v>1500</v>
      </c>
      <c r="I678" s="16" t="str">
        <f t="shared" si="10"/>
        <v>Normal</v>
      </c>
      <c r="J678">
        <v>4</v>
      </c>
    </row>
    <row r="679" spans="1:10">
      <c r="A679" t="s">
        <v>3028</v>
      </c>
      <c r="B679" t="s">
        <v>836</v>
      </c>
      <c r="C679" t="s">
        <v>2225</v>
      </c>
      <c r="D679" s="9">
        <v>46097</v>
      </c>
      <c r="E679" t="s">
        <v>2327</v>
      </c>
      <c r="F679" s="20">
        <v>20</v>
      </c>
      <c r="G679" t="s">
        <v>23</v>
      </c>
      <c r="I679" s="16" t="str">
        <f t="shared" si="10"/>
        <v>Unknown</v>
      </c>
      <c r="J679">
        <v>5</v>
      </c>
    </row>
    <row r="680" spans="1:10">
      <c r="A680" t="s">
        <v>3029</v>
      </c>
      <c r="B680" t="s">
        <v>129</v>
      </c>
      <c r="C680" t="s">
        <v>2257</v>
      </c>
      <c r="D680" s="9">
        <v>45409</v>
      </c>
      <c r="E680" t="s">
        <v>2337</v>
      </c>
      <c r="G680" t="s">
        <v>2339</v>
      </c>
      <c r="I680" s="16" t="str">
        <f t="shared" si="10"/>
        <v>Unknown</v>
      </c>
      <c r="J680" t="s">
        <v>39</v>
      </c>
    </row>
    <row r="681" spans="1:10">
      <c r="A681" t="s">
        <v>3030</v>
      </c>
      <c r="B681" t="s">
        <v>1500</v>
      </c>
      <c r="C681" t="s">
        <v>2247</v>
      </c>
      <c r="D681" s="9">
        <v>46020</v>
      </c>
      <c r="E681" t="s">
        <v>2327</v>
      </c>
      <c r="F681" s="20">
        <v>20</v>
      </c>
      <c r="G681" t="s">
        <v>2339</v>
      </c>
      <c r="I681" s="16" t="str">
        <f t="shared" si="10"/>
        <v>Unknown</v>
      </c>
      <c r="J681">
        <v>3</v>
      </c>
    </row>
    <row r="682" spans="1:10">
      <c r="A682" t="s">
        <v>3031</v>
      </c>
      <c r="B682" t="s">
        <v>1806</v>
      </c>
      <c r="C682" t="s">
        <v>2225</v>
      </c>
      <c r="D682" s="9">
        <v>45539</v>
      </c>
      <c r="E682" t="s">
        <v>2330</v>
      </c>
      <c r="F682" s="20">
        <v>100</v>
      </c>
      <c r="G682" t="s">
        <v>2331</v>
      </c>
      <c r="I682" s="16" t="str">
        <f t="shared" si="10"/>
        <v>Unknown</v>
      </c>
      <c r="J682" t="s">
        <v>39</v>
      </c>
    </row>
    <row r="683" spans="1:10">
      <c r="A683" t="s">
        <v>3032</v>
      </c>
      <c r="B683" t="s">
        <v>116</v>
      </c>
      <c r="C683" t="s">
        <v>2187</v>
      </c>
      <c r="D683" s="9">
        <v>46079</v>
      </c>
      <c r="E683" t="s">
        <v>2324</v>
      </c>
      <c r="G683" t="s">
        <v>2331</v>
      </c>
      <c r="H683">
        <v>799</v>
      </c>
      <c r="I683" s="16" t="str">
        <f t="shared" si="10"/>
        <v>Normal</v>
      </c>
      <c r="J683" t="s">
        <v>39</v>
      </c>
    </row>
    <row r="684" spans="1:10">
      <c r="A684" t="s">
        <v>3033</v>
      </c>
      <c r="B684" t="s">
        <v>780</v>
      </c>
      <c r="C684" t="s">
        <v>2259</v>
      </c>
      <c r="D684" s="9">
        <v>46104</v>
      </c>
      <c r="E684" t="s">
        <v>2330</v>
      </c>
      <c r="F684" s="20">
        <v>100</v>
      </c>
      <c r="G684" t="s">
        <v>2331</v>
      </c>
      <c r="H684">
        <v>0</v>
      </c>
      <c r="I684" s="16" t="str">
        <f t="shared" si="10"/>
        <v>Zero Amount</v>
      </c>
      <c r="J684">
        <v>2</v>
      </c>
    </row>
    <row r="685" spans="1:10">
      <c r="A685" t="s">
        <v>3034</v>
      </c>
      <c r="B685" t="s">
        <v>1196</v>
      </c>
      <c r="C685" t="s">
        <v>2247</v>
      </c>
      <c r="D685" s="9">
        <v>44965</v>
      </c>
      <c r="E685" t="s">
        <v>23</v>
      </c>
      <c r="G685" t="s">
        <v>2345</v>
      </c>
      <c r="I685" s="16" t="str">
        <f t="shared" si="10"/>
        <v>Unknown</v>
      </c>
      <c r="J685">
        <v>3</v>
      </c>
    </row>
    <row r="686" spans="1:10">
      <c r="A686" t="s">
        <v>3035</v>
      </c>
      <c r="B686" t="s">
        <v>1153</v>
      </c>
      <c r="C686" t="s">
        <v>2202</v>
      </c>
      <c r="D686" s="9">
        <v>45804</v>
      </c>
      <c r="E686" t="s">
        <v>2327</v>
      </c>
      <c r="F686" s="20">
        <v>5</v>
      </c>
      <c r="G686" t="s">
        <v>2328</v>
      </c>
      <c r="H686">
        <v>999.99</v>
      </c>
      <c r="I686" s="16" t="str">
        <f t="shared" si="10"/>
        <v>Normal</v>
      </c>
      <c r="J686" t="s">
        <v>39</v>
      </c>
    </row>
    <row r="687" spans="1:10">
      <c r="A687" t="s">
        <v>3036</v>
      </c>
      <c r="B687" t="s">
        <v>622</v>
      </c>
      <c r="C687" t="s">
        <v>2244</v>
      </c>
      <c r="D687" s="9">
        <v>45174</v>
      </c>
      <c r="E687" t="s">
        <v>23</v>
      </c>
      <c r="G687" t="s">
        <v>2325</v>
      </c>
      <c r="H687">
        <v>1200</v>
      </c>
      <c r="I687" s="16" t="str">
        <f t="shared" si="10"/>
        <v>Normal</v>
      </c>
      <c r="J687">
        <v>2</v>
      </c>
    </row>
    <row r="688" spans="1:10">
      <c r="A688" t="s">
        <v>3037</v>
      </c>
      <c r="B688" t="s">
        <v>457</v>
      </c>
      <c r="C688" t="s">
        <v>2253</v>
      </c>
      <c r="D688" s="9">
        <v>45202</v>
      </c>
      <c r="E688" t="s">
        <v>23</v>
      </c>
      <c r="G688" t="s">
        <v>2339</v>
      </c>
      <c r="H688">
        <v>1200</v>
      </c>
      <c r="I688" s="16" t="str">
        <f t="shared" si="10"/>
        <v>Normal</v>
      </c>
      <c r="J688" t="s">
        <v>39</v>
      </c>
    </row>
    <row r="689" spans="1:10">
      <c r="A689" t="s">
        <v>3038</v>
      </c>
      <c r="B689" t="s">
        <v>1428</v>
      </c>
      <c r="C689" t="s">
        <v>2237</v>
      </c>
      <c r="D689" s="9">
        <v>45977</v>
      </c>
      <c r="E689" t="s">
        <v>23</v>
      </c>
      <c r="G689" t="s">
        <v>2331</v>
      </c>
      <c r="H689">
        <v>1500</v>
      </c>
      <c r="I689" s="16" t="str">
        <f t="shared" si="10"/>
        <v>Normal</v>
      </c>
      <c r="J689" t="s">
        <v>39</v>
      </c>
    </row>
    <row r="690" spans="1:10">
      <c r="A690" t="s">
        <v>3039</v>
      </c>
      <c r="B690" t="s">
        <v>2642</v>
      </c>
      <c r="C690" t="s">
        <v>2247</v>
      </c>
      <c r="D690" s="9">
        <v>45890</v>
      </c>
      <c r="E690" t="s">
        <v>2327</v>
      </c>
      <c r="F690" s="20">
        <v>20</v>
      </c>
      <c r="G690" t="s">
        <v>2331</v>
      </c>
      <c r="I690" s="16" t="str">
        <f t="shared" si="10"/>
        <v>Unknown</v>
      </c>
      <c r="J690" t="s">
        <v>39</v>
      </c>
    </row>
    <row r="691" spans="1:10">
      <c r="A691" t="s">
        <v>3040</v>
      </c>
      <c r="B691" t="s">
        <v>1282</v>
      </c>
      <c r="C691" t="s">
        <v>2198</v>
      </c>
      <c r="D691" s="9">
        <v>45399</v>
      </c>
      <c r="E691" t="s">
        <v>2324</v>
      </c>
      <c r="F691" s="20">
        <v>25</v>
      </c>
      <c r="G691" t="s">
        <v>2328</v>
      </c>
      <c r="I691" s="16" t="str">
        <f t="shared" si="10"/>
        <v>Unknown</v>
      </c>
      <c r="J691" t="s">
        <v>39</v>
      </c>
    </row>
    <row r="692" spans="1:10">
      <c r="A692" t="s">
        <v>3041</v>
      </c>
      <c r="B692" t="s">
        <v>589</v>
      </c>
      <c r="C692" t="s">
        <v>2202</v>
      </c>
      <c r="D692" s="9">
        <v>45924</v>
      </c>
      <c r="E692" t="s">
        <v>2330</v>
      </c>
      <c r="F692" s="20">
        <v>100</v>
      </c>
      <c r="G692" t="s">
        <v>2331</v>
      </c>
      <c r="H692">
        <v>620.26</v>
      </c>
      <c r="I692" s="16" t="str">
        <f t="shared" si="10"/>
        <v>Normal</v>
      </c>
      <c r="J692">
        <v>3</v>
      </c>
    </row>
    <row r="693" spans="1:10">
      <c r="A693" t="s">
        <v>3042</v>
      </c>
      <c r="B693" t="s">
        <v>1336</v>
      </c>
      <c r="C693" t="s">
        <v>2249</v>
      </c>
      <c r="D693" s="9">
        <v>45300</v>
      </c>
      <c r="E693" t="s">
        <v>2330</v>
      </c>
      <c r="F693" s="20">
        <v>100</v>
      </c>
      <c r="G693" t="s">
        <v>2328</v>
      </c>
      <c r="H693">
        <v>1500</v>
      </c>
      <c r="I693" s="16" t="str">
        <f t="shared" si="10"/>
        <v>Normal</v>
      </c>
      <c r="J693">
        <v>4</v>
      </c>
    </row>
    <row r="694" spans="1:10">
      <c r="A694" t="s">
        <v>3043</v>
      </c>
      <c r="B694" t="s">
        <v>664</v>
      </c>
      <c r="C694" t="s">
        <v>2228</v>
      </c>
      <c r="D694" s="9">
        <v>45707</v>
      </c>
      <c r="E694" t="s">
        <v>2330</v>
      </c>
      <c r="F694" s="20">
        <v>100</v>
      </c>
      <c r="G694" t="s">
        <v>2345</v>
      </c>
      <c r="H694">
        <v>799</v>
      </c>
      <c r="I694" s="16" t="str">
        <f t="shared" si="10"/>
        <v>Normal</v>
      </c>
      <c r="J694">
        <v>5</v>
      </c>
    </row>
    <row r="695" spans="1:10">
      <c r="A695" t="s">
        <v>3044</v>
      </c>
      <c r="B695" t="s">
        <v>1817</v>
      </c>
      <c r="C695" t="s">
        <v>2225</v>
      </c>
      <c r="D695" s="9">
        <v>45441</v>
      </c>
      <c r="E695" t="s">
        <v>2330</v>
      </c>
      <c r="F695" s="20">
        <v>100</v>
      </c>
      <c r="G695" t="s">
        <v>2345</v>
      </c>
      <c r="I695" s="16" t="str">
        <f t="shared" si="10"/>
        <v>Unknown</v>
      </c>
      <c r="J695">
        <v>1</v>
      </c>
    </row>
    <row r="696" spans="1:10">
      <c r="A696" t="s">
        <v>3045</v>
      </c>
      <c r="B696" t="s">
        <v>1674</v>
      </c>
      <c r="C696" t="s">
        <v>2233</v>
      </c>
      <c r="D696" s="9">
        <v>45769</v>
      </c>
      <c r="E696" t="s">
        <v>2330</v>
      </c>
      <c r="F696" s="20">
        <v>100</v>
      </c>
      <c r="G696" t="s">
        <v>23</v>
      </c>
      <c r="H696">
        <v>1580.43</v>
      </c>
      <c r="I696" s="16" t="str">
        <f t="shared" si="10"/>
        <v>Normal</v>
      </c>
      <c r="J696">
        <v>2</v>
      </c>
    </row>
    <row r="697" spans="1:10">
      <c r="A697" t="s">
        <v>3046</v>
      </c>
      <c r="B697" t="s">
        <v>335</v>
      </c>
      <c r="C697" t="s">
        <v>2225</v>
      </c>
      <c r="D697" s="9">
        <v>45529</v>
      </c>
      <c r="E697" t="s">
        <v>2330</v>
      </c>
      <c r="F697" s="20">
        <v>100</v>
      </c>
      <c r="G697" t="s">
        <v>2345</v>
      </c>
      <c r="I697" s="16" t="str">
        <f t="shared" si="10"/>
        <v>Unknown</v>
      </c>
      <c r="J697" t="s">
        <v>39</v>
      </c>
    </row>
    <row r="698" spans="1:10">
      <c r="A698" t="s">
        <v>3047</v>
      </c>
      <c r="B698" t="s">
        <v>2116</v>
      </c>
      <c r="C698" t="s">
        <v>2187</v>
      </c>
      <c r="D698" s="9">
        <v>45861</v>
      </c>
      <c r="E698" t="s">
        <v>2337</v>
      </c>
      <c r="F698" s="20">
        <v>5</v>
      </c>
      <c r="G698" t="s">
        <v>2345</v>
      </c>
      <c r="H698">
        <v>799</v>
      </c>
      <c r="I698" s="16" t="str">
        <f t="shared" si="10"/>
        <v>Normal</v>
      </c>
      <c r="J698">
        <v>5</v>
      </c>
    </row>
    <row r="699" spans="1:10">
      <c r="A699" t="s">
        <v>3048</v>
      </c>
      <c r="B699" t="s">
        <v>1030</v>
      </c>
      <c r="C699" t="s">
        <v>2257</v>
      </c>
      <c r="D699" s="9">
        <v>45596</v>
      </c>
      <c r="E699" t="s">
        <v>2324</v>
      </c>
      <c r="F699" s="20">
        <v>40</v>
      </c>
      <c r="G699" t="s">
        <v>2328</v>
      </c>
      <c r="I699" s="16" t="str">
        <f t="shared" si="10"/>
        <v>Unknown</v>
      </c>
      <c r="J699">
        <v>5</v>
      </c>
    </row>
    <row r="700" spans="1:10">
      <c r="A700" t="s">
        <v>3049</v>
      </c>
      <c r="B700" t="s">
        <v>1517</v>
      </c>
      <c r="C700" t="s">
        <v>2257</v>
      </c>
      <c r="D700" s="9">
        <v>46174</v>
      </c>
      <c r="E700" t="s">
        <v>2327</v>
      </c>
      <c r="F700" s="20">
        <v>15</v>
      </c>
      <c r="G700" t="s">
        <v>23</v>
      </c>
      <c r="I700" s="16" t="str">
        <f t="shared" si="10"/>
        <v>Unknown</v>
      </c>
      <c r="J700">
        <v>2</v>
      </c>
    </row>
    <row r="701" spans="1:10">
      <c r="A701" t="s">
        <v>3050</v>
      </c>
      <c r="B701" t="s">
        <v>1072</v>
      </c>
      <c r="C701" t="s">
        <v>2218</v>
      </c>
      <c r="D701" s="9">
        <v>46157</v>
      </c>
      <c r="E701" t="s">
        <v>23</v>
      </c>
      <c r="G701" t="s">
        <v>2331</v>
      </c>
      <c r="H701">
        <v>1500</v>
      </c>
      <c r="I701" s="16" t="str">
        <f t="shared" si="10"/>
        <v>Normal</v>
      </c>
      <c r="J701" t="s">
        <v>39</v>
      </c>
    </row>
    <row r="702" spans="1:10">
      <c r="A702" t="s">
        <v>3051</v>
      </c>
      <c r="B702" t="s">
        <v>1887</v>
      </c>
      <c r="C702" t="s">
        <v>2271</v>
      </c>
      <c r="D702" s="9">
        <v>45231</v>
      </c>
      <c r="E702" t="s">
        <v>2330</v>
      </c>
      <c r="F702" s="20">
        <v>100</v>
      </c>
      <c r="G702" t="s">
        <v>2331</v>
      </c>
      <c r="H702">
        <v>1200</v>
      </c>
      <c r="I702" s="16" t="str">
        <f t="shared" si="10"/>
        <v>Normal</v>
      </c>
      <c r="J702" t="s">
        <v>39</v>
      </c>
    </row>
    <row r="703" spans="1:10">
      <c r="A703" t="s">
        <v>3052</v>
      </c>
      <c r="B703" t="s">
        <v>930</v>
      </c>
      <c r="C703" t="s">
        <v>2198</v>
      </c>
      <c r="D703" s="9">
        <v>45507</v>
      </c>
      <c r="E703" t="s">
        <v>2324</v>
      </c>
      <c r="F703" s="20">
        <v>10</v>
      </c>
      <c r="G703" t="s">
        <v>2325</v>
      </c>
      <c r="I703" s="16" t="str">
        <f t="shared" si="10"/>
        <v>Unknown</v>
      </c>
      <c r="J703" t="s">
        <v>39</v>
      </c>
    </row>
    <row r="704" spans="1:10">
      <c r="A704" t="s">
        <v>3053</v>
      </c>
      <c r="B704" t="s">
        <v>360</v>
      </c>
      <c r="C704" t="s">
        <v>2269</v>
      </c>
      <c r="D704" s="9">
        <v>45775</v>
      </c>
      <c r="E704" t="s">
        <v>2330</v>
      </c>
      <c r="F704" s="20">
        <v>100</v>
      </c>
      <c r="G704" t="s">
        <v>2331</v>
      </c>
      <c r="H704">
        <v>499</v>
      </c>
      <c r="I704" s="16" t="str">
        <f t="shared" si="10"/>
        <v>Normal</v>
      </c>
      <c r="J704" t="s">
        <v>39</v>
      </c>
    </row>
    <row r="705" spans="1:10">
      <c r="A705" t="s">
        <v>3054</v>
      </c>
      <c r="B705" t="s">
        <v>299</v>
      </c>
      <c r="C705" t="s">
        <v>2205</v>
      </c>
      <c r="D705" s="9">
        <v>45130</v>
      </c>
      <c r="E705" t="s">
        <v>23</v>
      </c>
      <c r="G705" t="s">
        <v>2331</v>
      </c>
      <c r="H705">
        <v>1500</v>
      </c>
      <c r="I705" s="16" t="str">
        <f t="shared" si="10"/>
        <v>Normal</v>
      </c>
      <c r="J705">
        <v>3</v>
      </c>
    </row>
    <row r="706" spans="1:10">
      <c r="A706" t="s">
        <v>3055</v>
      </c>
      <c r="B706" t="s">
        <v>485</v>
      </c>
      <c r="C706" t="s">
        <v>2193</v>
      </c>
      <c r="D706" s="9">
        <v>45150</v>
      </c>
      <c r="E706" t="s">
        <v>2327</v>
      </c>
      <c r="F706" s="20">
        <v>5</v>
      </c>
      <c r="G706" t="s">
        <v>2331</v>
      </c>
      <c r="H706">
        <v>0</v>
      </c>
      <c r="I706" s="16" t="str">
        <f t="shared" si="10"/>
        <v>Zero Amount</v>
      </c>
      <c r="J706" t="s">
        <v>39</v>
      </c>
    </row>
    <row r="707" spans="1:10">
      <c r="A707" t="s">
        <v>3056</v>
      </c>
      <c r="B707" t="s">
        <v>34</v>
      </c>
      <c r="C707" t="s">
        <v>2233</v>
      </c>
      <c r="D707" s="9">
        <v>45109</v>
      </c>
      <c r="E707" t="s">
        <v>2330</v>
      </c>
      <c r="F707" s="20">
        <v>100</v>
      </c>
      <c r="G707" t="s">
        <v>2331</v>
      </c>
      <c r="H707">
        <v>2500</v>
      </c>
      <c r="I707" s="16" t="str">
        <f t="shared" ref="I707:I770" si="11">IF(H707="", "Unknown", IF(H707=0, "Zero Amount", IF(H707&lt;1, "Review", IF(H707&gt;1, "Normal"))))</f>
        <v>Normal</v>
      </c>
      <c r="J707">
        <v>1</v>
      </c>
    </row>
    <row r="708" spans="1:10">
      <c r="A708" t="s">
        <v>3057</v>
      </c>
      <c r="B708" t="s">
        <v>1449</v>
      </c>
      <c r="C708" t="s">
        <v>2225</v>
      </c>
      <c r="D708" s="9">
        <v>45213</v>
      </c>
      <c r="E708" t="s">
        <v>2330</v>
      </c>
      <c r="F708" s="20">
        <v>100</v>
      </c>
      <c r="G708" t="s">
        <v>23</v>
      </c>
      <c r="I708" s="16" t="str">
        <f t="shared" si="11"/>
        <v>Unknown</v>
      </c>
      <c r="J708">
        <v>5</v>
      </c>
    </row>
    <row r="709" spans="1:10">
      <c r="A709" t="s">
        <v>3058</v>
      </c>
      <c r="B709" t="s">
        <v>721</v>
      </c>
      <c r="C709" t="s">
        <v>2237</v>
      </c>
      <c r="D709" s="9">
        <v>45510</v>
      </c>
      <c r="E709" t="s">
        <v>2330</v>
      </c>
      <c r="F709" s="20">
        <v>100</v>
      </c>
      <c r="G709" t="s">
        <v>2345</v>
      </c>
      <c r="H709">
        <v>1500</v>
      </c>
      <c r="I709" s="16" t="str">
        <f t="shared" si="11"/>
        <v>Normal</v>
      </c>
      <c r="J709">
        <v>5</v>
      </c>
    </row>
    <row r="710" spans="1:10">
      <c r="A710" t="s">
        <v>3059</v>
      </c>
      <c r="B710" t="s">
        <v>331</v>
      </c>
      <c r="C710" t="s">
        <v>2209</v>
      </c>
      <c r="D710" s="9">
        <v>45851</v>
      </c>
      <c r="E710" t="s">
        <v>2330</v>
      </c>
      <c r="G710" t="s">
        <v>2325</v>
      </c>
      <c r="H710">
        <v>499</v>
      </c>
      <c r="I710" s="16" t="str">
        <f t="shared" si="11"/>
        <v>Normal</v>
      </c>
      <c r="J710" t="s">
        <v>39</v>
      </c>
    </row>
    <row r="711" spans="1:10">
      <c r="A711" t="s">
        <v>3060</v>
      </c>
      <c r="B711" t="s">
        <v>491</v>
      </c>
      <c r="C711" t="s">
        <v>2257</v>
      </c>
      <c r="D711" s="9">
        <v>45575</v>
      </c>
      <c r="E711" t="s">
        <v>2330</v>
      </c>
      <c r="F711" s="20">
        <v>100</v>
      </c>
      <c r="G711" t="s">
        <v>2325</v>
      </c>
      <c r="I711" s="16" t="str">
        <f t="shared" si="11"/>
        <v>Unknown</v>
      </c>
      <c r="J711" t="s">
        <v>39</v>
      </c>
    </row>
    <row r="712" spans="1:10">
      <c r="A712" t="s">
        <v>3061</v>
      </c>
      <c r="B712" t="s">
        <v>637</v>
      </c>
      <c r="C712" t="s">
        <v>2231</v>
      </c>
      <c r="D712" s="9">
        <v>45284</v>
      </c>
      <c r="E712" t="s">
        <v>2330</v>
      </c>
      <c r="G712" t="s">
        <v>2345</v>
      </c>
      <c r="H712">
        <v>3000</v>
      </c>
      <c r="I712" s="16" t="str">
        <f t="shared" si="11"/>
        <v>Normal</v>
      </c>
      <c r="J712">
        <v>4</v>
      </c>
    </row>
    <row r="713" spans="1:10">
      <c r="A713" t="s">
        <v>3062</v>
      </c>
      <c r="B713" t="s">
        <v>840</v>
      </c>
      <c r="C713" t="s">
        <v>2233</v>
      </c>
      <c r="D713" s="9">
        <v>45307</v>
      </c>
      <c r="E713" t="s">
        <v>2324</v>
      </c>
      <c r="F713" s="20">
        <v>75</v>
      </c>
      <c r="G713" t="s">
        <v>2345</v>
      </c>
      <c r="H713">
        <v>1966.85</v>
      </c>
      <c r="I713" s="16" t="str">
        <f t="shared" si="11"/>
        <v>Normal</v>
      </c>
      <c r="J713">
        <v>1</v>
      </c>
    </row>
    <row r="714" spans="1:10">
      <c r="A714" t="s">
        <v>3063</v>
      </c>
      <c r="B714" t="s">
        <v>1072</v>
      </c>
      <c r="C714" t="s">
        <v>2261</v>
      </c>
      <c r="D714" s="9">
        <v>46086</v>
      </c>
      <c r="E714" t="s">
        <v>2324</v>
      </c>
      <c r="F714" s="20">
        <v>10</v>
      </c>
      <c r="G714" t="s">
        <v>2345</v>
      </c>
      <c r="I714" s="16" t="str">
        <f t="shared" si="11"/>
        <v>Unknown</v>
      </c>
      <c r="J714" t="s">
        <v>39</v>
      </c>
    </row>
    <row r="715" spans="1:10">
      <c r="A715" t="s">
        <v>3064</v>
      </c>
      <c r="B715" t="s">
        <v>1602</v>
      </c>
      <c r="C715" t="s">
        <v>2198</v>
      </c>
      <c r="D715" s="9">
        <v>45502</v>
      </c>
      <c r="E715" t="s">
        <v>23</v>
      </c>
      <c r="G715" t="s">
        <v>2331</v>
      </c>
      <c r="I715" s="16" t="str">
        <f t="shared" si="11"/>
        <v>Unknown</v>
      </c>
      <c r="J715" t="s">
        <v>39</v>
      </c>
    </row>
    <row r="716" spans="1:10">
      <c r="A716" t="s">
        <v>3065</v>
      </c>
      <c r="B716" t="s">
        <v>1207</v>
      </c>
      <c r="C716" t="s">
        <v>2247</v>
      </c>
      <c r="D716" s="9">
        <v>46176</v>
      </c>
      <c r="E716" t="s">
        <v>2324</v>
      </c>
      <c r="F716" s="20">
        <v>60</v>
      </c>
      <c r="G716" t="s">
        <v>2331</v>
      </c>
      <c r="I716" s="16" t="str">
        <f t="shared" si="11"/>
        <v>Unknown</v>
      </c>
      <c r="J716">
        <v>2</v>
      </c>
    </row>
    <row r="717" spans="1:10">
      <c r="A717" t="s">
        <v>3066</v>
      </c>
      <c r="B717" t="s">
        <v>1680</v>
      </c>
      <c r="C717" t="s">
        <v>2228</v>
      </c>
      <c r="D717" s="9">
        <v>46182</v>
      </c>
      <c r="E717" t="s">
        <v>23</v>
      </c>
      <c r="G717" t="s">
        <v>23</v>
      </c>
      <c r="I717" s="16" t="str">
        <f t="shared" si="11"/>
        <v>Unknown</v>
      </c>
      <c r="J717">
        <v>3</v>
      </c>
    </row>
    <row r="718" spans="1:10">
      <c r="A718" t="s">
        <v>3067</v>
      </c>
      <c r="B718" t="s">
        <v>1187</v>
      </c>
      <c r="C718" t="s">
        <v>2244</v>
      </c>
      <c r="D718" s="9">
        <v>46121</v>
      </c>
      <c r="E718" t="s">
        <v>2330</v>
      </c>
      <c r="F718" s="20">
        <v>100</v>
      </c>
      <c r="G718" t="s">
        <v>2345</v>
      </c>
      <c r="H718">
        <v>1200</v>
      </c>
      <c r="I718" s="16" t="str">
        <f t="shared" si="11"/>
        <v>Normal</v>
      </c>
      <c r="J718">
        <v>1</v>
      </c>
    </row>
    <row r="719" spans="1:10">
      <c r="A719" t="s">
        <v>3068</v>
      </c>
      <c r="B719" t="s">
        <v>1330</v>
      </c>
      <c r="C719" t="s">
        <v>2233</v>
      </c>
      <c r="D719" s="9">
        <v>46049</v>
      </c>
      <c r="E719" t="s">
        <v>23</v>
      </c>
      <c r="G719" t="s">
        <v>2328</v>
      </c>
      <c r="H719">
        <v>2500</v>
      </c>
      <c r="I719" s="16" t="str">
        <f t="shared" si="11"/>
        <v>Normal</v>
      </c>
      <c r="J719">
        <v>3</v>
      </c>
    </row>
    <row r="720" spans="1:10">
      <c r="A720" t="s">
        <v>3069</v>
      </c>
      <c r="B720" t="s">
        <v>1719</v>
      </c>
      <c r="C720" t="s">
        <v>2269</v>
      </c>
      <c r="D720" s="9">
        <v>45382</v>
      </c>
      <c r="E720" t="s">
        <v>23</v>
      </c>
      <c r="G720" t="s">
        <v>2328</v>
      </c>
      <c r="H720">
        <v>499</v>
      </c>
      <c r="I720" s="16" t="str">
        <f t="shared" si="11"/>
        <v>Normal</v>
      </c>
      <c r="J720" t="s">
        <v>39</v>
      </c>
    </row>
    <row r="721" spans="1:10">
      <c r="A721" t="s">
        <v>3070</v>
      </c>
      <c r="B721" t="s">
        <v>1565</v>
      </c>
      <c r="C721" t="s">
        <v>2187</v>
      </c>
      <c r="D721" s="9">
        <v>45958</v>
      </c>
      <c r="E721" t="s">
        <v>2324</v>
      </c>
      <c r="F721" s="20">
        <v>55</v>
      </c>
      <c r="G721" t="s">
        <v>2345</v>
      </c>
      <c r="I721" s="16" t="str">
        <f t="shared" si="11"/>
        <v>Unknown</v>
      </c>
      <c r="J721" t="s">
        <v>39</v>
      </c>
    </row>
    <row r="722" spans="1:10">
      <c r="A722" t="s">
        <v>3071</v>
      </c>
      <c r="B722" t="s">
        <v>1617</v>
      </c>
      <c r="C722" t="s">
        <v>2264</v>
      </c>
      <c r="D722" s="9">
        <v>45219</v>
      </c>
      <c r="E722" t="s">
        <v>2327</v>
      </c>
      <c r="F722" s="20">
        <v>5</v>
      </c>
      <c r="G722" t="s">
        <v>2325</v>
      </c>
      <c r="H722">
        <v>2500</v>
      </c>
      <c r="I722" s="16" t="str">
        <f t="shared" si="11"/>
        <v>Normal</v>
      </c>
      <c r="J722">
        <v>4</v>
      </c>
    </row>
    <row r="723" spans="1:10">
      <c r="A723" t="s">
        <v>3072</v>
      </c>
      <c r="B723" t="s">
        <v>387</v>
      </c>
      <c r="C723" t="s">
        <v>2187</v>
      </c>
      <c r="D723" s="9">
        <v>46136</v>
      </c>
      <c r="E723" t="s">
        <v>23</v>
      </c>
      <c r="G723" t="s">
        <v>2325</v>
      </c>
      <c r="H723">
        <v>799</v>
      </c>
      <c r="I723" s="16" t="str">
        <f t="shared" si="11"/>
        <v>Normal</v>
      </c>
      <c r="J723" t="s">
        <v>39</v>
      </c>
    </row>
    <row r="724" spans="1:10">
      <c r="A724" t="s">
        <v>3073</v>
      </c>
      <c r="B724" t="s">
        <v>121</v>
      </c>
      <c r="C724" t="s">
        <v>2237</v>
      </c>
      <c r="D724" s="9">
        <v>45239</v>
      </c>
      <c r="E724" t="s">
        <v>2327</v>
      </c>
      <c r="F724" s="20">
        <v>15</v>
      </c>
      <c r="G724" t="s">
        <v>2325</v>
      </c>
      <c r="H724">
        <v>1500</v>
      </c>
      <c r="I724" s="16" t="str">
        <f t="shared" si="11"/>
        <v>Normal</v>
      </c>
      <c r="J724">
        <v>5</v>
      </c>
    </row>
    <row r="725" spans="1:10">
      <c r="A725" t="s">
        <v>3074</v>
      </c>
      <c r="B725" t="s">
        <v>1806</v>
      </c>
      <c r="C725" t="s">
        <v>2249</v>
      </c>
      <c r="D725" s="9">
        <v>45458</v>
      </c>
      <c r="E725" t="s">
        <v>23</v>
      </c>
      <c r="G725" t="s">
        <v>2339</v>
      </c>
      <c r="H725">
        <v>1500</v>
      </c>
      <c r="I725" s="16" t="str">
        <f t="shared" si="11"/>
        <v>Normal</v>
      </c>
      <c r="J725">
        <v>4</v>
      </c>
    </row>
    <row r="726" spans="1:10">
      <c r="A726" t="s">
        <v>3075</v>
      </c>
      <c r="B726" t="s">
        <v>1809</v>
      </c>
      <c r="C726" t="s">
        <v>2253</v>
      </c>
      <c r="D726" s="9">
        <v>45769</v>
      </c>
      <c r="E726" t="s">
        <v>2324</v>
      </c>
      <c r="F726" s="20">
        <v>10</v>
      </c>
      <c r="G726" t="s">
        <v>23</v>
      </c>
      <c r="H726">
        <v>1200</v>
      </c>
      <c r="I726" s="16" t="str">
        <f t="shared" si="11"/>
        <v>Normal</v>
      </c>
      <c r="J726" t="s">
        <v>39</v>
      </c>
    </row>
    <row r="727" spans="1:10">
      <c r="A727" t="s">
        <v>3076</v>
      </c>
      <c r="B727" t="s">
        <v>1103</v>
      </c>
      <c r="C727" t="s">
        <v>2205</v>
      </c>
      <c r="D727" s="9">
        <v>45988</v>
      </c>
      <c r="E727" t="s">
        <v>23</v>
      </c>
      <c r="G727" t="s">
        <v>2345</v>
      </c>
      <c r="H727">
        <v>1500</v>
      </c>
      <c r="I727" s="16" t="str">
        <f t="shared" si="11"/>
        <v>Normal</v>
      </c>
      <c r="J727">
        <v>1</v>
      </c>
    </row>
    <row r="728" spans="1:10">
      <c r="A728" t="s">
        <v>3077</v>
      </c>
      <c r="B728" t="s">
        <v>1169</v>
      </c>
      <c r="C728" t="s">
        <v>2251</v>
      </c>
      <c r="D728" s="9">
        <v>45393</v>
      </c>
      <c r="E728" t="s">
        <v>2324</v>
      </c>
      <c r="F728" s="20">
        <v>75</v>
      </c>
      <c r="G728" t="s">
        <v>2328</v>
      </c>
      <c r="H728">
        <v>1500</v>
      </c>
      <c r="I728" s="16" t="str">
        <f t="shared" si="11"/>
        <v>Normal</v>
      </c>
      <c r="J728">
        <v>2</v>
      </c>
    </row>
    <row r="729" spans="1:10">
      <c r="A729" t="s">
        <v>3078</v>
      </c>
      <c r="B729" t="s">
        <v>485</v>
      </c>
      <c r="C729" t="s">
        <v>2249</v>
      </c>
      <c r="D729" s="9">
        <v>45284</v>
      </c>
      <c r="E729" t="s">
        <v>2330</v>
      </c>
      <c r="G729" t="s">
        <v>2339</v>
      </c>
      <c r="H729">
        <v>1500</v>
      </c>
      <c r="I729" s="16" t="str">
        <f t="shared" si="11"/>
        <v>Normal</v>
      </c>
      <c r="J729">
        <v>3</v>
      </c>
    </row>
    <row r="730" spans="1:10">
      <c r="A730" t="s">
        <v>3079</v>
      </c>
      <c r="B730" t="s">
        <v>1385</v>
      </c>
      <c r="C730" t="s">
        <v>2247</v>
      </c>
      <c r="D730" s="9">
        <v>45248</v>
      </c>
      <c r="E730" t="s">
        <v>2324</v>
      </c>
      <c r="F730" s="20">
        <v>10</v>
      </c>
      <c r="G730" t="s">
        <v>2325</v>
      </c>
      <c r="I730" s="16" t="str">
        <f t="shared" si="11"/>
        <v>Unknown</v>
      </c>
      <c r="J730">
        <v>5</v>
      </c>
    </row>
    <row r="731" spans="1:10">
      <c r="A731" t="s">
        <v>3080</v>
      </c>
      <c r="B731" t="s">
        <v>806</v>
      </c>
      <c r="C731" t="s">
        <v>2225</v>
      </c>
      <c r="D731" s="9">
        <v>45602</v>
      </c>
      <c r="E731" t="s">
        <v>2330</v>
      </c>
      <c r="F731" s="20">
        <v>100</v>
      </c>
      <c r="G731" t="s">
        <v>23</v>
      </c>
      <c r="I731" s="16" t="str">
        <f t="shared" si="11"/>
        <v>Unknown</v>
      </c>
      <c r="J731">
        <v>3</v>
      </c>
    </row>
    <row r="732" spans="1:10">
      <c r="A732" t="s">
        <v>3081</v>
      </c>
      <c r="B732" t="s">
        <v>1069</v>
      </c>
      <c r="C732" t="s">
        <v>2244</v>
      </c>
      <c r="D732" s="9">
        <v>45088</v>
      </c>
      <c r="E732" t="s">
        <v>2324</v>
      </c>
      <c r="F732" s="20">
        <v>75</v>
      </c>
      <c r="G732" t="s">
        <v>2331</v>
      </c>
      <c r="H732">
        <v>1069.29</v>
      </c>
      <c r="I732" s="16" t="str">
        <f t="shared" si="11"/>
        <v>Normal</v>
      </c>
      <c r="J732">
        <v>1</v>
      </c>
    </row>
    <row r="733" spans="1:10">
      <c r="A733" t="s">
        <v>3082</v>
      </c>
      <c r="B733" t="s">
        <v>2113</v>
      </c>
      <c r="C733" t="s">
        <v>2273</v>
      </c>
      <c r="D733" s="9">
        <v>46042</v>
      </c>
      <c r="E733" t="s">
        <v>2330</v>
      </c>
      <c r="F733" s="20">
        <v>100</v>
      </c>
      <c r="G733" t="s">
        <v>23</v>
      </c>
      <c r="H733">
        <v>799</v>
      </c>
      <c r="I733" s="16" t="str">
        <f t="shared" si="11"/>
        <v>Normal</v>
      </c>
      <c r="J733">
        <v>1</v>
      </c>
    </row>
    <row r="734" spans="1:10">
      <c r="A734" t="s">
        <v>3083</v>
      </c>
      <c r="B734" t="s">
        <v>107</v>
      </c>
      <c r="C734" t="s">
        <v>2225</v>
      </c>
      <c r="D734" s="9">
        <v>45923</v>
      </c>
      <c r="E734" t="s">
        <v>2324</v>
      </c>
      <c r="F734" s="20">
        <v>55</v>
      </c>
      <c r="G734" t="s">
        <v>2331</v>
      </c>
      <c r="I734" s="16" t="str">
        <f t="shared" si="11"/>
        <v>Unknown</v>
      </c>
      <c r="J734" t="s">
        <v>39</v>
      </c>
    </row>
    <row r="735" spans="1:10">
      <c r="A735" t="s">
        <v>3084</v>
      </c>
      <c r="B735" t="s">
        <v>1960</v>
      </c>
      <c r="C735" t="s">
        <v>2237</v>
      </c>
      <c r="D735" s="9">
        <v>46071</v>
      </c>
      <c r="E735" t="s">
        <v>2330</v>
      </c>
      <c r="G735" t="s">
        <v>2325</v>
      </c>
      <c r="H735">
        <v>1500</v>
      </c>
      <c r="I735" s="16" t="str">
        <f t="shared" si="11"/>
        <v>Normal</v>
      </c>
      <c r="J735" t="s">
        <v>39</v>
      </c>
    </row>
    <row r="736" spans="1:10">
      <c r="A736" t="s">
        <v>3085</v>
      </c>
      <c r="B736" t="s">
        <v>1051</v>
      </c>
      <c r="C736" t="s">
        <v>2257</v>
      </c>
      <c r="D736" s="9">
        <v>46156</v>
      </c>
      <c r="E736" t="s">
        <v>2324</v>
      </c>
      <c r="G736" t="s">
        <v>2325</v>
      </c>
      <c r="I736" s="16" t="str">
        <f t="shared" si="11"/>
        <v>Unknown</v>
      </c>
      <c r="J736" t="s">
        <v>39</v>
      </c>
    </row>
    <row r="737" spans="1:10">
      <c r="A737" t="s">
        <v>3086</v>
      </c>
      <c r="B737" t="s">
        <v>34</v>
      </c>
      <c r="C737" t="s">
        <v>2225</v>
      </c>
      <c r="D737" s="9">
        <v>45550</v>
      </c>
      <c r="E737" t="s">
        <v>23</v>
      </c>
      <c r="G737" t="s">
        <v>2345</v>
      </c>
      <c r="I737" s="16" t="str">
        <f t="shared" si="11"/>
        <v>Unknown</v>
      </c>
      <c r="J737">
        <v>5</v>
      </c>
    </row>
    <row r="738" spans="1:10">
      <c r="A738" t="s">
        <v>3087</v>
      </c>
      <c r="B738" t="s">
        <v>1210</v>
      </c>
      <c r="C738" t="s">
        <v>2237</v>
      </c>
      <c r="D738" s="9">
        <v>45587</v>
      </c>
      <c r="E738" t="s">
        <v>2330</v>
      </c>
      <c r="F738" s="20">
        <v>100</v>
      </c>
      <c r="G738" t="s">
        <v>2331</v>
      </c>
      <c r="H738">
        <v>1500</v>
      </c>
      <c r="I738" s="16" t="str">
        <f t="shared" si="11"/>
        <v>Normal</v>
      </c>
      <c r="J738">
        <v>1</v>
      </c>
    </row>
    <row r="739" spans="1:10">
      <c r="A739" t="s">
        <v>3088</v>
      </c>
      <c r="B739" t="s">
        <v>1126</v>
      </c>
      <c r="C739" t="s">
        <v>2259</v>
      </c>
      <c r="D739" s="9">
        <v>45232</v>
      </c>
      <c r="E739" t="s">
        <v>2330</v>
      </c>
      <c r="F739" s="20">
        <v>100</v>
      </c>
      <c r="G739" t="s">
        <v>2345</v>
      </c>
      <c r="H739">
        <v>0</v>
      </c>
      <c r="I739" s="16" t="str">
        <f t="shared" si="11"/>
        <v>Zero Amount</v>
      </c>
      <c r="J739">
        <v>5</v>
      </c>
    </row>
    <row r="740" spans="1:10">
      <c r="A740" t="s">
        <v>3089</v>
      </c>
      <c r="B740" t="s">
        <v>949</v>
      </c>
      <c r="C740" t="s">
        <v>2264</v>
      </c>
      <c r="D740" s="9">
        <v>45676</v>
      </c>
      <c r="E740" t="s">
        <v>2337</v>
      </c>
      <c r="F740" s="20">
        <v>0</v>
      </c>
      <c r="G740" t="s">
        <v>2339</v>
      </c>
      <c r="H740">
        <v>2500</v>
      </c>
      <c r="I740" s="16" t="str">
        <f t="shared" si="11"/>
        <v>Normal</v>
      </c>
      <c r="J740">
        <v>2</v>
      </c>
    </row>
    <row r="741" spans="1:10">
      <c r="A741" t="s">
        <v>3090</v>
      </c>
      <c r="B741" t="s">
        <v>1129</v>
      </c>
      <c r="C741" t="s">
        <v>2187</v>
      </c>
      <c r="D741" s="9">
        <v>45731</v>
      </c>
      <c r="E741" t="s">
        <v>2337</v>
      </c>
      <c r="F741" s="20">
        <v>0</v>
      </c>
      <c r="G741" t="s">
        <v>2339</v>
      </c>
      <c r="H741">
        <v>799</v>
      </c>
      <c r="I741" s="16" t="str">
        <f t="shared" si="11"/>
        <v>Normal</v>
      </c>
      <c r="J741">
        <v>3</v>
      </c>
    </row>
    <row r="742" spans="1:10">
      <c r="A742" t="s">
        <v>3091</v>
      </c>
      <c r="B742" t="s">
        <v>1666</v>
      </c>
      <c r="C742" t="s">
        <v>2251</v>
      </c>
      <c r="D742" s="9">
        <v>45822</v>
      </c>
      <c r="E742" t="s">
        <v>2327</v>
      </c>
      <c r="G742" t="s">
        <v>2331</v>
      </c>
      <c r="H742">
        <v>1251.92</v>
      </c>
      <c r="I742" s="16" t="str">
        <f t="shared" si="11"/>
        <v>Normal</v>
      </c>
      <c r="J742">
        <v>5</v>
      </c>
    </row>
    <row r="743" spans="1:10">
      <c r="A743" t="s">
        <v>3092</v>
      </c>
      <c r="B743" t="s">
        <v>1043</v>
      </c>
      <c r="C743" t="s">
        <v>2235</v>
      </c>
      <c r="D743" s="9">
        <v>46168</v>
      </c>
      <c r="E743" t="s">
        <v>2330</v>
      </c>
      <c r="F743" s="20">
        <v>100</v>
      </c>
      <c r="G743" t="s">
        <v>2339</v>
      </c>
      <c r="H743">
        <v>3000</v>
      </c>
      <c r="I743" s="16" t="str">
        <f t="shared" si="11"/>
        <v>Normal</v>
      </c>
      <c r="J743">
        <v>4</v>
      </c>
    </row>
    <row r="744" spans="1:10">
      <c r="A744" t="s">
        <v>3093</v>
      </c>
      <c r="B744" t="s">
        <v>1683</v>
      </c>
      <c r="C744" t="s">
        <v>2205</v>
      </c>
      <c r="D744" s="9">
        <v>45479</v>
      </c>
      <c r="E744" t="s">
        <v>2330</v>
      </c>
      <c r="F744" s="20">
        <v>100</v>
      </c>
      <c r="G744" t="s">
        <v>2331</v>
      </c>
      <c r="H744">
        <v>1500</v>
      </c>
      <c r="I744" s="16" t="str">
        <f t="shared" si="11"/>
        <v>Normal</v>
      </c>
      <c r="J744" t="s">
        <v>39</v>
      </c>
    </row>
    <row r="745" spans="1:10">
      <c r="A745" t="s">
        <v>3094</v>
      </c>
      <c r="B745" t="s">
        <v>2045</v>
      </c>
      <c r="C745" t="s">
        <v>2237</v>
      </c>
      <c r="D745" s="9">
        <v>45899</v>
      </c>
      <c r="E745" t="s">
        <v>2327</v>
      </c>
      <c r="F745" s="20">
        <v>15</v>
      </c>
      <c r="G745" t="s">
        <v>2328</v>
      </c>
      <c r="H745">
        <v>1500</v>
      </c>
      <c r="I745" s="16" t="str">
        <f t="shared" si="11"/>
        <v>Normal</v>
      </c>
      <c r="J745">
        <v>4</v>
      </c>
    </row>
    <row r="746" spans="1:10">
      <c r="A746" t="s">
        <v>3095</v>
      </c>
      <c r="B746" t="s">
        <v>1225</v>
      </c>
      <c r="C746" t="s">
        <v>2231</v>
      </c>
      <c r="D746" s="9">
        <v>45345</v>
      </c>
      <c r="E746" t="s">
        <v>2324</v>
      </c>
      <c r="F746" s="20">
        <v>60</v>
      </c>
      <c r="G746" t="s">
        <v>2331</v>
      </c>
      <c r="H746">
        <v>3000</v>
      </c>
      <c r="I746" s="16" t="str">
        <f t="shared" si="11"/>
        <v>Normal</v>
      </c>
      <c r="J746" t="s">
        <v>39</v>
      </c>
    </row>
    <row r="747" spans="1:10">
      <c r="A747" t="s">
        <v>3096</v>
      </c>
      <c r="B747" t="s">
        <v>2091</v>
      </c>
      <c r="C747" t="s">
        <v>2261</v>
      </c>
      <c r="D747" s="9">
        <v>45387</v>
      </c>
      <c r="E747" t="s">
        <v>2330</v>
      </c>
      <c r="F747" s="20">
        <v>100</v>
      </c>
      <c r="G747" t="s">
        <v>2339</v>
      </c>
      <c r="I747" s="16" t="str">
        <f t="shared" si="11"/>
        <v>Unknown</v>
      </c>
      <c r="J747">
        <v>5</v>
      </c>
    </row>
    <row r="748" spans="1:10">
      <c r="A748" t="s">
        <v>3097</v>
      </c>
      <c r="B748" t="s">
        <v>1842</v>
      </c>
      <c r="C748" t="s">
        <v>2198</v>
      </c>
      <c r="D748" s="9">
        <v>45422</v>
      </c>
      <c r="E748" t="s">
        <v>2327</v>
      </c>
      <c r="F748" s="20">
        <v>5</v>
      </c>
      <c r="G748" t="s">
        <v>2325</v>
      </c>
      <c r="I748" s="16" t="str">
        <f t="shared" si="11"/>
        <v>Unknown</v>
      </c>
      <c r="J748" t="s">
        <v>39</v>
      </c>
    </row>
    <row r="749" spans="1:10">
      <c r="A749" t="s">
        <v>3098</v>
      </c>
      <c r="B749" t="s">
        <v>376</v>
      </c>
      <c r="C749" t="s">
        <v>2261</v>
      </c>
      <c r="D749" s="9">
        <v>45188</v>
      </c>
      <c r="E749" t="s">
        <v>2324</v>
      </c>
      <c r="F749" s="20">
        <v>40</v>
      </c>
      <c r="G749" t="s">
        <v>2331</v>
      </c>
      <c r="I749" s="16" t="str">
        <f t="shared" si="11"/>
        <v>Unknown</v>
      </c>
      <c r="J749" t="s">
        <v>39</v>
      </c>
    </row>
    <row r="750" spans="1:10">
      <c r="A750" t="s">
        <v>3099</v>
      </c>
      <c r="B750" t="s">
        <v>1827</v>
      </c>
      <c r="C750" t="s">
        <v>2231</v>
      </c>
      <c r="D750" s="9">
        <v>45710</v>
      </c>
      <c r="E750" t="s">
        <v>2330</v>
      </c>
      <c r="F750" s="20">
        <v>100</v>
      </c>
      <c r="G750" t="s">
        <v>2328</v>
      </c>
      <c r="H750">
        <v>2449.69</v>
      </c>
      <c r="I750" s="16" t="str">
        <f t="shared" si="11"/>
        <v>Normal</v>
      </c>
      <c r="J750">
        <v>5</v>
      </c>
    </row>
    <row r="751" spans="1:10">
      <c r="A751" t="s">
        <v>3100</v>
      </c>
      <c r="B751" t="s">
        <v>607</v>
      </c>
      <c r="C751" t="s">
        <v>2244</v>
      </c>
      <c r="D751" s="9">
        <v>46054</v>
      </c>
      <c r="E751" t="s">
        <v>2330</v>
      </c>
      <c r="F751" s="20">
        <v>100</v>
      </c>
      <c r="G751" t="s">
        <v>2345</v>
      </c>
      <c r="H751">
        <v>1200</v>
      </c>
      <c r="I751" s="16" t="str">
        <f t="shared" si="11"/>
        <v>Normal</v>
      </c>
      <c r="J751">
        <v>5</v>
      </c>
    </row>
    <row r="752" spans="1:10">
      <c r="A752" t="s">
        <v>3101</v>
      </c>
      <c r="B752" t="s">
        <v>870</v>
      </c>
      <c r="C752" t="s">
        <v>2216</v>
      </c>
      <c r="D752" s="9">
        <v>45820</v>
      </c>
      <c r="E752" t="s">
        <v>2330</v>
      </c>
      <c r="F752" s="20">
        <v>100</v>
      </c>
      <c r="G752" t="s">
        <v>2325</v>
      </c>
      <c r="H752">
        <v>1200</v>
      </c>
      <c r="I752" s="16" t="str">
        <f t="shared" si="11"/>
        <v>Normal</v>
      </c>
      <c r="J752" t="s">
        <v>39</v>
      </c>
    </row>
    <row r="753" spans="1:10">
      <c r="A753" t="s">
        <v>3102</v>
      </c>
      <c r="B753" t="s">
        <v>1776</v>
      </c>
      <c r="C753" t="s">
        <v>2193</v>
      </c>
      <c r="D753" s="9">
        <v>45903</v>
      </c>
      <c r="E753" t="s">
        <v>2330</v>
      </c>
      <c r="F753" s="20">
        <v>100</v>
      </c>
      <c r="G753" t="s">
        <v>2339</v>
      </c>
      <c r="H753">
        <v>0</v>
      </c>
      <c r="I753" s="16" t="str">
        <f t="shared" si="11"/>
        <v>Zero Amount</v>
      </c>
      <c r="J753">
        <v>1</v>
      </c>
    </row>
    <row r="754" spans="1:10">
      <c r="A754" t="s">
        <v>3103</v>
      </c>
      <c r="B754" t="s">
        <v>1857</v>
      </c>
      <c r="C754" t="s">
        <v>2225</v>
      </c>
      <c r="D754" s="9">
        <v>45293</v>
      </c>
      <c r="E754" t="s">
        <v>2337</v>
      </c>
      <c r="F754" s="20">
        <v>20</v>
      </c>
      <c r="G754" t="s">
        <v>2345</v>
      </c>
      <c r="I754" s="16" t="str">
        <f t="shared" si="11"/>
        <v>Unknown</v>
      </c>
      <c r="J754" t="s">
        <v>39</v>
      </c>
    </row>
    <row r="755" spans="1:10">
      <c r="A755" t="s">
        <v>3104</v>
      </c>
      <c r="B755" t="s">
        <v>1827</v>
      </c>
      <c r="C755" t="s">
        <v>2187</v>
      </c>
      <c r="D755" s="9">
        <v>45183</v>
      </c>
      <c r="E755" t="s">
        <v>2337</v>
      </c>
      <c r="G755" t="s">
        <v>2345</v>
      </c>
      <c r="H755">
        <v>456.17</v>
      </c>
      <c r="I755" s="16" t="str">
        <f t="shared" si="11"/>
        <v>Normal</v>
      </c>
      <c r="J755" t="s">
        <v>39</v>
      </c>
    </row>
    <row r="756" spans="1:10">
      <c r="A756" t="s">
        <v>3105</v>
      </c>
      <c r="B756" t="s">
        <v>803</v>
      </c>
      <c r="C756" t="s">
        <v>2216</v>
      </c>
      <c r="D756" s="9">
        <v>46163</v>
      </c>
      <c r="E756" t="s">
        <v>23</v>
      </c>
      <c r="G756" t="s">
        <v>2331</v>
      </c>
      <c r="H756">
        <v>1200</v>
      </c>
      <c r="I756" s="16" t="str">
        <f t="shared" si="11"/>
        <v>Normal</v>
      </c>
      <c r="J756" t="s">
        <v>39</v>
      </c>
    </row>
    <row r="757" spans="1:10">
      <c r="A757" t="s">
        <v>3106</v>
      </c>
      <c r="B757" t="s">
        <v>2143</v>
      </c>
      <c r="C757" t="s">
        <v>2271</v>
      </c>
      <c r="D757" s="9">
        <v>45164</v>
      </c>
      <c r="E757" t="s">
        <v>2327</v>
      </c>
      <c r="F757" s="20">
        <v>20</v>
      </c>
      <c r="G757" t="s">
        <v>2345</v>
      </c>
      <c r="H757">
        <v>1200</v>
      </c>
      <c r="I757" s="16" t="str">
        <f t="shared" si="11"/>
        <v>Normal</v>
      </c>
      <c r="J757">
        <v>1</v>
      </c>
    </row>
    <row r="758" spans="1:10">
      <c r="A758" t="s">
        <v>3107</v>
      </c>
      <c r="B758" t="s">
        <v>1072</v>
      </c>
      <c r="C758" t="s">
        <v>2218</v>
      </c>
      <c r="D758" s="9">
        <v>45112</v>
      </c>
      <c r="E758" t="s">
        <v>2324</v>
      </c>
      <c r="F758" s="20">
        <v>60</v>
      </c>
      <c r="G758" t="s">
        <v>2325</v>
      </c>
      <c r="I758" s="16" t="str">
        <f t="shared" si="11"/>
        <v>Unknown</v>
      </c>
      <c r="J758">
        <v>4</v>
      </c>
    </row>
    <row r="759" spans="1:10">
      <c r="A759" t="s">
        <v>3108</v>
      </c>
      <c r="B759" t="s">
        <v>979</v>
      </c>
      <c r="C759" t="s">
        <v>2225</v>
      </c>
      <c r="D759" s="9">
        <v>45334</v>
      </c>
      <c r="E759" t="s">
        <v>2324</v>
      </c>
      <c r="F759" s="20">
        <v>40</v>
      </c>
      <c r="G759" t="s">
        <v>2345</v>
      </c>
      <c r="I759" s="16" t="str">
        <f t="shared" si="11"/>
        <v>Unknown</v>
      </c>
      <c r="J759">
        <v>4</v>
      </c>
    </row>
    <row r="760" spans="1:10">
      <c r="A760" t="s">
        <v>3109</v>
      </c>
      <c r="B760" t="s">
        <v>1683</v>
      </c>
      <c r="C760" t="s">
        <v>2187</v>
      </c>
      <c r="D760" s="9">
        <v>45759</v>
      </c>
      <c r="E760" t="s">
        <v>2337</v>
      </c>
      <c r="F760" s="20">
        <v>5</v>
      </c>
      <c r="G760" t="s">
        <v>2328</v>
      </c>
      <c r="H760">
        <v>799</v>
      </c>
      <c r="I760" s="16" t="str">
        <f t="shared" si="11"/>
        <v>Normal</v>
      </c>
      <c r="J760" t="s">
        <v>39</v>
      </c>
    </row>
    <row r="761" spans="1:10">
      <c r="A761" t="s">
        <v>3110</v>
      </c>
      <c r="B761" t="s">
        <v>430</v>
      </c>
      <c r="C761" t="s">
        <v>2259</v>
      </c>
      <c r="D761" s="9">
        <v>45303</v>
      </c>
      <c r="E761" t="s">
        <v>2330</v>
      </c>
      <c r="F761" s="20">
        <v>100</v>
      </c>
      <c r="G761" t="s">
        <v>2345</v>
      </c>
      <c r="H761">
        <v>0</v>
      </c>
      <c r="I761" s="16" t="str">
        <f t="shared" si="11"/>
        <v>Zero Amount</v>
      </c>
      <c r="J761">
        <v>4</v>
      </c>
    </row>
    <row r="762" spans="1:10">
      <c r="A762" t="s">
        <v>3111</v>
      </c>
      <c r="B762" t="s">
        <v>824</v>
      </c>
      <c r="C762" t="s">
        <v>2271</v>
      </c>
      <c r="D762" s="9">
        <v>45212</v>
      </c>
      <c r="E762" t="s">
        <v>2330</v>
      </c>
      <c r="G762" t="s">
        <v>2325</v>
      </c>
      <c r="H762">
        <v>1200</v>
      </c>
      <c r="I762" s="16" t="str">
        <f t="shared" si="11"/>
        <v>Normal</v>
      </c>
      <c r="J762">
        <v>3</v>
      </c>
    </row>
    <row r="763" spans="1:10">
      <c r="A763" t="s">
        <v>3112</v>
      </c>
      <c r="B763" t="s">
        <v>2094</v>
      </c>
      <c r="C763" t="s">
        <v>2271</v>
      </c>
      <c r="D763" s="9">
        <v>45384</v>
      </c>
      <c r="E763" t="s">
        <v>2330</v>
      </c>
      <c r="F763" s="20">
        <v>100</v>
      </c>
      <c r="G763" t="s">
        <v>2345</v>
      </c>
      <c r="H763">
        <v>1200</v>
      </c>
      <c r="I763" s="16" t="str">
        <f t="shared" si="11"/>
        <v>Normal</v>
      </c>
      <c r="J763">
        <v>5</v>
      </c>
    </row>
    <row r="764" spans="1:10">
      <c r="A764" t="s">
        <v>3113</v>
      </c>
      <c r="B764" t="s">
        <v>832</v>
      </c>
      <c r="C764" t="s">
        <v>2267</v>
      </c>
      <c r="D764" s="9">
        <v>45745</v>
      </c>
      <c r="E764" t="s">
        <v>2324</v>
      </c>
      <c r="F764" s="20">
        <v>25</v>
      </c>
      <c r="G764" t="s">
        <v>2328</v>
      </c>
      <c r="H764">
        <v>999.99</v>
      </c>
      <c r="I764" s="16" t="str">
        <f t="shared" si="11"/>
        <v>Normal</v>
      </c>
      <c r="J764">
        <v>5</v>
      </c>
    </row>
    <row r="765" spans="1:10">
      <c r="A765" t="s">
        <v>3114</v>
      </c>
      <c r="B765" t="s">
        <v>1239</v>
      </c>
      <c r="C765" t="s">
        <v>2235</v>
      </c>
      <c r="D765" s="9">
        <v>45676</v>
      </c>
      <c r="E765" t="s">
        <v>2327</v>
      </c>
      <c r="F765" s="20">
        <v>20</v>
      </c>
      <c r="G765" t="s">
        <v>2345</v>
      </c>
      <c r="H765">
        <v>3000</v>
      </c>
      <c r="I765" s="16" t="str">
        <f t="shared" si="11"/>
        <v>Normal</v>
      </c>
      <c r="J765">
        <v>5</v>
      </c>
    </row>
    <row r="766" spans="1:10">
      <c r="A766" t="s">
        <v>3115</v>
      </c>
      <c r="B766" t="s">
        <v>949</v>
      </c>
      <c r="C766" t="s">
        <v>2198</v>
      </c>
      <c r="D766" s="9">
        <v>46038</v>
      </c>
      <c r="E766" t="s">
        <v>2324</v>
      </c>
      <c r="F766" s="20">
        <v>10</v>
      </c>
      <c r="G766" t="s">
        <v>2345</v>
      </c>
      <c r="I766" s="16" t="str">
        <f t="shared" si="11"/>
        <v>Unknown</v>
      </c>
      <c r="J766" t="s">
        <v>39</v>
      </c>
    </row>
    <row r="767" spans="1:10">
      <c r="A767" t="s">
        <v>3116</v>
      </c>
      <c r="B767" t="s">
        <v>1043</v>
      </c>
      <c r="C767" t="s">
        <v>2273</v>
      </c>
      <c r="D767" s="9">
        <v>45931</v>
      </c>
      <c r="E767" t="s">
        <v>2330</v>
      </c>
      <c r="G767" t="s">
        <v>2339</v>
      </c>
      <c r="H767">
        <v>799</v>
      </c>
      <c r="I767" s="16" t="str">
        <f t="shared" si="11"/>
        <v>Normal</v>
      </c>
      <c r="J767">
        <v>5</v>
      </c>
    </row>
    <row r="768" spans="1:10">
      <c r="A768" t="s">
        <v>3117</v>
      </c>
      <c r="B768" t="s">
        <v>394</v>
      </c>
      <c r="C768" t="s">
        <v>2193</v>
      </c>
      <c r="D768" s="9">
        <v>45439</v>
      </c>
      <c r="E768" t="s">
        <v>2330</v>
      </c>
      <c r="F768" s="20">
        <v>100</v>
      </c>
      <c r="G768" t="s">
        <v>2331</v>
      </c>
      <c r="H768">
        <v>0</v>
      </c>
      <c r="I768" s="16" t="str">
        <f t="shared" si="11"/>
        <v>Zero Amount</v>
      </c>
      <c r="J768">
        <v>1</v>
      </c>
    </row>
    <row r="769" spans="1:10">
      <c r="A769" t="s">
        <v>3118</v>
      </c>
      <c r="B769" t="s">
        <v>316</v>
      </c>
      <c r="C769" t="s">
        <v>2218</v>
      </c>
      <c r="D769" s="9">
        <v>45595</v>
      </c>
      <c r="E769" t="s">
        <v>2330</v>
      </c>
      <c r="F769" s="20">
        <v>100</v>
      </c>
      <c r="G769" t="s">
        <v>2331</v>
      </c>
      <c r="H769">
        <v>1500</v>
      </c>
      <c r="I769" s="16" t="str">
        <f t="shared" si="11"/>
        <v>Normal</v>
      </c>
      <c r="J769">
        <v>2</v>
      </c>
    </row>
    <row r="770" spans="1:10">
      <c r="A770" t="s">
        <v>3119</v>
      </c>
      <c r="B770" t="s">
        <v>1149</v>
      </c>
      <c r="C770" t="s">
        <v>2205</v>
      </c>
      <c r="D770" s="9">
        <v>45089</v>
      </c>
      <c r="E770" t="s">
        <v>23</v>
      </c>
      <c r="G770" t="s">
        <v>2345</v>
      </c>
      <c r="H770">
        <v>1500</v>
      </c>
      <c r="I770" s="16" t="str">
        <f t="shared" si="11"/>
        <v>Normal</v>
      </c>
      <c r="J770">
        <v>1</v>
      </c>
    </row>
    <row r="771" spans="1:10">
      <c r="A771" t="s">
        <v>3120</v>
      </c>
      <c r="B771" t="s">
        <v>2583</v>
      </c>
      <c r="C771" t="s">
        <v>2209</v>
      </c>
      <c r="D771" s="9">
        <v>45650</v>
      </c>
      <c r="E771" t="s">
        <v>2324</v>
      </c>
      <c r="F771" s="20">
        <v>10</v>
      </c>
      <c r="G771" t="s">
        <v>2345</v>
      </c>
      <c r="H771">
        <v>499</v>
      </c>
      <c r="I771" s="16" t="str">
        <f t="shared" ref="I771:I834" si="12">IF(H771="", "Unknown", IF(H771=0, "Zero Amount", IF(H771&lt;1, "Review", IF(H771&gt;1, "Normal"))))</f>
        <v>Normal</v>
      </c>
      <c r="J771">
        <v>1</v>
      </c>
    </row>
    <row r="772" spans="1:10">
      <c r="A772" t="s">
        <v>3121</v>
      </c>
      <c r="B772" t="s">
        <v>1030</v>
      </c>
      <c r="C772" t="s">
        <v>2187</v>
      </c>
      <c r="D772" s="9">
        <v>46099</v>
      </c>
      <c r="E772" t="s">
        <v>23</v>
      </c>
      <c r="G772" t="s">
        <v>2339</v>
      </c>
      <c r="H772">
        <v>799</v>
      </c>
      <c r="I772" s="16" t="str">
        <f t="shared" si="12"/>
        <v>Normal</v>
      </c>
      <c r="J772" t="s">
        <v>39</v>
      </c>
    </row>
    <row r="773" spans="1:10">
      <c r="A773" t="s">
        <v>3122</v>
      </c>
      <c r="B773" t="s">
        <v>828</v>
      </c>
      <c r="C773" t="s">
        <v>2198</v>
      </c>
      <c r="D773" s="9">
        <v>45337</v>
      </c>
      <c r="E773" t="s">
        <v>2337</v>
      </c>
      <c r="F773" s="20">
        <v>0</v>
      </c>
      <c r="G773" t="s">
        <v>23</v>
      </c>
      <c r="I773" s="16" t="str">
        <f t="shared" si="12"/>
        <v>Unknown</v>
      </c>
      <c r="J773" t="s">
        <v>39</v>
      </c>
    </row>
    <row r="774" spans="1:10">
      <c r="A774" t="s">
        <v>3123</v>
      </c>
      <c r="B774" t="s">
        <v>1540</v>
      </c>
      <c r="C774" t="s">
        <v>2209</v>
      </c>
      <c r="D774" s="9">
        <v>45496</v>
      </c>
      <c r="E774" t="s">
        <v>2330</v>
      </c>
      <c r="F774" s="20">
        <v>100</v>
      </c>
      <c r="G774" t="s">
        <v>2345</v>
      </c>
      <c r="H774">
        <v>499</v>
      </c>
      <c r="I774" s="16" t="str">
        <f t="shared" si="12"/>
        <v>Normal</v>
      </c>
      <c r="J774" t="s">
        <v>39</v>
      </c>
    </row>
    <row r="775" spans="1:10">
      <c r="A775" t="s">
        <v>3124</v>
      </c>
      <c r="B775" t="s">
        <v>1072</v>
      </c>
      <c r="C775" t="s">
        <v>2259</v>
      </c>
      <c r="D775" s="9">
        <v>46166</v>
      </c>
      <c r="E775" t="s">
        <v>2330</v>
      </c>
      <c r="F775" s="20">
        <v>100</v>
      </c>
      <c r="G775" t="s">
        <v>2345</v>
      </c>
      <c r="H775">
        <v>0</v>
      </c>
      <c r="I775" s="16" t="str">
        <f t="shared" si="12"/>
        <v>Zero Amount</v>
      </c>
      <c r="J775">
        <v>2</v>
      </c>
    </row>
    <row r="776" spans="1:10">
      <c r="A776" t="s">
        <v>3125</v>
      </c>
      <c r="B776" t="s">
        <v>729</v>
      </c>
      <c r="C776" t="s">
        <v>2216</v>
      </c>
      <c r="D776" s="9">
        <v>46049</v>
      </c>
      <c r="E776" t="s">
        <v>23</v>
      </c>
      <c r="G776" t="s">
        <v>2345</v>
      </c>
      <c r="I776" s="16" t="str">
        <f t="shared" si="12"/>
        <v>Unknown</v>
      </c>
      <c r="J776" t="s">
        <v>39</v>
      </c>
    </row>
    <row r="777" spans="1:10">
      <c r="A777" t="s">
        <v>3126</v>
      </c>
      <c r="B777" t="s">
        <v>2080</v>
      </c>
      <c r="C777" t="s">
        <v>2267</v>
      </c>
      <c r="D777" s="9">
        <v>45717</v>
      </c>
      <c r="E777" t="s">
        <v>23</v>
      </c>
      <c r="G777" t="s">
        <v>2345</v>
      </c>
      <c r="H777">
        <v>999.99</v>
      </c>
      <c r="I777" s="16" t="str">
        <f t="shared" si="12"/>
        <v>Normal</v>
      </c>
      <c r="J777">
        <v>1</v>
      </c>
    </row>
    <row r="778" spans="1:10">
      <c r="A778" t="s">
        <v>3127</v>
      </c>
      <c r="B778" t="s">
        <v>1091</v>
      </c>
      <c r="C778" t="s">
        <v>2228</v>
      </c>
      <c r="D778" s="9">
        <v>45952</v>
      </c>
      <c r="E778" t="s">
        <v>2324</v>
      </c>
      <c r="F778" s="20">
        <v>55</v>
      </c>
      <c r="G778" t="s">
        <v>2331</v>
      </c>
      <c r="H778">
        <v>799</v>
      </c>
      <c r="I778" s="16" t="str">
        <f t="shared" si="12"/>
        <v>Normal</v>
      </c>
      <c r="J778">
        <v>5</v>
      </c>
    </row>
    <row r="779" spans="1:10">
      <c r="A779" t="s">
        <v>3128</v>
      </c>
      <c r="B779" t="s">
        <v>1393</v>
      </c>
      <c r="C779" t="s">
        <v>2259</v>
      </c>
      <c r="D779" s="9">
        <v>45303</v>
      </c>
      <c r="E779" t="s">
        <v>2327</v>
      </c>
      <c r="F779" s="20">
        <v>15</v>
      </c>
      <c r="G779" t="s">
        <v>2328</v>
      </c>
      <c r="H779">
        <v>0</v>
      </c>
      <c r="I779" s="16" t="str">
        <f t="shared" si="12"/>
        <v>Zero Amount</v>
      </c>
      <c r="J779">
        <v>3</v>
      </c>
    </row>
    <row r="780" spans="1:10">
      <c r="A780" t="s">
        <v>3129</v>
      </c>
      <c r="B780" t="s">
        <v>1397</v>
      </c>
      <c r="C780" t="s">
        <v>2235</v>
      </c>
      <c r="D780" s="9">
        <v>45402</v>
      </c>
      <c r="E780" t="s">
        <v>2330</v>
      </c>
      <c r="G780" t="s">
        <v>23</v>
      </c>
      <c r="H780">
        <v>3000</v>
      </c>
      <c r="I780" s="16" t="str">
        <f t="shared" si="12"/>
        <v>Normal</v>
      </c>
      <c r="J780" t="s">
        <v>39</v>
      </c>
    </row>
    <row r="781" spans="1:10">
      <c r="A781" t="s">
        <v>3130</v>
      </c>
      <c r="B781" t="s">
        <v>2010</v>
      </c>
      <c r="C781" t="s">
        <v>2233</v>
      </c>
      <c r="D781" s="9">
        <v>45277</v>
      </c>
      <c r="E781" t="s">
        <v>2337</v>
      </c>
      <c r="F781" s="20">
        <v>0</v>
      </c>
      <c r="G781" t="s">
        <v>2339</v>
      </c>
      <c r="H781">
        <v>1700.22</v>
      </c>
      <c r="I781" s="16" t="str">
        <f t="shared" si="12"/>
        <v>Normal</v>
      </c>
      <c r="J781">
        <v>4</v>
      </c>
    </row>
    <row r="782" spans="1:10">
      <c r="A782" t="s">
        <v>3131</v>
      </c>
      <c r="B782" t="s">
        <v>1255</v>
      </c>
      <c r="C782" t="s">
        <v>2273</v>
      </c>
      <c r="D782" s="9">
        <v>45434</v>
      </c>
      <c r="E782" t="s">
        <v>23</v>
      </c>
      <c r="G782" t="s">
        <v>2339</v>
      </c>
      <c r="H782">
        <v>799</v>
      </c>
      <c r="I782" s="16" t="str">
        <f t="shared" si="12"/>
        <v>Normal</v>
      </c>
      <c r="J782">
        <v>5</v>
      </c>
    </row>
    <row r="783" spans="1:10">
      <c r="A783" t="s">
        <v>3132</v>
      </c>
      <c r="B783" t="s">
        <v>203</v>
      </c>
      <c r="C783" t="s">
        <v>2225</v>
      </c>
      <c r="D783" s="9">
        <v>46051</v>
      </c>
      <c r="E783" t="s">
        <v>2327</v>
      </c>
      <c r="G783" t="s">
        <v>2339</v>
      </c>
      <c r="I783" s="16" t="str">
        <f t="shared" si="12"/>
        <v>Unknown</v>
      </c>
      <c r="J783">
        <v>3</v>
      </c>
    </row>
    <row r="784" spans="1:10">
      <c r="A784" t="s">
        <v>3133</v>
      </c>
      <c r="B784" t="s">
        <v>2116</v>
      </c>
      <c r="C784" t="s">
        <v>2205</v>
      </c>
      <c r="D784" s="9">
        <v>45808</v>
      </c>
      <c r="E784" t="s">
        <v>2337</v>
      </c>
      <c r="F784" s="20">
        <v>0</v>
      </c>
      <c r="G784" t="s">
        <v>2345</v>
      </c>
      <c r="H784">
        <v>1500</v>
      </c>
      <c r="I784" s="16" t="str">
        <f t="shared" si="12"/>
        <v>Normal</v>
      </c>
      <c r="J784">
        <v>4</v>
      </c>
    </row>
    <row r="785" spans="1:10">
      <c r="A785" t="s">
        <v>3134</v>
      </c>
      <c r="B785" t="s">
        <v>1926</v>
      </c>
      <c r="C785" t="s">
        <v>2202</v>
      </c>
      <c r="D785" s="9">
        <v>45259</v>
      </c>
      <c r="E785" t="s">
        <v>2330</v>
      </c>
      <c r="F785" s="20">
        <v>100</v>
      </c>
      <c r="G785" t="s">
        <v>2339</v>
      </c>
      <c r="H785">
        <v>999.99</v>
      </c>
      <c r="I785" s="16" t="str">
        <f t="shared" si="12"/>
        <v>Normal</v>
      </c>
      <c r="J785">
        <v>2</v>
      </c>
    </row>
    <row r="786" spans="1:10">
      <c r="A786" t="s">
        <v>3135</v>
      </c>
      <c r="B786" t="s">
        <v>870</v>
      </c>
      <c r="C786" t="s">
        <v>2253</v>
      </c>
      <c r="D786" s="9">
        <v>46058</v>
      </c>
      <c r="E786" t="s">
        <v>2324</v>
      </c>
      <c r="F786" s="20">
        <v>55</v>
      </c>
      <c r="G786" t="s">
        <v>2331</v>
      </c>
      <c r="H786">
        <v>1200</v>
      </c>
      <c r="I786" s="16" t="str">
        <f t="shared" si="12"/>
        <v>Normal</v>
      </c>
      <c r="J786" t="s">
        <v>39</v>
      </c>
    </row>
    <row r="787" spans="1:10">
      <c r="A787" t="s">
        <v>3136</v>
      </c>
      <c r="B787" t="s">
        <v>2030</v>
      </c>
      <c r="C787" t="s">
        <v>2273</v>
      </c>
      <c r="D787" s="9">
        <v>45914</v>
      </c>
      <c r="E787" t="s">
        <v>2337</v>
      </c>
      <c r="F787" s="20">
        <v>5</v>
      </c>
      <c r="G787" t="s">
        <v>2328</v>
      </c>
      <c r="H787">
        <v>799</v>
      </c>
      <c r="I787" s="16" t="str">
        <f t="shared" si="12"/>
        <v>Normal</v>
      </c>
      <c r="J787">
        <v>4</v>
      </c>
    </row>
    <row r="788" spans="1:10">
      <c r="A788" t="s">
        <v>3137</v>
      </c>
      <c r="B788" t="s">
        <v>426</v>
      </c>
      <c r="C788" t="s">
        <v>2216</v>
      </c>
      <c r="D788" s="9">
        <v>45361</v>
      </c>
      <c r="E788" t="s">
        <v>23</v>
      </c>
      <c r="G788" t="s">
        <v>2325</v>
      </c>
      <c r="H788">
        <v>1200</v>
      </c>
      <c r="I788" s="16" t="str">
        <f t="shared" si="12"/>
        <v>Normal</v>
      </c>
      <c r="J788" t="s">
        <v>39</v>
      </c>
    </row>
    <row r="789" spans="1:10">
      <c r="A789" t="s">
        <v>3138</v>
      </c>
      <c r="B789" t="s">
        <v>12</v>
      </c>
      <c r="C789" t="s">
        <v>2271</v>
      </c>
      <c r="D789" s="9">
        <v>46077</v>
      </c>
      <c r="E789" t="s">
        <v>2324</v>
      </c>
      <c r="F789" s="20">
        <v>55</v>
      </c>
      <c r="G789" t="s">
        <v>2345</v>
      </c>
      <c r="H789">
        <v>1200</v>
      </c>
      <c r="I789" s="16" t="str">
        <f t="shared" si="12"/>
        <v>Normal</v>
      </c>
      <c r="J789" t="s">
        <v>39</v>
      </c>
    </row>
    <row r="790" spans="1:10">
      <c r="A790" t="s">
        <v>3139</v>
      </c>
      <c r="B790" t="s">
        <v>926</v>
      </c>
      <c r="C790" t="s">
        <v>2261</v>
      </c>
      <c r="D790" s="9">
        <v>45597</v>
      </c>
      <c r="E790" t="s">
        <v>2330</v>
      </c>
      <c r="G790" t="s">
        <v>2331</v>
      </c>
      <c r="I790" s="16" t="str">
        <f t="shared" si="12"/>
        <v>Unknown</v>
      </c>
      <c r="J790">
        <v>1</v>
      </c>
    </row>
    <row r="791" spans="1:10">
      <c r="A791" t="s">
        <v>3140</v>
      </c>
      <c r="B791" t="s">
        <v>739</v>
      </c>
      <c r="C791" t="s">
        <v>2187</v>
      </c>
      <c r="D791" s="9">
        <v>45129</v>
      </c>
      <c r="E791" t="s">
        <v>2330</v>
      </c>
      <c r="F791" s="20">
        <v>100</v>
      </c>
      <c r="G791" t="s">
        <v>2339</v>
      </c>
      <c r="H791">
        <v>799</v>
      </c>
      <c r="I791" s="16" t="str">
        <f t="shared" si="12"/>
        <v>Normal</v>
      </c>
      <c r="J791">
        <v>2</v>
      </c>
    </row>
    <row r="792" spans="1:10">
      <c r="A792" t="s">
        <v>3141</v>
      </c>
      <c r="B792" t="s">
        <v>302</v>
      </c>
      <c r="C792" t="s">
        <v>2198</v>
      </c>
      <c r="D792" s="9">
        <v>45823</v>
      </c>
      <c r="E792" t="s">
        <v>23</v>
      </c>
      <c r="G792" t="s">
        <v>2331</v>
      </c>
      <c r="I792" s="16" t="str">
        <f t="shared" si="12"/>
        <v>Unknown</v>
      </c>
      <c r="J792" t="s">
        <v>39</v>
      </c>
    </row>
    <row r="793" spans="1:10">
      <c r="A793" t="s">
        <v>3142</v>
      </c>
      <c r="B793" t="s">
        <v>1504</v>
      </c>
      <c r="C793" t="s">
        <v>2187</v>
      </c>
      <c r="D793" s="9">
        <v>45594</v>
      </c>
      <c r="E793" t="s">
        <v>2330</v>
      </c>
      <c r="G793" t="s">
        <v>2325</v>
      </c>
      <c r="H793">
        <v>799</v>
      </c>
      <c r="I793" s="16" t="str">
        <f t="shared" si="12"/>
        <v>Normal</v>
      </c>
      <c r="J793">
        <v>3</v>
      </c>
    </row>
    <row r="794" spans="1:10">
      <c r="A794" t="s">
        <v>3143</v>
      </c>
      <c r="B794" t="s">
        <v>1155</v>
      </c>
      <c r="C794" t="s">
        <v>2233</v>
      </c>
      <c r="D794" s="9">
        <v>45389</v>
      </c>
      <c r="E794" t="s">
        <v>23</v>
      </c>
      <c r="G794" t="s">
        <v>23</v>
      </c>
      <c r="H794">
        <v>2500</v>
      </c>
      <c r="I794" s="16" t="str">
        <f t="shared" si="12"/>
        <v>Normal</v>
      </c>
      <c r="J794">
        <v>4</v>
      </c>
    </row>
    <row r="795" spans="1:10">
      <c r="A795" t="s">
        <v>3144</v>
      </c>
      <c r="B795" t="s">
        <v>163</v>
      </c>
      <c r="C795" t="s">
        <v>2237</v>
      </c>
      <c r="D795" s="9">
        <v>46026</v>
      </c>
      <c r="E795" t="s">
        <v>2324</v>
      </c>
      <c r="F795" s="20">
        <v>10</v>
      </c>
      <c r="G795" t="s">
        <v>2328</v>
      </c>
      <c r="H795">
        <v>1500</v>
      </c>
      <c r="I795" s="16" t="str">
        <f t="shared" si="12"/>
        <v>Normal</v>
      </c>
      <c r="J795">
        <v>2</v>
      </c>
    </row>
    <row r="796" spans="1:10">
      <c r="A796" t="s">
        <v>3145</v>
      </c>
      <c r="B796" t="s">
        <v>1995</v>
      </c>
      <c r="C796" t="s">
        <v>2261</v>
      </c>
      <c r="D796" s="9">
        <v>45190</v>
      </c>
      <c r="E796" t="s">
        <v>2337</v>
      </c>
      <c r="G796" t="s">
        <v>23</v>
      </c>
      <c r="I796" s="16" t="str">
        <f t="shared" si="12"/>
        <v>Unknown</v>
      </c>
      <c r="J796">
        <v>4</v>
      </c>
    </row>
    <row r="797" spans="1:10">
      <c r="A797" t="s">
        <v>3146</v>
      </c>
      <c r="B797" t="s">
        <v>141</v>
      </c>
      <c r="C797" t="s">
        <v>2231</v>
      </c>
      <c r="D797" s="9">
        <v>45570</v>
      </c>
      <c r="E797" t="s">
        <v>23</v>
      </c>
      <c r="G797" t="s">
        <v>2331</v>
      </c>
      <c r="H797">
        <v>1877.57</v>
      </c>
      <c r="I797" s="16" t="str">
        <f t="shared" si="12"/>
        <v>Normal</v>
      </c>
      <c r="J797" t="s">
        <v>39</v>
      </c>
    </row>
    <row r="798" spans="1:10">
      <c r="A798" t="s">
        <v>3147</v>
      </c>
      <c r="B798" t="s">
        <v>343</v>
      </c>
      <c r="C798" t="s">
        <v>2216</v>
      </c>
      <c r="D798" s="9">
        <v>45263</v>
      </c>
      <c r="E798" t="s">
        <v>2324</v>
      </c>
      <c r="F798" s="20">
        <v>55</v>
      </c>
      <c r="G798" t="s">
        <v>2325</v>
      </c>
      <c r="H798">
        <v>1200</v>
      </c>
      <c r="I798" s="16" t="str">
        <f t="shared" si="12"/>
        <v>Normal</v>
      </c>
      <c r="J798">
        <v>4</v>
      </c>
    </row>
    <row r="799" spans="1:10">
      <c r="A799" t="s">
        <v>3148</v>
      </c>
      <c r="B799" t="s">
        <v>1740</v>
      </c>
      <c r="C799" t="s">
        <v>2193</v>
      </c>
      <c r="D799" s="9">
        <v>45648</v>
      </c>
      <c r="E799" t="s">
        <v>2330</v>
      </c>
      <c r="G799" t="s">
        <v>23</v>
      </c>
      <c r="H799">
        <v>0</v>
      </c>
      <c r="I799" s="16" t="str">
        <f t="shared" si="12"/>
        <v>Zero Amount</v>
      </c>
      <c r="J799">
        <v>5</v>
      </c>
    </row>
    <row r="800" spans="1:10">
      <c r="A800" t="s">
        <v>3149</v>
      </c>
      <c r="B800" t="s">
        <v>832</v>
      </c>
      <c r="C800" t="s">
        <v>2249</v>
      </c>
      <c r="D800" s="9">
        <v>45654</v>
      </c>
      <c r="E800" t="s">
        <v>2324</v>
      </c>
      <c r="F800" s="20">
        <v>10</v>
      </c>
      <c r="G800" t="s">
        <v>2345</v>
      </c>
      <c r="H800">
        <v>1500</v>
      </c>
      <c r="I800" s="16" t="str">
        <f t="shared" si="12"/>
        <v>Normal</v>
      </c>
      <c r="J800" t="s">
        <v>39</v>
      </c>
    </row>
    <row r="801" spans="1:10">
      <c r="A801" t="s">
        <v>3150</v>
      </c>
      <c r="B801" t="s">
        <v>1876</v>
      </c>
      <c r="C801" t="s">
        <v>2235</v>
      </c>
      <c r="D801" s="9">
        <v>45156</v>
      </c>
      <c r="E801" t="s">
        <v>2327</v>
      </c>
      <c r="F801" s="20">
        <v>20</v>
      </c>
      <c r="G801" t="s">
        <v>2328</v>
      </c>
      <c r="H801">
        <v>-3000</v>
      </c>
      <c r="I801" s="16" t="str">
        <f t="shared" si="12"/>
        <v>Review</v>
      </c>
      <c r="J801">
        <v>2</v>
      </c>
    </row>
    <row r="802" spans="1:10">
      <c r="A802" t="s">
        <v>3151</v>
      </c>
      <c r="B802" t="s">
        <v>1984</v>
      </c>
      <c r="C802" t="s">
        <v>2251</v>
      </c>
      <c r="D802" s="9">
        <v>45396</v>
      </c>
      <c r="E802" t="s">
        <v>2330</v>
      </c>
      <c r="F802" s="20">
        <v>100</v>
      </c>
      <c r="G802" t="s">
        <v>23</v>
      </c>
      <c r="H802">
        <v>1500</v>
      </c>
      <c r="I802" s="16" t="str">
        <f t="shared" si="12"/>
        <v>Normal</v>
      </c>
      <c r="J802">
        <v>2</v>
      </c>
    </row>
    <row r="803" spans="1:10">
      <c r="A803" t="s">
        <v>3152</v>
      </c>
      <c r="B803" t="s">
        <v>682</v>
      </c>
      <c r="C803" t="s">
        <v>2271</v>
      </c>
      <c r="D803" s="9">
        <v>45087</v>
      </c>
      <c r="E803" t="s">
        <v>2330</v>
      </c>
      <c r="G803" t="s">
        <v>2331</v>
      </c>
      <c r="H803">
        <v>1200</v>
      </c>
      <c r="I803" s="16" t="str">
        <f t="shared" si="12"/>
        <v>Normal</v>
      </c>
      <c r="J803" t="s">
        <v>39</v>
      </c>
    </row>
    <row r="804" spans="1:10">
      <c r="A804" t="s">
        <v>3153</v>
      </c>
      <c r="B804" t="s">
        <v>1589</v>
      </c>
      <c r="C804" t="s">
        <v>2202</v>
      </c>
      <c r="D804" s="9">
        <v>45808</v>
      </c>
      <c r="E804" t="s">
        <v>2327</v>
      </c>
      <c r="F804" s="20">
        <v>0</v>
      </c>
      <c r="G804" t="s">
        <v>2325</v>
      </c>
      <c r="H804">
        <v>999.99</v>
      </c>
      <c r="I804" s="16" t="str">
        <f t="shared" si="12"/>
        <v>Normal</v>
      </c>
      <c r="J804">
        <v>1</v>
      </c>
    </row>
    <row r="805" spans="1:10">
      <c r="A805" t="s">
        <v>3154</v>
      </c>
      <c r="B805" t="s">
        <v>44</v>
      </c>
      <c r="C805" t="s">
        <v>2231</v>
      </c>
      <c r="D805" s="9">
        <v>45900</v>
      </c>
      <c r="E805" t="s">
        <v>2327</v>
      </c>
      <c r="F805" s="20">
        <v>20</v>
      </c>
      <c r="G805" t="s">
        <v>2325</v>
      </c>
      <c r="H805">
        <v>-3000</v>
      </c>
      <c r="I805" s="16" t="str">
        <f t="shared" si="12"/>
        <v>Review</v>
      </c>
      <c r="J805" t="s">
        <v>39</v>
      </c>
    </row>
    <row r="806" spans="1:10">
      <c r="A806" t="s">
        <v>3155</v>
      </c>
      <c r="B806" t="s">
        <v>1285</v>
      </c>
      <c r="C806" t="s">
        <v>2269</v>
      </c>
      <c r="D806" s="9">
        <v>45561</v>
      </c>
      <c r="E806" t="s">
        <v>23</v>
      </c>
      <c r="G806" t="s">
        <v>2331</v>
      </c>
      <c r="H806">
        <v>499</v>
      </c>
      <c r="I806" s="16" t="str">
        <f t="shared" si="12"/>
        <v>Normal</v>
      </c>
      <c r="J806">
        <v>1</v>
      </c>
    </row>
    <row r="807" spans="1:10">
      <c r="A807" t="s">
        <v>3156</v>
      </c>
      <c r="B807" t="s">
        <v>408</v>
      </c>
      <c r="C807" t="s">
        <v>2209</v>
      </c>
      <c r="D807" s="9">
        <v>45420</v>
      </c>
      <c r="E807" t="s">
        <v>2327</v>
      </c>
      <c r="G807" t="s">
        <v>23</v>
      </c>
      <c r="H807">
        <v>499</v>
      </c>
      <c r="I807" s="16" t="str">
        <f t="shared" si="12"/>
        <v>Normal</v>
      </c>
      <c r="J807">
        <v>4</v>
      </c>
    </row>
    <row r="808" spans="1:10">
      <c r="A808" t="s">
        <v>3157</v>
      </c>
      <c r="B808" t="s">
        <v>1377</v>
      </c>
      <c r="C808" t="s">
        <v>2264</v>
      </c>
      <c r="D808" s="9">
        <v>45539</v>
      </c>
      <c r="E808" t="s">
        <v>2337</v>
      </c>
      <c r="F808" s="20">
        <v>0</v>
      </c>
      <c r="G808" t="s">
        <v>2331</v>
      </c>
      <c r="H808">
        <v>2500</v>
      </c>
      <c r="I808" s="16" t="str">
        <f t="shared" si="12"/>
        <v>Normal</v>
      </c>
      <c r="J808">
        <v>5</v>
      </c>
    </row>
    <row r="809" spans="1:10">
      <c r="A809" t="s">
        <v>3158</v>
      </c>
      <c r="B809" t="s">
        <v>2014</v>
      </c>
      <c r="C809" t="s">
        <v>2202</v>
      </c>
      <c r="D809" s="9">
        <v>45692</v>
      </c>
      <c r="E809" t="s">
        <v>23</v>
      </c>
      <c r="G809" t="s">
        <v>2328</v>
      </c>
      <c r="H809">
        <v>-999.99</v>
      </c>
      <c r="I809" s="16" t="str">
        <f t="shared" si="12"/>
        <v>Review</v>
      </c>
      <c r="J809" t="s">
        <v>39</v>
      </c>
    </row>
    <row r="810" spans="1:10">
      <c r="A810" t="s">
        <v>3159</v>
      </c>
      <c r="B810" t="s">
        <v>284</v>
      </c>
      <c r="C810" t="s">
        <v>2198</v>
      </c>
      <c r="D810" s="9">
        <v>45678</v>
      </c>
      <c r="E810" t="s">
        <v>2330</v>
      </c>
      <c r="G810" t="s">
        <v>2325</v>
      </c>
      <c r="I810" s="16" t="str">
        <f t="shared" si="12"/>
        <v>Unknown</v>
      </c>
      <c r="J810">
        <v>3</v>
      </c>
    </row>
    <row r="811" spans="1:10">
      <c r="A811" t="s">
        <v>3160</v>
      </c>
      <c r="B811" t="s">
        <v>542</v>
      </c>
      <c r="C811" t="s">
        <v>2202</v>
      </c>
      <c r="D811" s="9">
        <v>45639</v>
      </c>
      <c r="E811" t="s">
        <v>2327</v>
      </c>
      <c r="F811" s="20">
        <v>0</v>
      </c>
      <c r="G811" t="s">
        <v>2325</v>
      </c>
      <c r="H811">
        <v>999.99</v>
      </c>
      <c r="I811" s="16" t="str">
        <f t="shared" si="12"/>
        <v>Normal</v>
      </c>
      <c r="J811">
        <v>4</v>
      </c>
    </row>
    <row r="812" spans="1:10">
      <c r="A812" t="s">
        <v>3161</v>
      </c>
      <c r="B812" t="s">
        <v>1662</v>
      </c>
      <c r="C812" t="s">
        <v>2253</v>
      </c>
      <c r="D812" s="9">
        <v>45573</v>
      </c>
      <c r="E812" t="s">
        <v>2324</v>
      </c>
      <c r="F812" s="20">
        <v>60</v>
      </c>
      <c r="G812" t="s">
        <v>2339</v>
      </c>
      <c r="H812">
        <v>1200</v>
      </c>
      <c r="I812" s="16" t="str">
        <f t="shared" si="12"/>
        <v>Normal</v>
      </c>
      <c r="J812">
        <v>2</v>
      </c>
    </row>
    <row r="813" spans="1:10">
      <c r="A813" t="s">
        <v>3162</v>
      </c>
      <c r="B813" t="s">
        <v>2147</v>
      </c>
      <c r="C813" t="s">
        <v>2233</v>
      </c>
      <c r="D813" s="9">
        <v>45844</v>
      </c>
      <c r="E813" t="s">
        <v>2330</v>
      </c>
      <c r="F813" s="20">
        <v>100</v>
      </c>
      <c r="G813" t="s">
        <v>2345</v>
      </c>
      <c r="H813">
        <v>2500</v>
      </c>
      <c r="I813" s="16" t="str">
        <f t="shared" si="12"/>
        <v>Normal</v>
      </c>
      <c r="J813">
        <v>1</v>
      </c>
    </row>
    <row r="814" spans="1:10">
      <c r="A814" t="s">
        <v>3163</v>
      </c>
      <c r="B814" t="s">
        <v>527</v>
      </c>
      <c r="C814" t="s">
        <v>2259</v>
      </c>
      <c r="D814" s="9">
        <v>45806</v>
      </c>
      <c r="E814" t="s">
        <v>2337</v>
      </c>
      <c r="F814" s="20">
        <v>0</v>
      </c>
      <c r="G814" t="s">
        <v>2345</v>
      </c>
      <c r="H814">
        <v>0</v>
      </c>
      <c r="I814" s="16" t="str">
        <f t="shared" si="12"/>
        <v>Zero Amount</v>
      </c>
      <c r="J814">
        <v>3</v>
      </c>
    </row>
    <row r="815" spans="1:10">
      <c r="A815" t="s">
        <v>3164</v>
      </c>
      <c r="B815" t="s">
        <v>453</v>
      </c>
      <c r="C815" t="s">
        <v>2241</v>
      </c>
      <c r="D815" s="9">
        <v>46149</v>
      </c>
      <c r="E815" t="s">
        <v>2330</v>
      </c>
      <c r="G815" t="s">
        <v>2345</v>
      </c>
      <c r="H815">
        <v>2500</v>
      </c>
      <c r="I815" s="16" t="str">
        <f t="shared" si="12"/>
        <v>Normal</v>
      </c>
      <c r="J815">
        <v>4</v>
      </c>
    </row>
    <row r="816" spans="1:10">
      <c r="A816" t="s">
        <v>3165</v>
      </c>
      <c r="B816" t="s">
        <v>542</v>
      </c>
      <c r="C816" t="s">
        <v>2225</v>
      </c>
      <c r="D816" s="9">
        <v>45338</v>
      </c>
      <c r="E816" t="s">
        <v>23</v>
      </c>
      <c r="G816" t="s">
        <v>23</v>
      </c>
      <c r="I816" s="16" t="str">
        <f t="shared" si="12"/>
        <v>Unknown</v>
      </c>
      <c r="J816">
        <v>1</v>
      </c>
    </row>
    <row r="817" spans="1:10">
      <c r="A817" t="s">
        <v>3166</v>
      </c>
      <c r="B817" t="s">
        <v>1773</v>
      </c>
      <c r="C817" t="s">
        <v>2237</v>
      </c>
      <c r="D817" s="9">
        <v>45156</v>
      </c>
      <c r="E817" t="s">
        <v>2324</v>
      </c>
      <c r="F817" s="20">
        <v>25</v>
      </c>
      <c r="G817" t="s">
        <v>2331</v>
      </c>
      <c r="H817">
        <v>1500</v>
      </c>
      <c r="I817" s="16" t="str">
        <f t="shared" si="12"/>
        <v>Normal</v>
      </c>
      <c r="J817">
        <v>4</v>
      </c>
    </row>
    <row r="818" spans="1:10">
      <c r="A818" t="s">
        <v>3167</v>
      </c>
      <c r="B818" t="s">
        <v>574</v>
      </c>
      <c r="C818" t="s">
        <v>2253</v>
      </c>
      <c r="D818" s="9">
        <v>45137</v>
      </c>
      <c r="E818" t="s">
        <v>2327</v>
      </c>
      <c r="F818" s="20">
        <v>0</v>
      </c>
      <c r="G818" t="s">
        <v>2331</v>
      </c>
      <c r="H818">
        <v>-1200</v>
      </c>
      <c r="I818" s="16" t="str">
        <f t="shared" si="12"/>
        <v>Review</v>
      </c>
      <c r="J818">
        <v>5</v>
      </c>
    </row>
    <row r="819" spans="1:10">
      <c r="A819" t="s">
        <v>3168</v>
      </c>
      <c r="B819" t="s">
        <v>2091</v>
      </c>
      <c r="C819" t="s">
        <v>2209</v>
      </c>
      <c r="D819" s="9">
        <v>45389</v>
      </c>
      <c r="E819" t="s">
        <v>2337</v>
      </c>
      <c r="F819" s="20">
        <v>15</v>
      </c>
      <c r="G819" t="s">
        <v>2328</v>
      </c>
      <c r="H819">
        <v>499</v>
      </c>
      <c r="I819" s="16" t="str">
        <f t="shared" si="12"/>
        <v>Normal</v>
      </c>
      <c r="J819">
        <v>1</v>
      </c>
    </row>
    <row r="820" spans="1:10">
      <c r="A820" t="s">
        <v>3169</v>
      </c>
      <c r="B820" t="s">
        <v>261</v>
      </c>
      <c r="C820" t="s">
        <v>2261</v>
      </c>
      <c r="D820" s="9">
        <v>44935</v>
      </c>
      <c r="E820" t="s">
        <v>2330</v>
      </c>
      <c r="F820" s="20">
        <v>100</v>
      </c>
      <c r="G820" t="s">
        <v>2345</v>
      </c>
      <c r="I820" s="16" t="str">
        <f t="shared" si="12"/>
        <v>Unknown</v>
      </c>
      <c r="J820">
        <v>3</v>
      </c>
    </row>
    <row r="821" spans="1:10">
      <c r="A821" t="s">
        <v>3170</v>
      </c>
      <c r="B821" t="s">
        <v>745</v>
      </c>
      <c r="C821" t="s">
        <v>2253</v>
      </c>
      <c r="D821" s="9">
        <v>45208</v>
      </c>
      <c r="E821" t="s">
        <v>2324</v>
      </c>
      <c r="F821" s="20">
        <v>55</v>
      </c>
      <c r="G821" t="s">
        <v>2325</v>
      </c>
      <c r="H821">
        <v>-1200</v>
      </c>
      <c r="I821" s="16" t="str">
        <f t="shared" si="12"/>
        <v>Review</v>
      </c>
      <c r="J821">
        <v>5</v>
      </c>
    </row>
    <row r="822" spans="1:10">
      <c r="A822" t="s">
        <v>3171</v>
      </c>
      <c r="B822" t="s">
        <v>506</v>
      </c>
      <c r="C822" t="s">
        <v>2237</v>
      </c>
      <c r="D822" s="9">
        <v>45346</v>
      </c>
      <c r="E822" t="s">
        <v>2337</v>
      </c>
      <c r="F822" s="20">
        <v>5</v>
      </c>
      <c r="G822" t="s">
        <v>2345</v>
      </c>
      <c r="H822">
        <v>1500</v>
      </c>
      <c r="I822" s="16" t="str">
        <f t="shared" si="12"/>
        <v>Normal</v>
      </c>
      <c r="J822">
        <v>1</v>
      </c>
    </row>
    <row r="823" spans="1:10">
      <c r="A823" t="s">
        <v>3172</v>
      </c>
      <c r="B823" t="s">
        <v>1845</v>
      </c>
      <c r="C823" t="s">
        <v>2261</v>
      </c>
      <c r="D823" s="9">
        <v>45777</v>
      </c>
      <c r="E823" t="s">
        <v>2337</v>
      </c>
      <c r="G823" t="s">
        <v>2331</v>
      </c>
      <c r="I823" s="16" t="str">
        <f t="shared" si="12"/>
        <v>Unknown</v>
      </c>
      <c r="J823" t="s">
        <v>39</v>
      </c>
    </row>
    <row r="824" spans="1:10">
      <c r="A824" t="s">
        <v>3173</v>
      </c>
      <c r="B824" t="s">
        <v>574</v>
      </c>
      <c r="C824" t="s">
        <v>2261</v>
      </c>
      <c r="D824" s="9">
        <v>45882</v>
      </c>
      <c r="E824" t="s">
        <v>2330</v>
      </c>
      <c r="F824" s="20">
        <v>100</v>
      </c>
      <c r="G824" t="s">
        <v>2345</v>
      </c>
      <c r="I824" s="16" t="str">
        <f t="shared" si="12"/>
        <v>Unknown</v>
      </c>
      <c r="J824">
        <v>3</v>
      </c>
    </row>
    <row r="825" spans="1:10">
      <c r="A825" t="s">
        <v>3174</v>
      </c>
      <c r="B825" t="s">
        <v>1723</v>
      </c>
      <c r="C825" t="s">
        <v>2251</v>
      </c>
      <c r="D825" s="9">
        <v>45527</v>
      </c>
      <c r="E825" t="s">
        <v>2330</v>
      </c>
      <c r="G825" t="s">
        <v>2345</v>
      </c>
      <c r="H825">
        <v>1500</v>
      </c>
      <c r="I825" s="16" t="str">
        <f t="shared" si="12"/>
        <v>Normal</v>
      </c>
      <c r="J825">
        <v>5</v>
      </c>
    </row>
    <row r="826" spans="1:10">
      <c r="A826" t="s">
        <v>3175</v>
      </c>
      <c r="B826" t="s">
        <v>1744</v>
      </c>
      <c r="C826" t="s">
        <v>2241</v>
      </c>
      <c r="D826" s="9">
        <v>45209</v>
      </c>
      <c r="E826" t="s">
        <v>2337</v>
      </c>
      <c r="G826" t="s">
        <v>2339</v>
      </c>
      <c r="H826">
        <v>2500</v>
      </c>
      <c r="I826" s="16" t="str">
        <f t="shared" si="12"/>
        <v>Normal</v>
      </c>
      <c r="J826">
        <v>5</v>
      </c>
    </row>
    <row r="827" spans="1:10">
      <c r="A827" t="s">
        <v>3176</v>
      </c>
      <c r="B827" t="s">
        <v>1740</v>
      </c>
      <c r="C827" t="s">
        <v>2225</v>
      </c>
      <c r="D827" s="9">
        <v>45902</v>
      </c>
      <c r="E827" t="s">
        <v>23</v>
      </c>
      <c r="G827" t="s">
        <v>2331</v>
      </c>
      <c r="I827" s="16" t="str">
        <f t="shared" si="12"/>
        <v>Unknown</v>
      </c>
      <c r="J827">
        <v>3</v>
      </c>
    </row>
    <row r="828" spans="1:10">
      <c r="A828" t="s">
        <v>3177</v>
      </c>
      <c r="B828" t="s">
        <v>961</v>
      </c>
      <c r="C828" t="s">
        <v>2251</v>
      </c>
      <c r="D828" s="9">
        <v>46236</v>
      </c>
      <c r="E828" t="s">
        <v>2330</v>
      </c>
      <c r="G828" t="s">
        <v>2325</v>
      </c>
      <c r="H828">
        <v>1500</v>
      </c>
      <c r="I828" s="16" t="str">
        <f t="shared" si="12"/>
        <v>Normal</v>
      </c>
      <c r="J828">
        <v>2</v>
      </c>
    </row>
    <row r="829" spans="1:10">
      <c r="A829" t="s">
        <v>3178</v>
      </c>
      <c r="B829" t="s">
        <v>1187</v>
      </c>
      <c r="C829" t="s">
        <v>2273</v>
      </c>
      <c r="D829" s="9">
        <v>45569</v>
      </c>
      <c r="E829" t="s">
        <v>2330</v>
      </c>
      <c r="F829" s="20">
        <v>100</v>
      </c>
      <c r="G829" t="s">
        <v>2345</v>
      </c>
      <c r="H829">
        <v>799</v>
      </c>
      <c r="I829" s="16" t="str">
        <f t="shared" si="12"/>
        <v>Normal</v>
      </c>
      <c r="J829">
        <v>4</v>
      </c>
    </row>
    <row r="830" spans="1:10">
      <c r="A830" t="s">
        <v>3179</v>
      </c>
      <c r="B830" t="s">
        <v>742</v>
      </c>
      <c r="C830" t="s">
        <v>2267</v>
      </c>
      <c r="D830" s="9">
        <v>45293</v>
      </c>
      <c r="E830" t="s">
        <v>2337</v>
      </c>
      <c r="F830" s="20">
        <v>15</v>
      </c>
      <c r="G830" t="s">
        <v>2325</v>
      </c>
      <c r="H830">
        <v>999.99</v>
      </c>
      <c r="I830" s="16" t="str">
        <f t="shared" si="12"/>
        <v>Normal</v>
      </c>
      <c r="J830">
        <v>2</v>
      </c>
    </row>
    <row r="831" spans="1:10">
      <c r="A831" t="s">
        <v>3180</v>
      </c>
      <c r="B831" t="s">
        <v>548</v>
      </c>
      <c r="C831" t="s">
        <v>2264</v>
      </c>
      <c r="D831" s="9">
        <v>45959</v>
      </c>
      <c r="E831" t="s">
        <v>2330</v>
      </c>
      <c r="G831" t="s">
        <v>2331</v>
      </c>
      <c r="H831">
        <v>2500</v>
      </c>
      <c r="I831" s="16" t="str">
        <f t="shared" si="12"/>
        <v>Normal</v>
      </c>
      <c r="J831">
        <v>1</v>
      </c>
    </row>
    <row r="832" spans="1:10">
      <c r="A832" t="s">
        <v>3181</v>
      </c>
      <c r="B832" t="s">
        <v>2010</v>
      </c>
      <c r="C832" t="s">
        <v>2244</v>
      </c>
      <c r="D832" s="9">
        <v>45450</v>
      </c>
      <c r="E832" t="s">
        <v>2330</v>
      </c>
      <c r="F832" s="20">
        <v>100</v>
      </c>
      <c r="G832" t="s">
        <v>2339</v>
      </c>
      <c r="H832">
        <v>1200</v>
      </c>
      <c r="I832" s="16" t="str">
        <f t="shared" si="12"/>
        <v>Normal</v>
      </c>
      <c r="J832">
        <v>5</v>
      </c>
    </row>
    <row r="833" spans="1:10">
      <c r="A833" t="s">
        <v>3182</v>
      </c>
      <c r="B833" t="s">
        <v>469</v>
      </c>
      <c r="C833" t="s">
        <v>2259</v>
      </c>
      <c r="D833" s="9">
        <v>45413</v>
      </c>
      <c r="E833" t="s">
        <v>2330</v>
      </c>
      <c r="G833" t="s">
        <v>2331</v>
      </c>
      <c r="H833">
        <v>0</v>
      </c>
      <c r="I833" s="16" t="str">
        <f t="shared" si="12"/>
        <v>Zero Amount</v>
      </c>
      <c r="J833">
        <v>1</v>
      </c>
    </row>
    <row r="834" spans="1:10">
      <c r="A834" t="s">
        <v>3183</v>
      </c>
      <c r="B834" t="s">
        <v>710</v>
      </c>
      <c r="C834" t="s">
        <v>2271</v>
      </c>
      <c r="D834" s="9">
        <v>45751</v>
      </c>
      <c r="E834" t="s">
        <v>23</v>
      </c>
      <c r="G834" t="s">
        <v>23</v>
      </c>
      <c r="H834">
        <v>1200</v>
      </c>
      <c r="I834" s="16" t="str">
        <f t="shared" si="12"/>
        <v>Normal</v>
      </c>
      <c r="J834">
        <v>3</v>
      </c>
    </row>
    <row r="835" spans="1:10">
      <c r="A835" t="s">
        <v>3184</v>
      </c>
      <c r="B835" t="s">
        <v>1034</v>
      </c>
      <c r="C835" t="s">
        <v>2273</v>
      </c>
      <c r="D835" s="9">
        <v>45902</v>
      </c>
      <c r="E835" t="s">
        <v>23</v>
      </c>
      <c r="G835" t="s">
        <v>2345</v>
      </c>
      <c r="H835">
        <v>799</v>
      </c>
      <c r="I835" s="16" t="str">
        <f t="shared" ref="I835:I898" si="13">IF(H835="", "Unknown", IF(H835=0, "Zero Amount", IF(H835&lt;1, "Review", IF(H835&gt;1, "Normal"))))</f>
        <v>Normal</v>
      </c>
      <c r="J835">
        <v>5</v>
      </c>
    </row>
    <row r="836" spans="1:10">
      <c r="A836" t="s">
        <v>3185</v>
      </c>
      <c r="B836" t="s">
        <v>3186</v>
      </c>
      <c r="C836" t="s">
        <v>2218</v>
      </c>
      <c r="D836" s="9">
        <v>45201</v>
      </c>
      <c r="E836" t="s">
        <v>2337</v>
      </c>
      <c r="G836" t="s">
        <v>2325</v>
      </c>
      <c r="H836">
        <v>1500</v>
      </c>
      <c r="I836" s="16" t="str">
        <f t="shared" si="13"/>
        <v>Normal</v>
      </c>
      <c r="J836">
        <v>4</v>
      </c>
    </row>
    <row r="837" spans="1:10">
      <c r="A837" t="s">
        <v>3187</v>
      </c>
      <c r="B837" t="s">
        <v>972</v>
      </c>
      <c r="C837" t="s">
        <v>2273</v>
      </c>
      <c r="D837" s="9">
        <v>45649</v>
      </c>
      <c r="E837" t="s">
        <v>23</v>
      </c>
      <c r="G837" t="s">
        <v>2345</v>
      </c>
      <c r="H837">
        <v>799</v>
      </c>
      <c r="I837" s="16" t="str">
        <f t="shared" si="13"/>
        <v>Normal</v>
      </c>
      <c r="J837">
        <v>5</v>
      </c>
    </row>
    <row r="838" spans="1:10">
      <c r="A838" t="s">
        <v>3188</v>
      </c>
      <c r="B838" t="s">
        <v>1894</v>
      </c>
      <c r="C838" t="s">
        <v>2247</v>
      </c>
      <c r="D838" s="9">
        <v>45865</v>
      </c>
      <c r="E838" t="s">
        <v>2330</v>
      </c>
      <c r="F838" s="20">
        <v>100</v>
      </c>
      <c r="G838" t="s">
        <v>2328</v>
      </c>
      <c r="I838" s="16" t="str">
        <f t="shared" si="13"/>
        <v>Unknown</v>
      </c>
      <c r="J838">
        <v>2</v>
      </c>
    </row>
    <row r="839" spans="1:10">
      <c r="A839" t="s">
        <v>3189</v>
      </c>
      <c r="B839" t="s">
        <v>1817</v>
      </c>
      <c r="C839" t="s">
        <v>2249</v>
      </c>
      <c r="D839" s="9">
        <v>45620</v>
      </c>
      <c r="E839" t="s">
        <v>23</v>
      </c>
      <c r="G839" t="s">
        <v>2331</v>
      </c>
      <c r="H839">
        <v>1500</v>
      </c>
      <c r="I839" s="16" t="str">
        <f t="shared" si="13"/>
        <v>Normal</v>
      </c>
      <c r="J839">
        <v>4</v>
      </c>
    </row>
    <row r="840" spans="1:10">
      <c r="A840" t="s">
        <v>3190</v>
      </c>
      <c r="B840" t="s">
        <v>551</v>
      </c>
      <c r="C840" t="s">
        <v>2209</v>
      </c>
      <c r="D840" s="9">
        <v>45432</v>
      </c>
      <c r="E840" t="s">
        <v>2324</v>
      </c>
      <c r="G840" t="s">
        <v>2331</v>
      </c>
      <c r="H840">
        <v>499</v>
      </c>
      <c r="I840" s="16" t="str">
        <f t="shared" si="13"/>
        <v>Normal</v>
      </c>
      <c r="J840" t="s">
        <v>39</v>
      </c>
    </row>
    <row r="841" spans="1:10">
      <c r="A841" t="s">
        <v>3191</v>
      </c>
      <c r="B841" t="s">
        <v>1058</v>
      </c>
      <c r="C841" t="s">
        <v>2202</v>
      </c>
      <c r="D841" s="9">
        <v>46091</v>
      </c>
      <c r="E841" t="s">
        <v>2330</v>
      </c>
      <c r="G841" t="s">
        <v>2328</v>
      </c>
      <c r="I841" s="16" t="str">
        <f t="shared" si="13"/>
        <v>Unknown</v>
      </c>
      <c r="J841" t="s">
        <v>39</v>
      </c>
    </row>
    <row r="842" spans="1:10">
      <c r="A842" t="s">
        <v>3192</v>
      </c>
      <c r="B842" t="s">
        <v>787</v>
      </c>
      <c r="C842" t="s">
        <v>2193</v>
      </c>
      <c r="D842" s="9">
        <v>45359</v>
      </c>
      <c r="E842" t="s">
        <v>2330</v>
      </c>
      <c r="F842" s="20">
        <v>100</v>
      </c>
      <c r="G842" t="s">
        <v>2345</v>
      </c>
      <c r="H842">
        <v>0</v>
      </c>
      <c r="I842" s="16" t="str">
        <f t="shared" si="13"/>
        <v>Zero Amount</v>
      </c>
      <c r="J842" t="s">
        <v>39</v>
      </c>
    </row>
    <row r="843" spans="1:10">
      <c r="A843" t="s">
        <v>3193</v>
      </c>
      <c r="B843" t="s">
        <v>1083</v>
      </c>
      <c r="C843" t="s">
        <v>2233</v>
      </c>
      <c r="D843" s="9">
        <v>45443</v>
      </c>
      <c r="E843" t="s">
        <v>2330</v>
      </c>
      <c r="F843" s="20">
        <v>100</v>
      </c>
      <c r="G843" t="s">
        <v>2345</v>
      </c>
      <c r="H843">
        <v>2500</v>
      </c>
      <c r="I843" s="16" t="str">
        <f t="shared" si="13"/>
        <v>Normal</v>
      </c>
      <c r="J843">
        <v>1</v>
      </c>
    </row>
    <row r="844" spans="1:10">
      <c r="A844" t="s">
        <v>3194</v>
      </c>
      <c r="B844" t="s">
        <v>2045</v>
      </c>
      <c r="C844" t="s">
        <v>2228</v>
      </c>
      <c r="D844" s="9">
        <v>45174</v>
      </c>
      <c r="E844" t="s">
        <v>2327</v>
      </c>
      <c r="F844" s="20">
        <v>0</v>
      </c>
      <c r="G844" t="s">
        <v>2325</v>
      </c>
      <c r="H844">
        <v>799</v>
      </c>
      <c r="I844" s="16" t="str">
        <f t="shared" si="13"/>
        <v>Normal</v>
      </c>
      <c r="J844">
        <v>5</v>
      </c>
    </row>
    <row r="845" spans="1:10">
      <c r="A845" t="s">
        <v>3195</v>
      </c>
      <c r="B845" t="s">
        <v>671</v>
      </c>
      <c r="C845" t="s">
        <v>2264</v>
      </c>
      <c r="D845" s="9">
        <v>45627</v>
      </c>
      <c r="E845" t="s">
        <v>2330</v>
      </c>
      <c r="F845" s="20">
        <v>100</v>
      </c>
      <c r="G845" t="s">
        <v>2339</v>
      </c>
      <c r="H845">
        <v>1330.64</v>
      </c>
      <c r="I845" s="16" t="str">
        <f t="shared" si="13"/>
        <v>Normal</v>
      </c>
      <c r="J845">
        <v>5</v>
      </c>
    </row>
    <row r="846" spans="1:10">
      <c r="A846" t="s">
        <v>3196</v>
      </c>
      <c r="B846" t="s">
        <v>374</v>
      </c>
      <c r="C846" t="s">
        <v>2247</v>
      </c>
      <c r="D846" s="9">
        <v>46084</v>
      </c>
      <c r="E846" t="s">
        <v>2330</v>
      </c>
      <c r="G846" t="s">
        <v>2325</v>
      </c>
      <c r="I846" s="16" t="str">
        <f t="shared" si="13"/>
        <v>Unknown</v>
      </c>
      <c r="J846">
        <v>5</v>
      </c>
    </row>
    <row r="847" spans="1:10">
      <c r="A847" t="s">
        <v>3197</v>
      </c>
      <c r="B847" t="s">
        <v>1517</v>
      </c>
      <c r="C847" t="s">
        <v>2216</v>
      </c>
      <c r="D847" s="9">
        <v>45253</v>
      </c>
      <c r="E847" t="s">
        <v>23</v>
      </c>
      <c r="G847" t="s">
        <v>2339</v>
      </c>
      <c r="H847">
        <v>1200</v>
      </c>
      <c r="I847" s="16" t="str">
        <f t="shared" si="13"/>
        <v>Normal</v>
      </c>
      <c r="J847">
        <v>4</v>
      </c>
    </row>
    <row r="848" spans="1:10">
      <c r="A848" t="s">
        <v>3198</v>
      </c>
      <c r="B848" t="s">
        <v>846</v>
      </c>
      <c r="C848" t="s">
        <v>2218</v>
      </c>
      <c r="D848" s="9">
        <v>45111</v>
      </c>
      <c r="E848" t="s">
        <v>2330</v>
      </c>
      <c r="F848" s="20">
        <v>100</v>
      </c>
      <c r="G848" t="s">
        <v>2328</v>
      </c>
      <c r="H848">
        <v>1500</v>
      </c>
      <c r="I848" s="16" t="str">
        <f t="shared" si="13"/>
        <v>Normal</v>
      </c>
      <c r="J848">
        <v>1</v>
      </c>
    </row>
    <row r="849" spans="1:10">
      <c r="A849" t="s">
        <v>3199</v>
      </c>
      <c r="B849" t="s">
        <v>2135</v>
      </c>
      <c r="C849" t="s">
        <v>2269</v>
      </c>
      <c r="D849" s="9">
        <v>45618</v>
      </c>
      <c r="E849" t="s">
        <v>2337</v>
      </c>
      <c r="F849" s="20">
        <v>20</v>
      </c>
      <c r="G849" t="s">
        <v>2331</v>
      </c>
      <c r="H849">
        <v>499</v>
      </c>
      <c r="I849" s="16" t="str">
        <f t="shared" si="13"/>
        <v>Normal</v>
      </c>
      <c r="J849">
        <v>1</v>
      </c>
    </row>
    <row r="850" spans="1:10">
      <c r="A850" t="s">
        <v>3200</v>
      </c>
      <c r="B850" t="s">
        <v>1524</v>
      </c>
      <c r="C850" t="s">
        <v>2257</v>
      </c>
      <c r="D850" s="9">
        <v>45464</v>
      </c>
      <c r="E850" t="s">
        <v>23</v>
      </c>
      <c r="G850" t="s">
        <v>2328</v>
      </c>
      <c r="I850" s="16" t="str">
        <f t="shared" si="13"/>
        <v>Unknown</v>
      </c>
      <c r="J850" t="s">
        <v>39</v>
      </c>
    </row>
    <row r="851" spans="1:10">
      <c r="A851" t="s">
        <v>3201</v>
      </c>
      <c r="B851" t="s">
        <v>1425</v>
      </c>
      <c r="C851" t="s">
        <v>2187</v>
      </c>
      <c r="D851" s="9">
        <v>45292</v>
      </c>
      <c r="E851" t="s">
        <v>2330</v>
      </c>
      <c r="G851" t="s">
        <v>23</v>
      </c>
      <c r="H851">
        <v>799</v>
      </c>
      <c r="I851" s="16" t="str">
        <f t="shared" si="13"/>
        <v>Normal</v>
      </c>
      <c r="J851">
        <v>1</v>
      </c>
    </row>
    <row r="852" spans="1:10">
      <c r="A852" t="s">
        <v>3202</v>
      </c>
      <c r="B852" t="s">
        <v>1627</v>
      </c>
      <c r="C852" t="s">
        <v>2264</v>
      </c>
      <c r="D852" s="9">
        <v>45387</v>
      </c>
      <c r="E852" t="s">
        <v>2324</v>
      </c>
      <c r="F852" s="20">
        <v>40</v>
      </c>
      <c r="G852" t="s">
        <v>2328</v>
      </c>
      <c r="I852" s="16" t="str">
        <f t="shared" si="13"/>
        <v>Unknown</v>
      </c>
      <c r="J852" t="s">
        <v>39</v>
      </c>
    </row>
    <row r="853" spans="1:10">
      <c r="A853" t="s">
        <v>3203</v>
      </c>
      <c r="B853" t="s">
        <v>1646</v>
      </c>
      <c r="C853" t="s">
        <v>2249</v>
      </c>
      <c r="D853" s="9">
        <v>45182</v>
      </c>
      <c r="E853" t="s">
        <v>2324</v>
      </c>
      <c r="F853" s="20">
        <v>25</v>
      </c>
      <c r="G853" t="s">
        <v>2328</v>
      </c>
      <c r="H853">
        <v>-1500</v>
      </c>
      <c r="I853" s="16" t="str">
        <f t="shared" si="13"/>
        <v>Review</v>
      </c>
      <c r="J853" t="s">
        <v>39</v>
      </c>
    </row>
    <row r="854" spans="1:10">
      <c r="A854" t="s">
        <v>3204</v>
      </c>
      <c r="B854" t="s">
        <v>660</v>
      </c>
      <c r="C854" t="s">
        <v>2264</v>
      </c>
      <c r="D854" s="9">
        <v>45754</v>
      </c>
      <c r="E854" t="s">
        <v>2330</v>
      </c>
      <c r="F854" s="20">
        <v>100</v>
      </c>
      <c r="G854" t="s">
        <v>2328</v>
      </c>
      <c r="H854">
        <v>2500</v>
      </c>
      <c r="I854" s="16" t="str">
        <f t="shared" si="13"/>
        <v>Normal</v>
      </c>
      <c r="J854">
        <v>1</v>
      </c>
    </row>
    <row r="855" spans="1:10">
      <c r="A855" t="s">
        <v>3205</v>
      </c>
      <c r="B855" t="s">
        <v>1043</v>
      </c>
      <c r="C855" t="s">
        <v>2216</v>
      </c>
      <c r="D855" s="9">
        <v>46032</v>
      </c>
      <c r="E855" t="s">
        <v>2330</v>
      </c>
      <c r="G855" t="s">
        <v>23</v>
      </c>
      <c r="H855">
        <v>1200</v>
      </c>
      <c r="I855" s="16" t="str">
        <f t="shared" si="13"/>
        <v>Normal</v>
      </c>
      <c r="J855">
        <v>1</v>
      </c>
    </row>
    <row r="856" spans="1:10">
      <c r="A856" t="s">
        <v>3206</v>
      </c>
      <c r="B856" t="s">
        <v>129</v>
      </c>
      <c r="C856" t="s">
        <v>2253</v>
      </c>
      <c r="D856" s="9">
        <v>45749</v>
      </c>
      <c r="E856" t="s">
        <v>2330</v>
      </c>
      <c r="F856" s="20">
        <v>100</v>
      </c>
      <c r="G856" t="s">
        <v>2345</v>
      </c>
      <c r="H856">
        <v>1200</v>
      </c>
      <c r="I856" s="16" t="str">
        <f t="shared" si="13"/>
        <v>Normal</v>
      </c>
      <c r="J856" t="s">
        <v>39</v>
      </c>
    </row>
    <row r="857" spans="1:10">
      <c r="A857" t="s">
        <v>3207</v>
      </c>
      <c r="B857" t="s">
        <v>1454</v>
      </c>
      <c r="C857" t="s">
        <v>2247</v>
      </c>
      <c r="D857" s="9">
        <v>46160</v>
      </c>
      <c r="E857" t="s">
        <v>2324</v>
      </c>
      <c r="F857" s="20">
        <v>55</v>
      </c>
      <c r="G857" t="s">
        <v>23</v>
      </c>
      <c r="I857" s="16" t="str">
        <f t="shared" si="13"/>
        <v>Unknown</v>
      </c>
      <c r="J857" t="s">
        <v>39</v>
      </c>
    </row>
    <row r="858" spans="1:10">
      <c r="A858" t="s">
        <v>3208</v>
      </c>
      <c r="B858" t="s">
        <v>1582</v>
      </c>
      <c r="C858" t="s">
        <v>2198</v>
      </c>
      <c r="D858" s="9">
        <v>45737</v>
      </c>
      <c r="E858" t="s">
        <v>2330</v>
      </c>
      <c r="G858" t="s">
        <v>2331</v>
      </c>
      <c r="I858" s="16" t="str">
        <f t="shared" si="13"/>
        <v>Unknown</v>
      </c>
      <c r="J858">
        <v>3</v>
      </c>
    </row>
    <row r="859" spans="1:10">
      <c r="A859" t="s">
        <v>3209</v>
      </c>
      <c r="B859" t="s">
        <v>993</v>
      </c>
      <c r="C859" t="s">
        <v>2237</v>
      </c>
      <c r="D859" s="9">
        <v>45633</v>
      </c>
      <c r="E859" t="s">
        <v>2327</v>
      </c>
      <c r="F859" s="20">
        <v>5</v>
      </c>
      <c r="G859" t="s">
        <v>2325</v>
      </c>
      <c r="H859">
        <v>1500</v>
      </c>
      <c r="I859" s="16" t="str">
        <f t="shared" si="13"/>
        <v>Normal</v>
      </c>
      <c r="J859">
        <v>4</v>
      </c>
    </row>
    <row r="860" spans="1:10">
      <c r="A860" t="s">
        <v>3210</v>
      </c>
      <c r="B860" t="s">
        <v>181</v>
      </c>
      <c r="C860" t="s">
        <v>2231</v>
      </c>
      <c r="D860" s="9">
        <v>45369</v>
      </c>
      <c r="E860" t="s">
        <v>2330</v>
      </c>
      <c r="F860" s="20">
        <v>100</v>
      </c>
      <c r="G860" t="s">
        <v>2339</v>
      </c>
      <c r="H860">
        <v>3000</v>
      </c>
      <c r="I860" s="16" t="str">
        <f t="shared" si="13"/>
        <v>Normal</v>
      </c>
      <c r="J860">
        <v>1</v>
      </c>
    </row>
    <row r="861" spans="1:10">
      <c r="A861" t="s">
        <v>3211</v>
      </c>
      <c r="B861" t="s">
        <v>376</v>
      </c>
      <c r="C861" t="s">
        <v>2249</v>
      </c>
      <c r="D861" s="9">
        <v>45217</v>
      </c>
      <c r="E861" t="s">
        <v>2330</v>
      </c>
      <c r="F861" s="20">
        <v>100</v>
      </c>
      <c r="G861" t="s">
        <v>2345</v>
      </c>
      <c r="H861">
        <v>1500</v>
      </c>
      <c r="I861" s="16" t="str">
        <f t="shared" si="13"/>
        <v>Normal</v>
      </c>
      <c r="J861">
        <v>2</v>
      </c>
    </row>
    <row r="862" spans="1:10">
      <c r="A862" t="s">
        <v>3212</v>
      </c>
      <c r="B862" t="s">
        <v>1686</v>
      </c>
      <c r="C862" t="s">
        <v>2205</v>
      </c>
      <c r="D862" s="9">
        <v>45759</v>
      </c>
      <c r="E862" t="s">
        <v>2327</v>
      </c>
      <c r="F862" s="20">
        <v>20</v>
      </c>
      <c r="G862" t="s">
        <v>2339</v>
      </c>
      <c r="H862">
        <v>1500</v>
      </c>
      <c r="I862" s="16" t="str">
        <f t="shared" si="13"/>
        <v>Normal</v>
      </c>
      <c r="J862">
        <v>2</v>
      </c>
    </row>
    <row r="863" spans="1:10">
      <c r="A863" t="s">
        <v>3213</v>
      </c>
      <c r="B863" t="s">
        <v>878</v>
      </c>
      <c r="C863" t="s">
        <v>2233</v>
      </c>
      <c r="D863" s="9">
        <v>45719</v>
      </c>
      <c r="E863" t="s">
        <v>2327</v>
      </c>
      <c r="G863" t="s">
        <v>2331</v>
      </c>
      <c r="H863">
        <v>2500</v>
      </c>
      <c r="I863" s="16" t="str">
        <f t="shared" si="13"/>
        <v>Normal</v>
      </c>
      <c r="J863" t="s">
        <v>39</v>
      </c>
    </row>
    <row r="864" spans="1:10">
      <c r="A864" t="s">
        <v>3214</v>
      </c>
      <c r="B864" t="s">
        <v>236</v>
      </c>
      <c r="C864" t="s">
        <v>2247</v>
      </c>
      <c r="D864" s="9">
        <v>46183</v>
      </c>
      <c r="E864" t="s">
        <v>2327</v>
      </c>
      <c r="F864" s="20">
        <v>15</v>
      </c>
      <c r="G864" t="s">
        <v>2328</v>
      </c>
      <c r="I864" s="16" t="str">
        <f t="shared" si="13"/>
        <v>Unknown</v>
      </c>
      <c r="J864">
        <v>5</v>
      </c>
    </row>
    <row r="865" spans="1:10">
      <c r="A865" t="s">
        <v>3215</v>
      </c>
      <c r="B865" t="s">
        <v>656</v>
      </c>
      <c r="C865" t="s">
        <v>2216</v>
      </c>
      <c r="D865" s="9">
        <v>46013</v>
      </c>
      <c r="E865" t="s">
        <v>2330</v>
      </c>
      <c r="F865" s="20">
        <v>100</v>
      </c>
      <c r="G865" t="s">
        <v>2331</v>
      </c>
      <c r="H865">
        <v>1200</v>
      </c>
      <c r="I865" s="16" t="str">
        <f t="shared" si="13"/>
        <v>Normal</v>
      </c>
      <c r="J865">
        <v>4</v>
      </c>
    </row>
    <row r="866" spans="1:10">
      <c r="A866" t="s">
        <v>3216</v>
      </c>
      <c r="B866" t="s">
        <v>408</v>
      </c>
      <c r="C866" t="s">
        <v>2218</v>
      </c>
      <c r="D866" s="9">
        <v>45673</v>
      </c>
      <c r="E866" t="s">
        <v>2324</v>
      </c>
      <c r="G866" t="s">
        <v>2331</v>
      </c>
      <c r="H866">
        <v>1500</v>
      </c>
      <c r="I866" s="16" t="str">
        <f t="shared" si="13"/>
        <v>Normal</v>
      </c>
      <c r="J866">
        <v>5</v>
      </c>
    </row>
    <row r="867" spans="1:10">
      <c r="A867" t="s">
        <v>3217</v>
      </c>
      <c r="B867" t="s">
        <v>697</v>
      </c>
      <c r="C867" t="s">
        <v>2205</v>
      </c>
      <c r="D867" s="9">
        <v>45281</v>
      </c>
      <c r="E867" t="s">
        <v>2327</v>
      </c>
      <c r="F867" s="20">
        <v>5</v>
      </c>
      <c r="G867" t="s">
        <v>2339</v>
      </c>
      <c r="H867">
        <v>-1500</v>
      </c>
      <c r="I867" s="16" t="str">
        <f t="shared" si="13"/>
        <v>Review</v>
      </c>
      <c r="J867" t="s">
        <v>39</v>
      </c>
    </row>
    <row r="868" spans="1:10">
      <c r="A868" t="s">
        <v>3218</v>
      </c>
      <c r="B868" t="s">
        <v>2929</v>
      </c>
      <c r="C868" t="s">
        <v>2241</v>
      </c>
      <c r="D868" s="9">
        <v>45258</v>
      </c>
      <c r="E868" t="s">
        <v>2330</v>
      </c>
      <c r="F868" s="20">
        <v>100</v>
      </c>
      <c r="G868" t="s">
        <v>2345</v>
      </c>
      <c r="H868">
        <v>2500</v>
      </c>
      <c r="I868" s="16" t="str">
        <f t="shared" si="13"/>
        <v>Normal</v>
      </c>
      <c r="J868">
        <v>4</v>
      </c>
    </row>
    <row r="869" spans="1:10">
      <c r="A869" t="s">
        <v>3219</v>
      </c>
      <c r="B869" t="s">
        <v>1740</v>
      </c>
      <c r="C869" t="s">
        <v>2205</v>
      </c>
      <c r="D869" s="9">
        <v>45200</v>
      </c>
      <c r="E869" t="s">
        <v>2330</v>
      </c>
      <c r="F869" s="20">
        <v>100</v>
      </c>
      <c r="G869" t="s">
        <v>2345</v>
      </c>
      <c r="H869">
        <v>1500</v>
      </c>
      <c r="I869" s="16" t="str">
        <f t="shared" si="13"/>
        <v>Normal</v>
      </c>
      <c r="J869">
        <v>4</v>
      </c>
    </row>
    <row r="870" spans="1:10">
      <c r="A870" t="s">
        <v>3220</v>
      </c>
      <c r="B870" t="s">
        <v>1717</v>
      </c>
      <c r="C870" t="s">
        <v>2216</v>
      </c>
      <c r="D870" s="9">
        <v>45431</v>
      </c>
      <c r="E870" t="s">
        <v>2327</v>
      </c>
      <c r="F870" s="20">
        <v>0</v>
      </c>
      <c r="G870" t="s">
        <v>2345</v>
      </c>
      <c r="H870">
        <v>1200</v>
      </c>
      <c r="I870" s="16" t="str">
        <f t="shared" si="13"/>
        <v>Normal</v>
      </c>
      <c r="J870">
        <v>1</v>
      </c>
    </row>
    <row r="871" spans="1:10">
      <c r="A871" t="s">
        <v>3221</v>
      </c>
      <c r="B871" t="s">
        <v>284</v>
      </c>
      <c r="C871" t="s">
        <v>2231</v>
      </c>
      <c r="D871" s="9">
        <v>45904</v>
      </c>
      <c r="E871" t="s">
        <v>2330</v>
      </c>
      <c r="F871" s="20">
        <v>100</v>
      </c>
      <c r="G871" t="s">
        <v>23</v>
      </c>
      <c r="H871">
        <v>3000</v>
      </c>
      <c r="I871" s="16" t="str">
        <f t="shared" si="13"/>
        <v>Normal</v>
      </c>
      <c r="J871">
        <v>2</v>
      </c>
    </row>
    <row r="872" spans="1:10">
      <c r="A872" t="s">
        <v>3222</v>
      </c>
      <c r="B872" t="s">
        <v>1476</v>
      </c>
      <c r="C872" t="s">
        <v>2244</v>
      </c>
      <c r="D872" s="9">
        <v>45594</v>
      </c>
      <c r="E872" t="s">
        <v>2337</v>
      </c>
      <c r="G872" t="s">
        <v>2331</v>
      </c>
      <c r="H872">
        <v>1200</v>
      </c>
      <c r="I872" s="16" t="str">
        <f t="shared" si="13"/>
        <v>Normal</v>
      </c>
      <c r="J872">
        <v>5</v>
      </c>
    </row>
    <row r="873" spans="1:10">
      <c r="A873" t="s">
        <v>3223</v>
      </c>
      <c r="B873" t="s">
        <v>2129</v>
      </c>
      <c r="C873" t="s">
        <v>2257</v>
      </c>
      <c r="D873" s="9">
        <v>45903</v>
      </c>
      <c r="E873" t="s">
        <v>2337</v>
      </c>
      <c r="F873" s="20">
        <v>15</v>
      </c>
      <c r="G873" t="s">
        <v>2339</v>
      </c>
      <c r="I873" s="16" t="str">
        <f t="shared" si="13"/>
        <v>Unknown</v>
      </c>
      <c r="J873">
        <v>5</v>
      </c>
    </row>
    <row r="874" spans="1:10">
      <c r="A874" t="s">
        <v>3224</v>
      </c>
      <c r="B874" t="s">
        <v>1867</v>
      </c>
      <c r="C874" t="s">
        <v>2269</v>
      </c>
      <c r="D874" s="9">
        <v>46271</v>
      </c>
      <c r="E874" t="s">
        <v>2327</v>
      </c>
      <c r="F874" s="20">
        <v>0</v>
      </c>
      <c r="G874" t="s">
        <v>2331</v>
      </c>
      <c r="H874">
        <v>499</v>
      </c>
      <c r="I874" s="16" t="str">
        <f t="shared" si="13"/>
        <v>Normal</v>
      </c>
      <c r="J874">
        <v>1</v>
      </c>
    </row>
    <row r="875" spans="1:10">
      <c r="A875" t="s">
        <v>3225</v>
      </c>
      <c r="B875" t="s">
        <v>1137</v>
      </c>
      <c r="C875" t="s">
        <v>2202</v>
      </c>
      <c r="D875" s="9">
        <v>45380</v>
      </c>
      <c r="E875" t="s">
        <v>2337</v>
      </c>
      <c r="F875" s="20">
        <v>20</v>
      </c>
      <c r="G875" t="s">
        <v>2345</v>
      </c>
      <c r="H875">
        <v>999.99</v>
      </c>
      <c r="I875" s="16" t="str">
        <f t="shared" si="13"/>
        <v>Normal</v>
      </c>
      <c r="J875">
        <v>4</v>
      </c>
    </row>
    <row r="876" spans="1:10">
      <c r="A876" t="s">
        <v>3226</v>
      </c>
      <c r="B876" t="s">
        <v>1194</v>
      </c>
      <c r="C876" t="s">
        <v>2237</v>
      </c>
      <c r="D876" s="9">
        <v>45631</v>
      </c>
      <c r="E876" t="s">
        <v>2330</v>
      </c>
      <c r="F876" s="20">
        <v>100</v>
      </c>
      <c r="G876" t="s">
        <v>2339</v>
      </c>
      <c r="H876">
        <v>-1500</v>
      </c>
      <c r="I876" s="16" t="str">
        <f t="shared" si="13"/>
        <v>Review</v>
      </c>
      <c r="J876">
        <v>1</v>
      </c>
    </row>
    <row r="877" spans="1:10">
      <c r="A877" t="s">
        <v>3227</v>
      </c>
      <c r="B877" t="s">
        <v>1676</v>
      </c>
      <c r="C877" t="s">
        <v>2269</v>
      </c>
      <c r="D877" s="9">
        <v>45497</v>
      </c>
      <c r="E877" t="s">
        <v>2327</v>
      </c>
      <c r="F877" s="20">
        <v>15</v>
      </c>
      <c r="G877" t="s">
        <v>2345</v>
      </c>
      <c r="H877">
        <v>499</v>
      </c>
      <c r="I877" s="16" t="str">
        <f t="shared" si="13"/>
        <v>Normal</v>
      </c>
      <c r="J877">
        <v>4</v>
      </c>
    </row>
    <row r="878" spans="1:10">
      <c r="A878" t="s">
        <v>3228</v>
      </c>
      <c r="B878" t="s">
        <v>870</v>
      </c>
      <c r="C878" t="s">
        <v>2271</v>
      </c>
      <c r="D878" s="9">
        <v>45053</v>
      </c>
      <c r="E878" t="s">
        <v>2330</v>
      </c>
      <c r="G878" t="s">
        <v>23</v>
      </c>
      <c r="H878">
        <v>1200</v>
      </c>
      <c r="I878" s="16" t="str">
        <f t="shared" si="13"/>
        <v>Normal</v>
      </c>
      <c r="J878">
        <v>5</v>
      </c>
    </row>
    <row r="879" spans="1:10">
      <c r="A879" t="s">
        <v>3229</v>
      </c>
      <c r="B879" t="s">
        <v>1393</v>
      </c>
      <c r="C879" t="s">
        <v>2271</v>
      </c>
      <c r="D879" s="9">
        <v>45484</v>
      </c>
      <c r="E879" t="s">
        <v>23</v>
      </c>
      <c r="G879" t="s">
        <v>2345</v>
      </c>
      <c r="H879">
        <v>1200</v>
      </c>
      <c r="I879" s="16" t="str">
        <f t="shared" si="13"/>
        <v>Normal</v>
      </c>
      <c r="J879" t="s">
        <v>39</v>
      </c>
    </row>
    <row r="880" spans="1:10">
      <c r="A880" t="s">
        <v>3230</v>
      </c>
      <c r="B880" t="s">
        <v>940</v>
      </c>
      <c r="C880" t="s">
        <v>2205</v>
      </c>
      <c r="D880" s="9">
        <v>45876</v>
      </c>
      <c r="E880" t="s">
        <v>2324</v>
      </c>
      <c r="F880" s="20">
        <v>40</v>
      </c>
      <c r="G880" t="s">
        <v>23</v>
      </c>
      <c r="H880">
        <v>1500</v>
      </c>
      <c r="I880" s="16" t="str">
        <f t="shared" si="13"/>
        <v>Normal</v>
      </c>
      <c r="J880">
        <v>3</v>
      </c>
    </row>
    <row r="881" spans="1:10">
      <c r="A881" t="s">
        <v>3231</v>
      </c>
      <c r="B881" t="s">
        <v>1445</v>
      </c>
      <c r="C881" t="s">
        <v>2271</v>
      </c>
      <c r="D881" s="9">
        <v>46074</v>
      </c>
      <c r="E881" t="s">
        <v>2337</v>
      </c>
      <c r="F881" s="20">
        <v>0</v>
      </c>
      <c r="G881" t="s">
        <v>23</v>
      </c>
      <c r="I881" s="16" t="str">
        <f t="shared" si="13"/>
        <v>Unknown</v>
      </c>
      <c r="J881">
        <v>4</v>
      </c>
    </row>
    <row r="882" spans="1:10">
      <c r="A882" t="s">
        <v>3232</v>
      </c>
      <c r="B882" t="s">
        <v>196</v>
      </c>
      <c r="C882" t="s">
        <v>2273</v>
      </c>
      <c r="D882" s="9">
        <v>45946</v>
      </c>
      <c r="E882" t="s">
        <v>2324</v>
      </c>
      <c r="F882" s="20">
        <v>40</v>
      </c>
      <c r="G882" t="s">
        <v>2339</v>
      </c>
      <c r="H882">
        <v>799</v>
      </c>
      <c r="I882" s="16" t="str">
        <f t="shared" si="13"/>
        <v>Normal</v>
      </c>
      <c r="J882">
        <v>3</v>
      </c>
    </row>
    <row r="883" spans="1:10">
      <c r="A883" t="s">
        <v>3233</v>
      </c>
      <c r="B883" t="s">
        <v>71</v>
      </c>
      <c r="C883" t="s">
        <v>2202</v>
      </c>
      <c r="D883" s="9">
        <v>46037</v>
      </c>
      <c r="E883" t="s">
        <v>2330</v>
      </c>
      <c r="G883" t="s">
        <v>2325</v>
      </c>
      <c r="H883">
        <v>999.99</v>
      </c>
      <c r="I883" s="16" t="str">
        <f t="shared" si="13"/>
        <v>Normal</v>
      </c>
      <c r="J883" t="s">
        <v>39</v>
      </c>
    </row>
    <row r="884" spans="1:10">
      <c r="A884" t="s">
        <v>3234</v>
      </c>
      <c r="B884" t="s">
        <v>1930</v>
      </c>
      <c r="C884" t="s">
        <v>2228</v>
      </c>
      <c r="D884" s="9">
        <v>46086</v>
      </c>
      <c r="E884" t="s">
        <v>23</v>
      </c>
      <c r="G884" t="s">
        <v>23</v>
      </c>
      <c r="H884">
        <v>652.77</v>
      </c>
      <c r="I884" s="16" t="str">
        <f t="shared" si="13"/>
        <v>Normal</v>
      </c>
      <c r="J884">
        <v>4</v>
      </c>
    </row>
    <row r="885" spans="1:10">
      <c r="A885" t="s">
        <v>3235</v>
      </c>
      <c r="B885" t="s">
        <v>1308</v>
      </c>
      <c r="C885" t="s">
        <v>2249</v>
      </c>
      <c r="D885" s="9">
        <v>45720</v>
      </c>
      <c r="E885" t="s">
        <v>2330</v>
      </c>
      <c r="G885" t="s">
        <v>2331</v>
      </c>
      <c r="H885">
        <v>1500</v>
      </c>
      <c r="I885" s="16" t="str">
        <f t="shared" si="13"/>
        <v>Normal</v>
      </c>
      <c r="J885">
        <v>3</v>
      </c>
    </row>
    <row r="886" spans="1:10">
      <c r="A886" t="s">
        <v>3236</v>
      </c>
      <c r="B886" t="s">
        <v>3006</v>
      </c>
      <c r="C886" t="s">
        <v>2261</v>
      </c>
      <c r="D886" s="9">
        <v>45221</v>
      </c>
      <c r="E886" t="s">
        <v>2337</v>
      </c>
      <c r="G886" t="s">
        <v>2331</v>
      </c>
      <c r="I886" s="16" t="str">
        <f t="shared" si="13"/>
        <v>Unknown</v>
      </c>
      <c r="J886" t="s">
        <v>39</v>
      </c>
    </row>
    <row r="887" spans="1:10">
      <c r="A887" t="s">
        <v>3237</v>
      </c>
      <c r="B887" t="s">
        <v>2769</v>
      </c>
      <c r="C887" t="s">
        <v>2273</v>
      </c>
      <c r="D887" s="9">
        <v>45968</v>
      </c>
      <c r="E887" t="s">
        <v>2324</v>
      </c>
      <c r="F887" s="20">
        <v>75</v>
      </c>
      <c r="G887" t="s">
        <v>2345</v>
      </c>
      <c r="H887">
        <v>799</v>
      </c>
      <c r="I887" s="16" t="str">
        <f t="shared" si="13"/>
        <v>Normal</v>
      </c>
      <c r="J887">
        <v>5</v>
      </c>
    </row>
    <row r="888" spans="1:10">
      <c r="A888" t="s">
        <v>3238</v>
      </c>
      <c r="B888" t="s">
        <v>566</v>
      </c>
      <c r="C888" t="s">
        <v>2205</v>
      </c>
      <c r="D888" s="9">
        <v>45896</v>
      </c>
      <c r="E888" t="s">
        <v>2324</v>
      </c>
      <c r="F888" s="20">
        <v>60</v>
      </c>
      <c r="G888" t="s">
        <v>2325</v>
      </c>
      <c r="H888">
        <v>1500</v>
      </c>
      <c r="I888" s="16" t="str">
        <f t="shared" si="13"/>
        <v>Normal</v>
      </c>
      <c r="J888">
        <v>4</v>
      </c>
    </row>
    <row r="889" spans="1:10">
      <c r="A889" t="s">
        <v>3239</v>
      </c>
      <c r="B889" t="s">
        <v>200</v>
      </c>
      <c r="C889" t="s">
        <v>2193</v>
      </c>
      <c r="D889" s="9">
        <v>45120</v>
      </c>
      <c r="E889" t="s">
        <v>2330</v>
      </c>
      <c r="F889" s="20">
        <v>100</v>
      </c>
      <c r="G889" t="s">
        <v>2325</v>
      </c>
      <c r="H889">
        <v>0</v>
      </c>
      <c r="I889" s="16" t="str">
        <f t="shared" si="13"/>
        <v>Zero Amount</v>
      </c>
      <c r="J889" t="s">
        <v>39</v>
      </c>
    </row>
    <row r="890" spans="1:10">
      <c r="A890" t="s">
        <v>3240</v>
      </c>
      <c r="B890" t="s">
        <v>1558</v>
      </c>
      <c r="C890" t="s">
        <v>2264</v>
      </c>
      <c r="D890" s="9">
        <v>46170</v>
      </c>
      <c r="E890" t="s">
        <v>2337</v>
      </c>
      <c r="G890" t="s">
        <v>2325</v>
      </c>
      <c r="H890">
        <v>2500</v>
      </c>
      <c r="I890" s="16" t="str">
        <f t="shared" si="13"/>
        <v>Normal</v>
      </c>
      <c r="J890">
        <v>4</v>
      </c>
    </row>
    <row r="891" spans="1:10">
      <c r="A891" t="s">
        <v>3241</v>
      </c>
      <c r="B891" t="s">
        <v>12</v>
      </c>
      <c r="C891" t="s">
        <v>2198</v>
      </c>
      <c r="D891" s="9">
        <v>46036</v>
      </c>
      <c r="E891" t="s">
        <v>2330</v>
      </c>
      <c r="F891" s="20">
        <v>100</v>
      </c>
      <c r="G891" t="s">
        <v>2331</v>
      </c>
      <c r="I891" s="16" t="str">
        <f t="shared" si="13"/>
        <v>Unknown</v>
      </c>
      <c r="J891">
        <v>2</v>
      </c>
    </row>
    <row r="892" spans="1:10">
      <c r="A892" t="s">
        <v>3242</v>
      </c>
      <c r="B892" t="s">
        <v>842</v>
      </c>
      <c r="C892" t="s">
        <v>2235</v>
      </c>
      <c r="D892" s="9">
        <v>45820</v>
      </c>
      <c r="E892" t="s">
        <v>23</v>
      </c>
      <c r="G892" t="s">
        <v>23</v>
      </c>
      <c r="H892">
        <v>3000</v>
      </c>
      <c r="I892" s="16" t="str">
        <f t="shared" si="13"/>
        <v>Normal</v>
      </c>
      <c r="J892" t="s">
        <v>39</v>
      </c>
    </row>
    <row r="893" spans="1:10">
      <c r="A893" t="s">
        <v>3243</v>
      </c>
      <c r="B893" t="s">
        <v>1291</v>
      </c>
      <c r="C893" t="s">
        <v>2249</v>
      </c>
      <c r="D893" s="9">
        <v>45253</v>
      </c>
      <c r="E893" t="s">
        <v>2324</v>
      </c>
      <c r="G893" t="s">
        <v>2345</v>
      </c>
      <c r="H893">
        <v>933.49</v>
      </c>
      <c r="I893" s="16" t="str">
        <f t="shared" si="13"/>
        <v>Normal</v>
      </c>
      <c r="J893">
        <v>5</v>
      </c>
    </row>
    <row r="894" spans="1:10">
      <c r="A894" t="s">
        <v>3244</v>
      </c>
      <c r="B894" t="s">
        <v>2126</v>
      </c>
      <c r="C894" t="s">
        <v>2244</v>
      </c>
      <c r="D894" s="9">
        <v>45643</v>
      </c>
      <c r="E894" t="s">
        <v>2324</v>
      </c>
      <c r="F894" s="20">
        <v>75</v>
      </c>
      <c r="G894" t="s">
        <v>2345</v>
      </c>
      <c r="H894">
        <v>1200</v>
      </c>
      <c r="I894" s="16" t="str">
        <f t="shared" si="13"/>
        <v>Normal</v>
      </c>
      <c r="J894">
        <v>3</v>
      </c>
    </row>
    <row r="895" spans="1:10">
      <c r="A895" t="s">
        <v>3245</v>
      </c>
      <c r="B895" t="s">
        <v>1354</v>
      </c>
      <c r="C895" t="s">
        <v>2261</v>
      </c>
      <c r="D895" s="9">
        <v>45365</v>
      </c>
      <c r="E895" t="s">
        <v>2330</v>
      </c>
      <c r="F895" s="20">
        <v>100</v>
      </c>
      <c r="G895" t="s">
        <v>2345</v>
      </c>
      <c r="I895" s="16" t="str">
        <f t="shared" si="13"/>
        <v>Unknown</v>
      </c>
      <c r="J895" t="s">
        <v>39</v>
      </c>
    </row>
    <row r="896" spans="1:10">
      <c r="A896" t="s">
        <v>3246</v>
      </c>
      <c r="B896" t="s">
        <v>1242</v>
      </c>
      <c r="C896" t="s">
        <v>2241</v>
      </c>
      <c r="D896" s="9">
        <v>45939</v>
      </c>
      <c r="E896" t="s">
        <v>23</v>
      </c>
      <c r="G896" t="s">
        <v>2345</v>
      </c>
      <c r="H896">
        <v>-2500</v>
      </c>
      <c r="I896" s="16" t="str">
        <f t="shared" si="13"/>
        <v>Review</v>
      </c>
      <c r="J896">
        <v>4</v>
      </c>
    </row>
    <row r="897" spans="1:10">
      <c r="A897" t="s">
        <v>3247</v>
      </c>
      <c r="B897" t="s">
        <v>983</v>
      </c>
      <c r="C897" t="s">
        <v>2202</v>
      </c>
      <c r="D897" s="9">
        <v>46164</v>
      </c>
      <c r="E897" t="s">
        <v>2330</v>
      </c>
      <c r="F897" s="20">
        <v>100</v>
      </c>
      <c r="G897" t="s">
        <v>2325</v>
      </c>
      <c r="H897">
        <v>999.99</v>
      </c>
      <c r="I897" s="16" t="str">
        <f t="shared" si="13"/>
        <v>Normal</v>
      </c>
      <c r="J897">
        <v>1</v>
      </c>
    </row>
    <row r="898" spans="1:10">
      <c r="A898" t="s">
        <v>3248</v>
      </c>
      <c r="B898" t="s">
        <v>1723</v>
      </c>
      <c r="C898" t="s">
        <v>2271</v>
      </c>
      <c r="D898" s="9">
        <v>45491</v>
      </c>
      <c r="E898" t="s">
        <v>2324</v>
      </c>
      <c r="F898" s="20">
        <v>75</v>
      </c>
      <c r="G898" t="s">
        <v>2328</v>
      </c>
      <c r="H898">
        <v>1200</v>
      </c>
      <c r="I898" s="16" t="str">
        <f t="shared" si="13"/>
        <v>Normal</v>
      </c>
      <c r="J898">
        <v>5</v>
      </c>
    </row>
    <row r="899" spans="1:10">
      <c r="A899" t="s">
        <v>3249</v>
      </c>
      <c r="B899" t="s">
        <v>1492</v>
      </c>
      <c r="C899" t="s">
        <v>2233</v>
      </c>
      <c r="D899" s="9">
        <v>45913</v>
      </c>
      <c r="E899" t="s">
        <v>2324</v>
      </c>
      <c r="F899" s="20">
        <v>40</v>
      </c>
      <c r="G899" t="s">
        <v>23</v>
      </c>
      <c r="H899">
        <v>2500</v>
      </c>
      <c r="I899" s="16" t="str">
        <f t="shared" ref="I899:I962" si="14">IF(H899="", "Unknown", IF(H899=0, "Zero Amount", IF(H899&lt;1, "Review", IF(H899&gt;1, "Normal"))))</f>
        <v>Normal</v>
      </c>
      <c r="J899" t="s">
        <v>39</v>
      </c>
    </row>
    <row r="900" spans="1:10">
      <c r="A900" t="s">
        <v>3250</v>
      </c>
      <c r="B900" t="s">
        <v>281</v>
      </c>
      <c r="C900" t="s">
        <v>2261</v>
      </c>
      <c r="D900" s="9">
        <v>45310</v>
      </c>
      <c r="E900" t="s">
        <v>2330</v>
      </c>
      <c r="F900" s="20">
        <v>100</v>
      </c>
      <c r="G900" t="s">
        <v>2328</v>
      </c>
      <c r="I900" s="16" t="str">
        <f t="shared" si="14"/>
        <v>Unknown</v>
      </c>
      <c r="J900">
        <v>4</v>
      </c>
    </row>
    <row r="901" spans="1:10">
      <c r="A901" t="s">
        <v>3251</v>
      </c>
      <c r="B901" t="s">
        <v>2769</v>
      </c>
      <c r="C901" t="s">
        <v>2233</v>
      </c>
      <c r="D901" s="9">
        <v>46058</v>
      </c>
      <c r="E901" t="s">
        <v>2330</v>
      </c>
      <c r="F901" s="20">
        <v>100</v>
      </c>
      <c r="G901" t="s">
        <v>2331</v>
      </c>
      <c r="H901">
        <v>-2500</v>
      </c>
      <c r="I901" s="16" t="str">
        <f t="shared" si="14"/>
        <v>Review</v>
      </c>
      <c r="J901">
        <v>3</v>
      </c>
    </row>
    <row r="902" spans="1:10">
      <c r="A902" t="s">
        <v>3252</v>
      </c>
      <c r="B902" t="s">
        <v>1169</v>
      </c>
      <c r="C902" t="s">
        <v>2216</v>
      </c>
      <c r="D902" s="9">
        <v>45798</v>
      </c>
      <c r="E902" t="s">
        <v>23</v>
      </c>
      <c r="G902" t="s">
        <v>2328</v>
      </c>
      <c r="H902">
        <v>1200</v>
      </c>
      <c r="I902" s="16" t="str">
        <f t="shared" si="14"/>
        <v>Normal</v>
      </c>
      <c r="J902">
        <v>4</v>
      </c>
    </row>
    <row r="903" spans="1:10">
      <c r="A903" t="s">
        <v>3253</v>
      </c>
      <c r="B903" t="s">
        <v>1602</v>
      </c>
      <c r="C903" t="s">
        <v>2269</v>
      </c>
      <c r="D903" s="9">
        <v>46156</v>
      </c>
      <c r="E903" t="s">
        <v>2330</v>
      </c>
      <c r="G903" t="s">
        <v>2339</v>
      </c>
      <c r="I903" s="16" t="str">
        <f t="shared" si="14"/>
        <v>Unknown</v>
      </c>
      <c r="J903">
        <v>1</v>
      </c>
    </row>
    <row r="904" spans="1:10">
      <c r="A904" t="s">
        <v>3254</v>
      </c>
      <c r="B904" t="s">
        <v>1270</v>
      </c>
      <c r="C904" t="s">
        <v>2209</v>
      </c>
      <c r="D904" s="9">
        <v>46059</v>
      </c>
      <c r="E904" t="s">
        <v>2324</v>
      </c>
      <c r="F904" s="20">
        <v>60</v>
      </c>
      <c r="G904" t="s">
        <v>2331</v>
      </c>
      <c r="H904">
        <v>499</v>
      </c>
      <c r="I904" s="16" t="str">
        <f t="shared" si="14"/>
        <v>Normal</v>
      </c>
      <c r="J904">
        <v>4</v>
      </c>
    </row>
    <row r="905" spans="1:10">
      <c r="A905" t="s">
        <v>3255</v>
      </c>
      <c r="B905" t="s">
        <v>343</v>
      </c>
      <c r="C905" t="s">
        <v>2198</v>
      </c>
      <c r="D905" s="9">
        <v>45841</v>
      </c>
      <c r="E905" t="s">
        <v>2330</v>
      </c>
      <c r="F905" s="20">
        <v>100</v>
      </c>
      <c r="G905" t="s">
        <v>23</v>
      </c>
      <c r="I905" s="16" t="str">
        <f t="shared" si="14"/>
        <v>Unknown</v>
      </c>
      <c r="J905" t="s">
        <v>39</v>
      </c>
    </row>
    <row r="906" spans="1:10">
      <c r="A906" t="s">
        <v>3256</v>
      </c>
      <c r="B906" t="s">
        <v>376</v>
      </c>
      <c r="C906" t="s">
        <v>2273</v>
      </c>
      <c r="D906" s="9">
        <v>46083</v>
      </c>
      <c r="E906" t="s">
        <v>2327</v>
      </c>
      <c r="F906" s="20">
        <v>0</v>
      </c>
      <c r="G906" t="s">
        <v>2345</v>
      </c>
      <c r="H906">
        <v>799</v>
      </c>
      <c r="I906" s="16" t="str">
        <f t="shared" si="14"/>
        <v>Normal</v>
      </c>
      <c r="J906" t="s">
        <v>39</v>
      </c>
    </row>
    <row r="907" spans="1:10">
      <c r="A907" t="s">
        <v>3257</v>
      </c>
      <c r="B907" t="s">
        <v>527</v>
      </c>
      <c r="C907" t="s">
        <v>2222</v>
      </c>
      <c r="D907" s="9">
        <v>45590</v>
      </c>
      <c r="E907" t="s">
        <v>2324</v>
      </c>
      <c r="F907" s="20">
        <v>75</v>
      </c>
      <c r="G907" t="s">
        <v>2339</v>
      </c>
      <c r="H907">
        <v>0</v>
      </c>
      <c r="I907" s="16" t="str">
        <f t="shared" si="14"/>
        <v>Zero Amount</v>
      </c>
      <c r="J907">
        <v>4</v>
      </c>
    </row>
    <row r="908" spans="1:10">
      <c r="A908" t="s">
        <v>3258</v>
      </c>
      <c r="B908" t="s">
        <v>1177</v>
      </c>
      <c r="C908" t="s">
        <v>2225</v>
      </c>
      <c r="D908" s="9">
        <v>46148</v>
      </c>
      <c r="E908" t="s">
        <v>2330</v>
      </c>
      <c r="F908" s="20">
        <v>100</v>
      </c>
      <c r="G908" t="s">
        <v>2345</v>
      </c>
      <c r="I908" s="16" t="str">
        <f t="shared" si="14"/>
        <v>Unknown</v>
      </c>
      <c r="J908">
        <v>4</v>
      </c>
    </row>
    <row r="909" spans="1:10">
      <c r="A909" t="s">
        <v>3259</v>
      </c>
      <c r="B909" t="s">
        <v>12</v>
      </c>
      <c r="C909" t="s">
        <v>2267</v>
      </c>
      <c r="D909" s="9">
        <v>45675</v>
      </c>
      <c r="E909" t="s">
        <v>2327</v>
      </c>
      <c r="F909" s="20">
        <v>20</v>
      </c>
      <c r="G909" t="s">
        <v>2345</v>
      </c>
      <c r="H909">
        <v>-999.99</v>
      </c>
      <c r="I909" s="16" t="str">
        <f t="shared" si="14"/>
        <v>Review</v>
      </c>
      <c r="J909">
        <v>5</v>
      </c>
    </row>
    <row r="910" spans="1:10">
      <c r="A910" t="s">
        <v>3260</v>
      </c>
      <c r="B910" t="s">
        <v>1948</v>
      </c>
      <c r="C910" t="s">
        <v>2198</v>
      </c>
      <c r="D910" s="9">
        <v>45388</v>
      </c>
      <c r="E910" t="s">
        <v>2330</v>
      </c>
      <c r="G910" t="s">
        <v>2345</v>
      </c>
      <c r="I910" s="16" t="str">
        <f t="shared" si="14"/>
        <v>Unknown</v>
      </c>
      <c r="J910" t="s">
        <v>39</v>
      </c>
    </row>
    <row r="911" spans="1:10">
      <c r="A911" t="s">
        <v>3261</v>
      </c>
      <c r="B911" t="s">
        <v>618</v>
      </c>
      <c r="C911" t="s">
        <v>2251</v>
      </c>
      <c r="D911" s="9">
        <v>45842</v>
      </c>
      <c r="E911" t="s">
        <v>2324</v>
      </c>
      <c r="F911" s="20">
        <v>55</v>
      </c>
      <c r="G911" t="s">
        <v>2345</v>
      </c>
      <c r="H911">
        <v>-1500</v>
      </c>
      <c r="I911" s="16" t="str">
        <f t="shared" si="14"/>
        <v>Review</v>
      </c>
      <c r="J911">
        <v>4</v>
      </c>
    </row>
    <row r="912" spans="1:10">
      <c r="A912" t="s">
        <v>3262</v>
      </c>
      <c r="B912" t="s">
        <v>163</v>
      </c>
      <c r="C912" t="s">
        <v>2231</v>
      </c>
      <c r="D912" s="9">
        <v>46071</v>
      </c>
      <c r="E912" t="s">
        <v>2327</v>
      </c>
      <c r="F912" s="20">
        <v>20</v>
      </c>
      <c r="G912" t="s">
        <v>2345</v>
      </c>
      <c r="H912">
        <v>2261.29</v>
      </c>
      <c r="I912" s="16" t="str">
        <f t="shared" si="14"/>
        <v>Normal</v>
      </c>
      <c r="J912">
        <v>5</v>
      </c>
    </row>
    <row r="913" spans="1:10">
      <c r="A913" t="s">
        <v>3263</v>
      </c>
      <c r="B913" t="s">
        <v>1118</v>
      </c>
      <c r="C913" t="s">
        <v>2251</v>
      </c>
      <c r="D913" s="9">
        <v>45526</v>
      </c>
      <c r="E913" t="s">
        <v>2337</v>
      </c>
      <c r="F913" s="20">
        <v>20</v>
      </c>
      <c r="G913" t="s">
        <v>2345</v>
      </c>
      <c r="H913">
        <v>1500</v>
      </c>
      <c r="I913" s="16" t="str">
        <f t="shared" si="14"/>
        <v>Normal</v>
      </c>
      <c r="J913">
        <v>1</v>
      </c>
    </row>
    <row r="914" spans="1:10">
      <c r="A914" t="s">
        <v>3264</v>
      </c>
      <c r="B914" t="s">
        <v>1236</v>
      </c>
      <c r="C914" t="s">
        <v>2213</v>
      </c>
      <c r="D914" s="9">
        <v>45555</v>
      </c>
      <c r="E914" t="s">
        <v>23</v>
      </c>
      <c r="G914" t="s">
        <v>2345</v>
      </c>
      <c r="H914">
        <v>1500</v>
      </c>
      <c r="I914" s="16" t="str">
        <f t="shared" si="14"/>
        <v>Normal</v>
      </c>
      <c r="J914" t="s">
        <v>39</v>
      </c>
    </row>
    <row r="915" spans="1:10">
      <c r="A915" t="s">
        <v>3265</v>
      </c>
      <c r="B915" t="s">
        <v>331</v>
      </c>
      <c r="C915" t="s">
        <v>2193</v>
      </c>
      <c r="D915" s="9">
        <v>46187</v>
      </c>
      <c r="E915" t="s">
        <v>2324</v>
      </c>
      <c r="F915" s="20">
        <v>25</v>
      </c>
      <c r="G915" t="s">
        <v>2339</v>
      </c>
      <c r="H915">
        <v>0</v>
      </c>
      <c r="I915" s="16" t="str">
        <f t="shared" si="14"/>
        <v>Zero Amount</v>
      </c>
      <c r="J915" t="s">
        <v>39</v>
      </c>
    </row>
    <row r="916" spans="1:10">
      <c r="A916" t="s">
        <v>3266</v>
      </c>
      <c r="B916" t="s">
        <v>585</v>
      </c>
      <c r="C916" t="s">
        <v>2259</v>
      </c>
      <c r="D916" s="9">
        <v>45437</v>
      </c>
      <c r="E916" t="s">
        <v>2330</v>
      </c>
      <c r="G916" t="s">
        <v>2325</v>
      </c>
      <c r="I916" s="16" t="str">
        <f t="shared" si="14"/>
        <v>Unknown</v>
      </c>
      <c r="J916">
        <v>3</v>
      </c>
    </row>
    <row r="917" spans="1:10">
      <c r="A917" t="s">
        <v>3267</v>
      </c>
      <c r="B917" t="s">
        <v>1786</v>
      </c>
      <c r="C917" t="s">
        <v>2233</v>
      </c>
      <c r="D917" s="9">
        <v>45054</v>
      </c>
      <c r="E917" t="s">
        <v>2324</v>
      </c>
      <c r="F917" s="20">
        <v>75</v>
      </c>
      <c r="G917" t="s">
        <v>2345</v>
      </c>
      <c r="H917">
        <v>2500</v>
      </c>
      <c r="I917" s="16" t="str">
        <f t="shared" si="14"/>
        <v>Normal</v>
      </c>
      <c r="J917">
        <v>5</v>
      </c>
    </row>
    <row r="918" spans="1:10">
      <c r="A918" t="s">
        <v>3268</v>
      </c>
      <c r="B918" t="s">
        <v>806</v>
      </c>
      <c r="C918" t="s">
        <v>2271</v>
      </c>
      <c r="D918" s="9">
        <v>45962</v>
      </c>
      <c r="E918" t="s">
        <v>2330</v>
      </c>
      <c r="F918" s="20">
        <v>100</v>
      </c>
      <c r="G918" t="s">
        <v>2325</v>
      </c>
      <c r="H918">
        <v>1200</v>
      </c>
      <c r="I918" s="16" t="str">
        <f t="shared" si="14"/>
        <v>Normal</v>
      </c>
      <c r="J918">
        <v>3</v>
      </c>
    </row>
    <row r="919" spans="1:10">
      <c r="A919" t="s">
        <v>3269</v>
      </c>
      <c r="B919" t="s">
        <v>1303</v>
      </c>
      <c r="C919" t="s">
        <v>2198</v>
      </c>
      <c r="D919" s="9">
        <v>45474</v>
      </c>
      <c r="E919" t="s">
        <v>2330</v>
      </c>
      <c r="F919" s="20">
        <v>100</v>
      </c>
      <c r="G919" t="s">
        <v>23</v>
      </c>
      <c r="I919" s="16" t="str">
        <f t="shared" si="14"/>
        <v>Unknown</v>
      </c>
      <c r="J919">
        <v>2</v>
      </c>
    </row>
    <row r="920" spans="1:10">
      <c r="A920" t="s">
        <v>3270</v>
      </c>
      <c r="B920" t="s">
        <v>1719</v>
      </c>
      <c r="C920" t="s">
        <v>2253</v>
      </c>
      <c r="D920" s="9">
        <v>45769</v>
      </c>
      <c r="E920" t="s">
        <v>2324</v>
      </c>
      <c r="F920" s="20">
        <v>55</v>
      </c>
      <c r="G920" t="s">
        <v>2328</v>
      </c>
      <c r="H920">
        <v>1200</v>
      </c>
      <c r="I920" s="16" t="str">
        <f t="shared" si="14"/>
        <v>Normal</v>
      </c>
      <c r="J920" t="s">
        <v>39</v>
      </c>
    </row>
    <row r="921" spans="1:10">
      <c r="A921" t="s">
        <v>3271</v>
      </c>
      <c r="B921" t="s">
        <v>1194</v>
      </c>
      <c r="C921" t="s">
        <v>2273</v>
      </c>
      <c r="D921" s="9">
        <v>45573</v>
      </c>
      <c r="E921" t="s">
        <v>2327</v>
      </c>
      <c r="F921" s="20">
        <v>0</v>
      </c>
      <c r="G921" t="s">
        <v>2328</v>
      </c>
      <c r="I921" s="16" t="str">
        <f t="shared" si="14"/>
        <v>Unknown</v>
      </c>
      <c r="J921" t="s">
        <v>39</v>
      </c>
    </row>
    <row r="922" spans="1:10">
      <c r="A922" t="s">
        <v>3272</v>
      </c>
      <c r="B922" t="s">
        <v>380</v>
      </c>
      <c r="C922" t="s">
        <v>2237</v>
      </c>
      <c r="D922" s="9">
        <v>45596</v>
      </c>
      <c r="E922" t="s">
        <v>2327</v>
      </c>
      <c r="F922" s="20">
        <v>0</v>
      </c>
      <c r="G922" t="s">
        <v>23</v>
      </c>
      <c r="H922">
        <v>1500</v>
      </c>
      <c r="I922" s="16" t="str">
        <f t="shared" si="14"/>
        <v>Normal</v>
      </c>
      <c r="J922" t="s">
        <v>39</v>
      </c>
    </row>
    <row r="923" spans="1:10">
      <c r="A923" t="s">
        <v>3273</v>
      </c>
      <c r="B923" t="s">
        <v>1058</v>
      </c>
      <c r="C923" t="s">
        <v>2273</v>
      </c>
      <c r="D923" s="9">
        <v>46159</v>
      </c>
      <c r="E923" t="s">
        <v>2327</v>
      </c>
      <c r="F923" s="20">
        <v>20</v>
      </c>
      <c r="G923" t="s">
        <v>2331</v>
      </c>
      <c r="H923">
        <v>600.53</v>
      </c>
      <c r="I923" s="16" t="str">
        <f t="shared" si="14"/>
        <v>Normal</v>
      </c>
      <c r="J923" t="s">
        <v>39</v>
      </c>
    </row>
    <row r="924" spans="1:10">
      <c r="A924" t="s">
        <v>3274</v>
      </c>
      <c r="B924" t="s">
        <v>1295</v>
      </c>
      <c r="C924" t="s">
        <v>2264</v>
      </c>
      <c r="D924" s="9">
        <v>45966</v>
      </c>
      <c r="E924" t="s">
        <v>2324</v>
      </c>
      <c r="F924" s="20">
        <v>40</v>
      </c>
      <c r="G924" t="s">
        <v>2325</v>
      </c>
      <c r="H924">
        <v>2500</v>
      </c>
      <c r="I924" s="16" t="str">
        <f t="shared" si="14"/>
        <v>Normal</v>
      </c>
      <c r="J924" t="s">
        <v>39</v>
      </c>
    </row>
    <row r="925" spans="1:10">
      <c r="A925" t="s">
        <v>3275</v>
      </c>
      <c r="B925" t="s">
        <v>813</v>
      </c>
      <c r="C925" t="s">
        <v>2205</v>
      </c>
      <c r="D925" s="9">
        <v>45327</v>
      </c>
      <c r="E925" t="s">
        <v>2330</v>
      </c>
      <c r="G925" t="s">
        <v>2325</v>
      </c>
      <c r="H925">
        <v>1500</v>
      </c>
      <c r="I925" s="16" t="str">
        <f t="shared" si="14"/>
        <v>Normal</v>
      </c>
      <c r="J925">
        <v>5</v>
      </c>
    </row>
    <row r="926" spans="1:10">
      <c r="A926" t="s">
        <v>3276</v>
      </c>
      <c r="B926" t="s">
        <v>1620</v>
      </c>
      <c r="C926" t="s">
        <v>2261</v>
      </c>
      <c r="D926" s="9">
        <v>46160</v>
      </c>
      <c r="E926" t="s">
        <v>2330</v>
      </c>
      <c r="F926" s="20">
        <v>100</v>
      </c>
      <c r="G926" t="s">
        <v>2345</v>
      </c>
      <c r="I926" s="16" t="str">
        <f t="shared" si="14"/>
        <v>Unknown</v>
      </c>
      <c r="J926">
        <v>5</v>
      </c>
    </row>
    <row r="927" spans="1:10">
      <c r="A927" t="s">
        <v>3277</v>
      </c>
      <c r="B927" t="s">
        <v>1995</v>
      </c>
      <c r="C927" t="s">
        <v>2261</v>
      </c>
      <c r="D927" s="9">
        <v>45644</v>
      </c>
      <c r="E927" t="s">
        <v>2330</v>
      </c>
      <c r="F927" s="20">
        <v>100</v>
      </c>
      <c r="G927" t="s">
        <v>2328</v>
      </c>
      <c r="I927" s="16" t="str">
        <f t="shared" si="14"/>
        <v>Unknown</v>
      </c>
      <c r="J927">
        <v>2</v>
      </c>
    </row>
    <row r="928" spans="1:10">
      <c r="A928" t="s">
        <v>3278</v>
      </c>
      <c r="B928" t="s">
        <v>1544</v>
      </c>
      <c r="C928" t="s">
        <v>2251</v>
      </c>
      <c r="D928" s="9">
        <v>45849</v>
      </c>
      <c r="E928" t="s">
        <v>23</v>
      </c>
      <c r="G928" t="s">
        <v>2325</v>
      </c>
      <c r="H928">
        <v>1500</v>
      </c>
      <c r="I928" s="16" t="str">
        <f t="shared" si="14"/>
        <v>Normal</v>
      </c>
      <c r="J928">
        <v>4</v>
      </c>
    </row>
    <row r="929" spans="1:10">
      <c r="A929" t="s">
        <v>3279</v>
      </c>
      <c r="B929" t="s">
        <v>1194</v>
      </c>
      <c r="C929" t="s">
        <v>2267</v>
      </c>
      <c r="D929" s="9">
        <v>45609</v>
      </c>
      <c r="E929" t="s">
        <v>2330</v>
      </c>
      <c r="F929" s="20">
        <v>100</v>
      </c>
      <c r="G929" t="s">
        <v>2345</v>
      </c>
      <c r="H929">
        <v>999.99</v>
      </c>
      <c r="I929" s="16" t="str">
        <f t="shared" si="14"/>
        <v>Normal</v>
      </c>
      <c r="J929">
        <v>5</v>
      </c>
    </row>
    <row r="930" spans="1:10">
      <c r="A930" t="s">
        <v>3280</v>
      </c>
      <c r="B930" t="s">
        <v>878</v>
      </c>
      <c r="C930" t="s">
        <v>2253</v>
      </c>
      <c r="D930" s="9">
        <v>45262</v>
      </c>
      <c r="E930" t="s">
        <v>2330</v>
      </c>
      <c r="G930" t="s">
        <v>2325</v>
      </c>
      <c r="H930">
        <v>1200</v>
      </c>
      <c r="I930" s="16" t="str">
        <f t="shared" si="14"/>
        <v>Normal</v>
      </c>
      <c r="J930">
        <v>4</v>
      </c>
    </row>
    <row r="931" spans="1:10">
      <c r="A931" t="s">
        <v>3281</v>
      </c>
      <c r="B931" t="s">
        <v>3282</v>
      </c>
      <c r="C931" t="s">
        <v>2216</v>
      </c>
      <c r="D931" s="9">
        <v>46157</v>
      </c>
      <c r="E931" t="s">
        <v>2330</v>
      </c>
      <c r="F931" s="20">
        <v>100</v>
      </c>
      <c r="G931" t="s">
        <v>2345</v>
      </c>
      <c r="H931">
        <v>1200</v>
      </c>
      <c r="I931" s="16" t="str">
        <f t="shared" si="14"/>
        <v>Normal</v>
      </c>
      <c r="J931">
        <v>4</v>
      </c>
    </row>
    <row r="932" spans="1:10">
      <c r="A932" t="s">
        <v>3283</v>
      </c>
      <c r="B932" t="s">
        <v>316</v>
      </c>
      <c r="C932" t="s">
        <v>2264</v>
      </c>
      <c r="D932" s="9">
        <v>45752</v>
      </c>
      <c r="E932" t="s">
        <v>2337</v>
      </c>
      <c r="F932" s="20">
        <v>0</v>
      </c>
      <c r="G932" t="s">
        <v>2345</v>
      </c>
      <c r="H932">
        <v>2500</v>
      </c>
      <c r="I932" s="16" t="str">
        <f t="shared" si="14"/>
        <v>Normal</v>
      </c>
      <c r="J932">
        <v>5</v>
      </c>
    </row>
    <row r="933" spans="1:10">
      <c r="A933" t="s">
        <v>3284</v>
      </c>
      <c r="B933" t="s">
        <v>1492</v>
      </c>
      <c r="C933" t="s">
        <v>2253</v>
      </c>
      <c r="D933" s="9">
        <v>45826</v>
      </c>
      <c r="E933" t="s">
        <v>23</v>
      </c>
      <c r="G933" t="s">
        <v>2345</v>
      </c>
      <c r="H933">
        <v>1200</v>
      </c>
      <c r="I933" s="16" t="str">
        <f t="shared" si="14"/>
        <v>Normal</v>
      </c>
      <c r="J933">
        <v>4</v>
      </c>
    </row>
    <row r="934" spans="1:10">
      <c r="A934" t="s">
        <v>3285</v>
      </c>
      <c r="B934" t="s">
        <v>462</v>
      </c>
      <c r="C934" t="s">
        <v>2269</v>
      </c>
      <c r="D934" s="9">
        <v>45430</v>
      </c>
      <c r="E934" t="s">
        <v>2337</v>
      </c>
      <c r="G934" t="s">
        <v>2325</v>
      </c>
      <c r="H934">
        <v>499</v>
      </c>
      <c r="I934" s="16" t="str">
        <f t="shared" si="14"/>
        <v>Normal</v>
      </c>
      <c r="J934">
        <v>3</v>
      </c>
    </row>
    <row r="935" spans="1:10">
      <c r="A935" t="s">
        <v>3286</v>
      </c>
      <c r="B935" t="s">
        <v>85</v>
      </c>
      <c r="C935" t="s">
        <v>2253</v>
      </c>
      <c r="D935" s="9">
        <v>45296</v>
      </c>
      <c r="E935" t="s">
        <v>2324</v>
      </c>
      <c r="F935" s="20">
        <v>40</v>
      </c>
      <c r="G935" t="s">
        <v>2345</v>
      </c>
      <c r="H935">
        <v>1200</v>
      </c>
      <c r="I935" s="16" t="str">
        <f t="shared" si="14"/>
        <v>Normal</v>
      </c>
      <c r="J935">
        <v>1</v>
      </c>
    </row>
    <row r="936" spans="1:10">
      <c r="A936" t="s">
        <v>3287</v>
      </c>
      <c r="B936" t="s">
        <v>400</v>
      </c>
      <c r="C936" t="s">
        <v>2205</v>
      </c>
      <c r="D936" s="9">
        <v>45974</v>
      </c>
      <c r="E936" t="s">
        <v>2330</v>
      </c>
      <c r="G936" t="s">
        <v>2345</v>
      </c>
      <c r="H936">
        <v>1500</v>
      </c>
      <c r="I936" s="16" t="str">
        <f t="shared" si="14"/>
        <v>Normal</v>
      </c>
      <c r="J936" t="s">
        <v>39</v>
      </c>
    </row>
    <row r="937" spans="1:10">
      <c r="A937" t="s">
        <v>3288</v>
      </c>
      <c r="B937" t="s">
        <v>1552</v>
      </c>
      <c r="C937" t="s">
        <v>2209</v>
      </c>
      <c r="D937" s="9">
        <v>45145</v>
      </c>
      <c r="E937" t="s">
        <v>2330</v>
      </c>
      <c r="F937" s="20">
        <v>100</v>
      </c>
      <c r="G937" t="s">
        <v>2345</v>
      </c>
      <c r="H937">
        <v>499</v>
      </c>
      <c r="I937" s="16" t="str">
        <f t="shared" si="14"/>
        <v>Normal</v>
      </c>
      <c r="J937" t="s">
        <v>39</v>
      </c>
    </row>
    <row r="938" spans="1:10">
      <c r="A938" t="s">
        <v>3289</v>
      </c>
      <c r="B938" t="s">
        <v>1173</v>
      </c>
      <c r="C938" t="s">
        <v>2244</v>
      </c>
      <c r="D938" s="9">
        <v>45142</v>
      </c>
      <c r="E938" t="s">
        <v>2324</v>
      </c>
      <c r="F938" s="20">
        <v>10</v>
      </c>
      <c r="G938" t="s">
        <v>2345</v>
      </c>
      <c r="H938">
        <v>1200</v>
      </c>
      <c r="I938" s="16" t="str">
        <f t="shared" si="14"/>
        <v>Normal</v>
      </c>
      <c r="J938" t="s">
        <v>39</v>
      </c>
    </row>
    <row r="939" spans="1:10">
      <c r="A939" t="s">
        <v>3290</v>
      </c>
      <c r="B939" t="s">
        <v>918</v>
      </c>
      <c r="C939" t="s">
        <v>2198</v>
      </c>
      <c r="D939" s="9">
        <v>45408</v>
      </c>
      <c r="E939" t="s">
        <v>2327</v>
      </c>
      <c r="F939" s="20">
        <v>0</v>
      </c>
      <c r="G939" t="s">
        <v>23</v>
      </c>
      <c r="I939" s="16" t="str">
        <f t="shared" si="14"/>
        <v>Unknown</v>
      </c>
      <c r="J939">
        <v>5</v>
      </c>
    </row>
    <row r="940" spans="1:10">
      <c r="A940" t="s">
        <v>3291</v>
      </c>
      <c r="B940" t="s">
        <v>1894</v>
      </c>
      <c r="C940" t="s">
        <v>2202</v>
      </c>
      <c r="D940" s="9">
        <v>45661</v>
      </c>
      <c r="E940" t="s">
        <v>2330</v>
      </c>
      <c r="G940" t="s">
        <v>2331</v>
      </c>
      <c r="H940">
        <v>999.99</v>
      </c>
      <c r="I940" s="16" t="str">
        <f t="shared" si="14"/>
        <v>Normal</v>
      </c>
      <c r="J940" t="s">
        <v>39</v>
      </c>
    </row>
    <row r="941" spans="1:10">
      <c r="A941" t="s">
        <v>3292</v>
      </c>
      <c r="B941" t="s">
        <v>1330</v>
      </c>
      <c r="C941" t="s">
        <v>2209</v>
      </c>
      <c r="D941" s="9">
        <v>45156</v>
      </c>
      <c r="E941" t="s">
        <v>2330</v>
      </c>
      <c r="F941" s="20">
        <v>100</v>
      </c>
      <c r="G941" t="s">
        <v>2345</v>
      </c>
      <c r="H941">
        <v>499</v>
      </c>
      <c r="I941" s="16" t="str">
        <f t="shared" si="14"/>
        <v>Normal</v>
      </c>
      <c r="J941">
        <v>5</v>
      </c>
    </row>
    <row r="942" spans="1:10">
      <c r="A942" t="s">
        <v>3293</v>
      </c>
      <c r="B942" t="s">
        <v>357</v>
      </c>
      <c r="C942" t="s">
        <v>2198</v>
      </c>
      <c r="D942" s="9">
        <v>45433</v>
      </c>
      <c r="E942" t="s">
        <v>2327</v>
      </c>
      <c r="F942" s="20">
        <v>15</v>
      </c>
      <c r="G942" t="s">
        <v>2325</v>
      </c>
      <c r="I942" s="16" t="str">
        <f t="shared" si="14"/>
        <v>Unknown</v>
      </c>
      <c r="J942" t="s">
        <v>39</v>
      </c>
    </row>
    <row r="943" spans="1:10">
      <c r="A943" t="s">
        <v>3294</v>
      </c>
      <c r="B943" t="s">
        <v>1776</v>
      </c>
      <c r="C943" t="s">
        <v>2273</v>
      </c>
      <c r="D943" s="9">
        <v>45569</v>
      </c>
      <c r="E943" t="s">
        <v>2324</v>
      </c>
      <c r="F943" s="20">
        <v>10</v>
      </c>
      <c r="G943" t="s">
        <v>2328</v>
      </c>
      <c r="H943">
        <v>799</v>
      </c>
      <c r="I943" s="16" t="str">
        <f t="shared" si="14"/>
        <v>Normal</v>
      </c>
      <c r="J943">
        <v>3</v>
      </c>
    </row>
    <row r="944" spans="1:10">
      <c r="A944" t="s">
        <v>3295</v>
      </c>
      <c r="B944" t="s">
        <v>418</v>
      </c>
      <c r="C944" t="s">
        <v>2264</v>
      </c>
      <c r="D944" s="9">
        <v>45821</v>
      </c>
      <c r="E944" t="s">
        <v>2337</v>
      </c>
      <c r="F944" s="20">
        <v>5</v>
      </c>
      <c r="G944" t="s">
        <v>23</v>
      </c>
      <c r="I944" s="16" t="str">
        <f t="shared" si="14"/>
        <v>Unknown</v>
      </c>
      <c r="J944" t="s">
        <v>39</v>
      </c>
    </row>
    <row r="945" spans="1:10">
      <c r="A945" t="s">
        <v>3296</v>
      </c>
      <c r="B945" t="s">
        <v>1683</v>
      </c>
      <c r="C945" t="s">
        <v>2259</v>
      </c>
      <c r="D945" s="9">
        <v>45098</v>
      </c>
      <c r="E945" t="s">
        <v>2324</v>
      </c>
      <c r="F945" s="20">
        <v>75</v>
      </c>
      <c r="G945" t="s">
        <v>23</v>
      </c>
      <c r="H945">
        <v>0</v>
      </c>
      <c r="I945" s="16" t="str">
        <f t="shared" si="14"/>
        <v>Zero Amount</v>
      </c>
      <c r="J945">
        <v>1</v>
      </c>
    </row>
    <row r="946" spans="1:10">
      <c r="A946" t="s">
        <v>3297</v>
      </c>
      <c r="B946" t="s">
        <v>2061</v>
      </c>
      <c r="C946" t="s">
        <v>2261</v>
      </c>
      <c r="D946" s="9">
        <v>45373</v>
      </c>
      <c r="E946" t="s">
        <v>2337</v>
      </c>
      <c r="F946" s="20">
        <v>15</v>
      </c>
      <c r="G946" t="s">
        <v>2345</v>
      </c>
      <c r="I946" s="16" t="str">
        <f t="shared" si="14"/>
        <v>Unknown</v>
      </c>
      <c r="J946">
        <v>3</v>
      </c>
    </row>
    <row r="947" spans="1:10">
      <c r="A947" t="s">
        <v>3298</v>
      </c>
      <c r="B947" t="s">
        <v>181</v>
      </c>
      <c r="C947" t="s">
        <v>2235</v>
      </c>
      <c r="D947" s="9">
        <v>45481</v>
      </c>
      <c r="E947" t="s">
        <v>2330</v>
      </c>
      <c r="F947" s="20">
        <v>100</v>
      </c>
      <c r="G947" t="s">
        <v>2331</v>
      </c>
      <c r="H947">
        <v>3000</v>
      </c>
      <c r="I947" s="16" t="str">
        <f t="shared" si="14"/>
        <v>Normal</v>
      </c>
      <c r="J947">
        <v>4</v>
      </c>
    </row>
    <row r="948" spans="1:10">
      <c r="A948" t="s">
        <v>3299</v>
      </c>
      <c r="B948" t="s">
        <v>1278</v>
      </c>
      <c r="C948" t="s">
        <v>2233</v>
      </c>
      <c r="D948" s="9">
        <v>45408</v>
      </c>
      <c r="E948" t="s">
        <v>2330</v>
      </c>
      <c r="F948" s="20">
        <v>100</v>
      </c>
      <c r="G948" t="s">
        <v>2331</v>
      </c>
      <c r="H948">
        <v>2500</v>
      </c>
      <c r="I948" s="16" t="str">
        <f t="shared" si="14"/>
        <v>Normal</v>
      </c>
      <c r="J948">
        <v>3</v>
      </c>
    </row>
    <row r="949" spans="1:10">
      <c r="A949" t="s">
        <v>3300</v>
      </c>
      <c r="B949" t="s">
        <v>531</v>
      </c>
      <c r="C949" t="s">
        <v>2267</v>
      </c>
      <c r="D949" s="9">
        <v>46039</v>
      </c>
      <c r="E949" t="s">
        <v>2324</v>
      </c>
      <c r="F949" s="20">
        <v>60</v>
      </c>
      <c r="G949" t="s">
        <v>2331</v>
      </c>
      <c r="H949">
        <v>999.99</v>
      </c>
      <c r="I949" s="16" t="str">
        <f t="shared" si="14"/>
        <v>Normal</v>
      </c>
      <c r="J949" t="s">
        <v>39</v>
      </c>
    </row>
    <row r="950" spans="1:10">
      <c r="A950" t="s">
        <v>3301</v>
      </c>
      <c r="B950" t="s">
        <v>477</v>
      </c>
      <c r="C950" t="s">
        <v>2249</v>
      </c>
      <c r="D950" s="9">
        <v>45827</v>
      </c>
      <c r="E950" t="s">
        <v>2324</v>
      </c>
      <c r="F950" s="20">
        <v>25</v>
      </c>
      <c r="G950" t="s">
        <v>2328</v>
      </c>
      <c r="H950">
        <v>1500</v>
      </c>
      <c r="I950" s="16" t="str">
        <f t="shared" si="14"/>
        <v>Normal</v>
      </c>
      <c r="J950">
        <v>2</v>
      </c>
    </row>
    <row r="951" spans="1:10">
      <c r="A951" t="s">
        <v>3302</v>
      </c>
      <c r="B951" t="s">
        <v>1118</v>
      </c>
      <c r="C951" t="s">
        <v>2193</v>
      </c>
      <c r="D951" s="9">
        <v>45940</v>
      </c>
      <c r="E951" t="s">
        <v>2330</v>
      </c>
      <c r="F951" s="20">
        <v>100</v>
      </c>
      <c r="G951" t="s">
        <v>2339</v>
      </c>
      <c r="H951">
        <v>0</v>
      </c>
      <c r="I951" s="16" t="str">
        <f t="shared" si="14"/>
        <v>Zero Amount</v>
      </c>
      <c r="J951">
        <v>2</v>
      </c>
    </row>
    <row r="952" spans="1:10">
      <c r="A952" t="s">
        <v>3303</v>
      </c>
      <c r="B952" t="s">
        <v>987</v>
      </c>
      <c r="C952" t="s">
        <v>2267</v>
      </c>
      <c r="D952" s="9">
        <v>45119</v>
      </c>
      <c r="E952" t="s">
        <v>2327</v>
      </c>
      <c r="F952" s="20">
        <v>15</v>
      </c>
      <c r="G952" t="s">
        <v>2331</v>
      </c>
      <c r="H952">
        <v>-999.99</v>
      </c>
      <c r="I952" s="16" t="str">
        <f t="shared" si="14"/>
        <v>Review</v>
      </c>
      <c r="J952">
        <v>3</v>
      </c>
    </row>
    <row r="953" spans="1:10">
      <c r="A953" t="s">
        <v>3304</v>
      </c>
      <c r="B953" t="s">
        <v>1967</v>
      </c>
      <c r="C953" t="s">
        <v>2228</v>
      </c>
      <c r="D953" s="9">
        <v>45192</v>
      </c>
      <c r="E953" t="s">
        <v>23</v>
      </c>
      <c r="G953" t="s">
        <v>2328</v>
      </c>
      <c r="H953">
        <v>799</v>
      </c>
      <c r="I953" s="16" t="str">
        <f t="shared" si="14"/>
        <v>Normal</v>
      </c>
      <c r="J953">
        <v>2</v>
      </c>
    </row>
    <row r="954" spans="1:10">
      <c r="A954" t="s">
        <v>3305</v>
      </c>
      <c r="B954" t="s">
        <v>125</v>
      </c>
      <c r="C954" t="s">
        <v>2187</v>
      </c>
      <c r="D954" s="9">
        <v>45630</v>
      </c>
      <c r="E954" t="s">
        <v>2324</v>
      </c>
      <c r="F954" s="20">
        <v>25</v>
      </c>
      <c r="G954" t="s">
        <v>2331</v>
      </c>
      <c r="H954">
        <v>799</v>
      </c>
      <c r="I954" s="16" t="str">
        <f t="shared" si="14"/>
        <v>Normal</v>
      </c>
      <c r="J954" t="s">
        <v>39</v>
      </c>
    </row>
    <row r="955" spans="1:10">
      <c r="A955" t="s">
        <v>3306</v>
      </c>
      <c r="B955" t="s">
        <v>1363</v>
      </c>
      <c r="C955" t="s">
        <v>2202</v>
      </c>
      <c r="D955" s="9">
        <v>46189</v>
      </c>
      <c r="E955" t="s">
        <v>2330</v>
      </c>
      <c r="G955" t="s">
        <v>2331</v>
      </c>
      <c r="H955">
        <v>999.99</v>
      </c>
      <c r="I955" s="16" t="str">
        <f t="shared" si="14"/>
        <v>Normal</v>
      </c>
      <c r="J955">
        <v>3</v>
      </c>
    </row>
    <row r="956" spans="1:10">
      <c r="A956" t="s">
        <v>3307</v>
      </c>
      <c r="B956" t="s">
        <v>710</v>
      </c>
      <c r="C956" t="s">
        <v>2247</v>
      </c>
      <c r="D956" s="9">
        <v>45313</v>
      </c>
      <c r="E956" t="s">
        <v>2324</v>
      </c>
      <c r="F956" s="20">
        <v>25</v>
      </c>
      <c r="G956" t="s">
        <v>2331</v>
      </c>
      <c r="I956" s="16" t="str">
        <f t="shared" si="14"/>
        <v>Unknown</v>
      </c>
      <c r="J956" t="s">
        <v>39</v>
      </c>
    </row>
    <row r="957" spans="1:10">
      <c r="A957" t="s">
        <v>3308</v>
      </c>
      <c r="B957" t="s">
        <v>2034</v>
      </c>
      <c r="C957" t="s">
        <v>2273</v>
      </c>
      <c r="D957" s="9">
        <v>45739</v>
      </c>
      <c r="E957" t="s">
        <v>2330</v>
      </c>
      <c r="G957" t="s">
        <v>2331</v>
      </c>
      <c r="H957">
        <v>799</v>
      </c>
      <c r="I957" s="16" t="str">
        <f t="shared" si="14"/>
        <v>Normal</v>
      </c>
      <c r="J957">
        <v>5</v>
      </c>
    </row>
    <row r="958" spans="1:10">
      <c r="A958" t="s">
        <v>3309</v>
      </c>
      <c r="B958" t="s">
        <v>1508</v>
      </c>
      <c r="C958" t="s">
        <v>2261</v>
      </c>
      <c r="D958" s="9">
        <v>45186</v>
      </c>
      <c r="E958" t="s">
        <v>2330</v>
      </c>
      <c r="G958" t="s">
        <v>2331</v>
      </c>
      <c r="I958" s="16" t="str">
        <f t="shared" si="14"/>
        <v>Unknown</v>
      </c>
      <c r="J958">
        <v>4</v>
      </c>
    </row>
    <row r="959" spans="1:10">
      <c r="A959" t="s">
        <v>3310</v>
      </c>
      <c r="B959" t="s">
        <v>1026</v>
      </c>
      <c r="C959" t="s">
        <v>2259</v>
      </c>
      <c r="D959" s="9">
        <v>45337</v>
      </c>
      <c r="E959" t="s">
        <v>2327</v>
      </c>
      <c r="F959" s="20">
        <v>0</v>
      </c>
      <c r="G959" t="s">
        <v>2345</v>
      </c>
      <c r="H959">
        <v>0</v>
      </c>
      <c r="I959" s="16" t="str">
        <f t="shared" si="14"/>
        <v>Zero Amount</v>
      </c>
      <c r="J959" t="s">
        <v>39</v>
      </c>
    </row>
    <row r="960" spans="1:10">
      <c r="A960" t="s">
        <v>3311</v>
      </c>
      <c r="B960" t="s">
        <v>430</v>
      </c>
      <c r="C960" t="s">
        <v>2271</v>
      </c>
      <c r="D960" s="9">
        <v>45616</v>
      </c>
      <c r="E960" t="s">
        <v>2330</v>
      </c>
      <c r="F960" s="20">
        <v>100</v>
      </c>
      <c r="G960" t="s">
        <v>2328</v>
      </c>
      <c r="H960">
        <v>1200</v>
      </c>
      <c r="I960" s="16" t="str">
        <f t="shared" si="14"/>
        <v>Normal</v>
      </c>
      <c r="J960">
        <v>5</v>
      </c>
    </row>
    <row r="961" spans="1:10">
      <c r="A961" t="s">
        <v>3312</v>
      </c>
      <c r="B961" t="s">
        <v>2006</v>
      </c>
      <c r="C961" t="s">
        <v>2202</v>
      </c>
      <c r="D961" s="9">
        <v>45486</v>
      </c>
      <c r="E961" t="s">
        <v>2327</v>
      </c>
      <c r="G961" t="s">
        <v>2325</v>
      </c>
      <c r="H961">
        <v>999.99</v>
      </c>
      <c r="I961" s="16" t="str">
        <f t="shared" si="14"/>
        <v>Normal</v>
      </c>
      <c r="J961">
        <v>5</v>
      </c>
    </row>
    <row r="962" spans="1:10">
      <c r="A962" t="s">
        <v>3313</v>
      </c>
      <c r="B962" t="s">
        <v>339</v>
      </c>
      <c r="C962" t="s">
        <v>2225</v>
      </c>
      <c r="D962" s="9">
        <v>45987</v>
      </c>
      <c r="E962" t="s">
        <v>2327</v>
      </c>
      <c r="G962" t="s">
        <v>2345</v>
      </c>
      <c r="I962" s="16" t="str">
        <f t="shared" si="14"/>
        <v>Unknown</v>
      </c>
      <c r="J962" t="s">
        <v>39</v>
      </c>
    </row>
    <row r="963" spans="1:10">
      <c r="A963" t="s">
        <v>3314</v>
      </c>
      <c r="B963" t="s">
        <v>1744</v>
      </c>
      <c r="C963" t="s">
        <v>2213</v>
      </c>
      <c r="D963" s="9">
        <v>45796</v>
      </c>
      <c r="E963" t="s">
        <v>2327</v>
      </c>
      <c r="F963" s="20">
        <v>5</v>
      </c>
      <c r="G963" t="s">
        <v>2328</v>
      </c>
      <c r="H963">
        <v>996.35</v>
      </c>
      <c r="I963" s="16" t="str">
        <f t="shared" ref="I963:I1026" si="15">IF(H963="", "Unknown", IF(H963=0, "Zero Amount", IF(H963&lt;1, "Review", IF(H963&gt;1, "Normal"))))</f>
        <v>Normal</v>
      </c>
      <c r="J963">
        <v>5</v>
      </c>
    </row>
    <row r="964" spans="1:10">
      <c r="A964" t="s">
        <v>3315</v>
      </c>
      <c r="B964" t="s">
        <v>44</v>
      </c>
      <c r="C964" t="s">
        <v>2253</v>
      </c>
      <c r="D964" s="9">
        <v>45561</v>
      </c>
      <c r="E964" t="s">
        <v>2330</v>
      </c>
      <c r="G964" t="s">
        <v>2325</v>
      </c>
      <c r="H964">
        <v>1200</v>
      </c>
      <c r="I964" s="16" t="str">
        <f t="shared" si="15"/>
        <v>Normal</v>
      </c>
      <c r="J964">
        <v>4</v>
      </c>
    </row>
    <row r="965" spans="1:10">
      <c r="A965" t="s">
        <v>3316</v>
      </c>
      <c r="B965" t="s">
        <v>1827</v>
      </c>
      <c r="C965" t="s">
        <v>2244</v>
      </c>
      <c r="D965" s="9">
        <v>46157</v>
      </c>
      <c r="E965" t="s">
        <v>2330</v>
      </c>
      <c r="F965" s="20">
        <v>100</v>
      </c>
      <c r="G965" t="s">
        <v>2328</v>
      </c>
      <c r="I965" s="16" t="str">
        <f t="shared" si="15"/>
        <v>Unknown</v>
      </c>
      <c r="J965">
        <v>4</v>
      </c>
    </row>
    <row r="966" spans="1:10">
      <c r="A966" t="s">
        <v>3317</v>
      </c>
      <c r="B966" t="s">
        <v>745</v>
      </c>
      <c r="C966" t="s">
        <v>2267</v>
      </c>
      <c r="D966" s="9">
        <v>45205</v>
      </c>
      <c r="E966" t="s">
        <v>2330</v>
      </c>
      <c r="G966" t="s">
        <v>2328</v>
      </c>
      <c r="H966">
        <v>999.99</v>
      </c>
      <c r="I966" s="16" t="str">
        <f t="shared" si="15"/>
        <v>Normal</v>
      </c>
      <c r="J966">
        <v>3</v>
      </c>
    </row>
    <row r="967" spans="1:10">
      <c r="A967" t="s">
        <v>3318</v>
      </c>
      <c r="B967" t="s">
        <v>2132</v>
      </c>
      <c r="C967" t="s">
        <v>2222</v>
      </c>
      <c r="D967" s="9">
        <v>45326</v>
      </c>
      <c r="E967" t="s">
        <v>2330</v>
      </c>
      <c r="F967" s="20">
        <v>100</v>
      </c>
      <c r="G967" t="s">
        <v>2331</v>
      </c>
      <c r="H967">
        <v>0</v>
      </c>
      <c r="I967" s="16" t="str">
        <f t="shared" si="15"/>
        <v>Zero Amount</v>
      </c>
      <c r="J967">
        <v>4</v>
      </c>
    </row>
    <row r="968" spans="1:10">
      <c r="A968" t="s">
        <v>3319</v>
      </c>
      <c r="B968" t="s">
        <v>1569</v>
      </c>
      <c r="C968" t="s">
        <v>2218</v>
      </c>
      <c r="D968" s="9">
        <v>45429</v>
      </c>
      <c r="E968" t="s">
        <v>23</v>
      </c>
      <c r="G968" t="s">
        <v>2328</v>
      </c>
      <c r="H968">
        <v>1500</v>
      </c>
      <c r="I968" s="16" t="str">
        <f t="shared" si="15"/>
        <v>Normal</v>
      </c>
      <c r="J968" t="s">
        <v>39</v>
      </c>
    </row>
    <row r="969" spans="1:10">
      <c r="A969" t="s">
        <v>3320</v>
      </c>
      <c r="B969" t="s">
        <v>729</v>
      </c>
      <c r="C969" t="s">
        <v>2213</v>
      </c>
      <c r="D969" s="9">
        <v>45438</v>
      </c>
      <c r="E969" t="s">
        <v>2330</v>
      </c>
      <c r="G969" t="s">
        <v>2331</v>
      </c>
      <c r="H969">
        <v>1500</v>
      </c>
      <c r="I969" s="16" t="str">
        <f t="shared" si="15"/>
        <v>Normal</v>
      </c>
      <c r="J969" t="s">
        <v>39</v>
      </c>
    </row>
    <row r="970" spans="1:10">
      <c r="A970" t="s">
        <v>3321</v>
      </c>
      <c r="B970" t="s">
        <v>949</v>
      </c>
      <c r="C970" t="s">
        <v>2205</v>
      </c>
      <c r="D970" s="9">
        <v>45716</v>
      </c>
      <c r="E970" t="s">
        <v>2330</v>
      </c>
      <c r="F970" s="20">
        <v>100</v>
      </c>
      <c r="G970" t="s">
        <v>2345</v>
      </c>
      <c r="H970">
        <v>1500</v>
      </c>
      <c r="I970" s="16" t="str">
        <f t="shared" si="15"/>
        <v>Normal</v>
      </c>
      <c r="J970">
        <v>1</v>
      </c>
    </row>
    <row r="971" spans="1:10">
      <c r="A971" t="s">
        <v>3322</v>
      </c>
      <c r="B971" t="s">
        <v>302</v>
      </c>
      <c r="C971" t="s">
        <v>2253</v>
      </c>
      <c r="D971" s="9">
        <v>45754</v>
      </c>
      <c r="E971" t="s">
        <v>2327</v>
      </c>
      <c r="F971" s="20">
        <v>5</v>
      </c>
      <c r="G971" t="s">
        <v>2345</v>
      </c>
      <c r="H971">
        <v>964.25</v>
      </c>
      <c r="I971" s="16" t="str">
        <f t="shared" si="15"/>
        <v>Normal</v>
      </c>
      <c r="J971">
        <v>2</v>
      </c>
    </row>
    <row r="972" spans="1:10">
      <c r="A972" t="s">
        <v>3323</v>
      </c>
      <c r="B972" t="s">
        <v>809</v>
      </c>
      <c r="C972" t="s">
        <v>2257</v>
      </c>
      <c r="D972" s="9">
        <v>45451</v>
      </c>
      <c r="E972" t="s">
        <v>2330</v>
      </c>
      <c r="F972" s="20">
        <v>100</v>
      </c>
      <c r="G972" t="s">
        <v>2325</v>
      </c>
      <c r="I972" s="16" t="str">
        <f t="shared" si="15"/>
        <v>Unknown</v>
      </c>
      <c r="J972">
        <v>4</v>
      </c>
    </row>
    <row r="973" spans="1:10">
      <c r="A973" t="s">
        <v>3324</v>
      </c>
      <c r="B973" t="s">
        <v>1666</v>
      </c>
      <c r="C973" t="s">
        <v>2205</v>
      </c>
      <c r="D973" s="9">
        <v>45731</v>
      </c>
      <c r="E973" t="s">
        <v>2324</v>
      </c>
      <c r="G973" t="s">
        <v>2328</v>
      </c>
      <c r="H973">
        <v>1500</v>
      </c>
      <c r="I973" s="16" t="str">
        <f t="shared" si="15"/>
        <v>Normal</v>
      </c>
      <c r="J973">
        <v>3</v>
      </c>
    </row>
    <row r="974" spans="1:10">
      <c r="A974" t="s">
        <v>3325</v>
      </c>
      <c r="B974" t="s">
        <v>1418</v>
      </c>
      <c r="C974" t="s">
        <v>2253</v>
      </c>
      <c r="D974" s="9">
        <v>45846</v>
      </c>
      <c r="E974" t="s">
        <v>2330</v>
      </c>
      <c r="G974" t="s">
        <v>2339</v>
      </c>
      <c r="H974">
        <v>1200</v>
      </c>
      <c r="I974" s="16" t="str">
        <f t="shared" si="15"/>
        <v>Normal</v>
      </c>
      <c r="J974">
        <v>5</v>
      </c>
    </row>
    <row r="975" spans="1:10">
      <c r="A975" t="s">
        <v>3326</v>
      </c>
      <c r="B975" t="s">
        <v>795</v>
      </c>
      <c r="C975" t="s">
        <v>2231</v>
      </c>
      <c r="D975" s="9">
        <v>45316</v>
      </c>
      <c r="E975" t="s">
        <v>2330</v>
      </c>
      <c r="F975" s="20">
        <v>100</v>
      </c>
      <c r="G975" t="s">
        <v>2345</v>
      </c>
      <c r="H975">
        <v>3000</v>
      </c>
      <c r="I975" s="16" t="str">
        <f t="shared" si="15"/>
        <v>Normal</v>
      </c>
      <c r="J975">
        <v>1</v>
      </c>
    </row>
    <row r="976" spans="1:10">
      <c r="A976" t="s">
        <v>3327</v>
      </c>
      <c r="B976" t="s">
        <v>1627</v>
      </c>
      <c r="C976" t="s">
        <v>2193</v>
      </c>
      <c r="D976" s="9">
        <v>45246</v>
      </c>
      <c r="E976" t="s">
        <v>2330</v>
      </c>
      <c r="F976" s="20">
        <v>100</v>
      </c>
      <c r="G976" t="s">
        <v>2345</v>
      </c>
      <c r="H976">
        <v>0</v>
      </c>
      <c r="I976" s="16" t="str">
        <f t="shared" si="15"/>
        <v>Zero Amount</v>
      </c>
      <c r="J976">
        <v>4</v>
      </c>
    </row>
    <row r="977" spans="1:10">
      <c r="A977" t="s">
        <v>3328</v>
      </c>
      <c r="B977" t="s">
        <v>261</v>
      </c>
      <c r="C977" t="s">
        <v>2259</v>
      </c>
      <c r="D977" s="9">
        <v>45705</v>
      </c>
      <c r="E977" t="s">
        <v>2330</v>
      </c>
      <c r="G977" t="s">
        <v>2345</v>
      </c>
      <c r="H977">
        <v>0</v>
      </c>
      <c r="I977" s="16" t="str">
        <f t="shared" si="15"/>
        <v>Zero Amount</v>
      </c>
      <c r="J977">
        <v>1</v>
      </c>
    </row>
    <row r="978" spans="1:10">
      <c r="A978" t="s">
        <v>3329</v>
      </c>
      <c r="B978" t="s">
        <v>554</v>
      </c>
      <c r="C978" t="s">
        <v>2222</v>
      </c>
      <c r="D978" s="9">
        <v>45427</v>
      </c>
      <c r="E978" t="s">
        <v>2327</v>
      </c>
      <c r="F978" s="20">
        <v>20</v>
      </c>
      <c r="G978" t="s">
        <v>2331</v>
      </c>
      <c r="H978">
        <v>0</v>
      </c>
      <c r="I978" s="16" t="str">
        <f t="shared" si="15"/>
        <v>Zero Amount</v>
      </c>
      <c r="J978" t="s">
        <v>39</v>
      </c>
    </row>
    <row r="979" spans="1:10">
      <c r="A979" t="s">
        <v>3330</v>
      </c>
      <c r="B979" t="s">
        <v>1683</v>
      </c>
      <c r="C979" t="s">
        <v>2235</v>
      </c>
      <c r="D979" s="9">
        <v>45191</v>
      </c>
      <c r="E979" t="s">
        <v>2330</v>
      </c>
      <c r="G979" t="s">
        <v>2345</v>
      </c>
      <c r="H979">
        <v>3000</v>
      </c>
      <c r="I979" s="16" t="str">
        <f t="shared" si="15"/>
        <v>Normal</v>
      </c>
      <c r="J979">
        <v>1</v>
      </c>
    </row>
    <row r="980" spans="1:10">
      <c r="A980" t="s">
        <v>3331</v>
      </c>
      <c r="B980" t="s">
        <v>1770</v>
      </c>
      <c r="C980" t="s">
        <v>2231</v>
      </c>
      <c r="D980" s="9">
        <v>45719</v>
      </c>
      <c r="E980" t="s">
        <v>2327</v>
      </c>
      <c r="F980" s="20">
        <v>20</v>
      </c>
      <c r="G980" t="s">
        <v>2339</v>
      </c>
      <c r="I980" s="16" t="str">
        <f t="shared" si="15"/>
        <v>Unknown</v>
      </c>
      <c r="J980">
        <v>1</v>
      </c>
    </row>
    <row r="981" spans="1:10">
      <c r="A981" t="s">
        <v>3332</v>
      </c>
      <c r="B981" t="s">
        <v>99</v>
      </c>
      <c r="C981" t="s">
        <v>2261</v>
      </c>
      <c r="D981" s="9">
        <v>45786</v>
      </c>
      <c r="E981" t="s">
        <v>23</v>
      </c>
      <c r="G981" t="s">
        <v>2339</v>
      </c>
      <c r="I981" s="16" t="str">
        <f t="shared" si="15"/>
        <v>Unknown</v>
      </c>
      <c r="J981">
        <v>4</v>
      </c>
    </row>
    <row r="982" spans="1:10">
      <c r="A982" t="s">
        <v>3333</v>
      </c>
      <c r="B982" t="s">
        <v>442</v>
      </c>
      <c r="C982" t="s">
        <v>2218</v>
      </c>
      <c r="D982" s="9">
        <v>45696</v>
      </c>
      <c r="E982" t="s">
        <v>2324</v>
      </c>
      <c r="F982" s="20">
        <v>60</v>
      </c>
      <c r="G982" t="s">
        <v>2345</v>
      </c>
      <c r="H982">
        <v>1500</v>
      </c>
      <c r="I982" s="16" t="str">
        <f t="shared" si="15"/>
        <v>Normal</v>
      </c>
      <c r="J982">
        <v>2</v>
      </c>
    </row>
    <row r="983" spans="1:10">
      <c r="A983" t="s">
        <v>3334</v>
      </c>
      <c r="B983" t="s">
        <v>1911</v>
      </c>
      <c r="C983" t="s">
        <v>2264</v>
      </c>
      <c r="D983" s="9">
        <v>45451</v>
      </c>
      <c r="E983" t="s">
        <v>2337</v>
      </c>
      <c r="F983" s="20">
        <v>0</v>
      </c>
      <c r="G983" t="s">
        <v>2331</v>
      </c>
      <c r="H983">
        <v>2500</v>
      </c>
      <c r="I983" s="16" t="str">
        <f t="shared" si="15"/>
        <v>Normal</v>
      </c>
      <c r="J983" t="s">
        <v>39</v>
      </c>
    </row>
    <row r="984" spans="1:10">
      <c r="A984" t="s">
        <v>3335</v>
      </c>
      <c r="B984" t="s">
        <v>926</v>
      </c>
      <c r="C984" t="s">
        <v>2271</v>
      </c>
      <c r="D984" s="9">
        <v>46144</v>
      </c>
      <c r="E984" t="s">
        <v>2330</v>
      </c>
      <c r="G984" t="s">
        <v>2339</v>
      </c>
      <c r="H984">
        <v>1200</v>
      </c>
      <c r="I984" s="16" t="str">
        <f t="shared" si="15"/>
        <v>Normal</v>
      </c>
      <c r="J984">
        <v>1</v>
      </c>
    </row>
    <row r="985" spans="1:10">
      <c r="A985" t="s">
        <v>3336</v>
      </c>
      <c r="B985" t="s">
        <v>1842</v>
      </c>
      <c r="C985" t="s">
        <v>2241</v>
      </c>
      <c r="D985" s="9">
        <v>45576</v>
      </c>
      <c r="E985" t="s">
        <v>2327</v>
      </c>
      <c r="F985" s="20">
        <v>0</v>
      </c>
      <c r="G985" t="s">
        <v>2328</v>
      </c>
      <c r="H985">
        <v>2500</v>
      </c>
      <c r="I985" s="16" t="str">
        <f t="shared" si="15"/>
        <v>Normal</v>
      </c>
      <c r="J985">
        <v>3</v>
      </c>
    </row>
    <row r="986" spans="1:10">
      <c r="A986" t="s">
        <v>3337</v>
      </c>
      <c r="B986" t="s">
        <v>2097</v>
      </c>
      <c r="C986" t="s">
        <v>2225</v>
      </c>
      <c r="D986" s="9">
        <v>45249</v>
      </c>
      <c r="E986" t="s">
        <v>23</v>
      </c>
      <c r="G986" t="s">
        <v>2345</v>
      </c>
      <c r="I986" s="16" t="str">
        <f t="shared" si="15"/>
        <v>Unknown</v>
      </c>
      <c r="J986">
        <v>1</v>
      </c>
    </row>
    <row r="987" spans="1:10">
      <c r="A987" t="s">
        <v>3338</v>
      </c>
      <c r="B987" t="s">
        <v>1586</v>
      </c>
      <c r="C987" t="s">
        <v>2218</v>
      </c>
      <c r="D987" s="9">
        <v>45582</v>
      </c>
      <c r="E987" t="s">
        <v>2330</v>
      </c>
      <c r="G987" t="s">
        <v>2328</v>
      </c>
      <c r="H987">
        <v>1166.43</v>
      </c>
      <c r="I987" s="16" t="str">
        <f t="shared" si="15"/>
        <v>Normal</v>
      </c>
      <c r="J987">
        <v>4</v>
      </c>
    </row>
    <row r="988" spans="1:10">
      <c r="A988" t="s">
        <v>3339</v>
      </c>
      <c r="B988" t="s">
        <v>2087</v>
      </c>
      <c r="C988" t="s">
        <v>2247</v>
      </c>
      <c r="D988" s="9">
        <v>45441</v>
      </c>
      <c r="E988" t="s">
        <v>2324</v>
      </c>
      <c r="F988" s="20">
        <v>55</v>
      </c>
      <c r="G988" t="s">
        <v>2325</v>
      </c>
      <c r="I988" s="16" t="str">
        <f t="shared" si="15"/>
        <v>Unknown</v>
      </c>
      <c r="J988">
        <v>5</v>
      </c>
    </row>
    <row r="989" spans="1:10">
      <c r="A989" t="s">
        <v>3340</v>
      </c>
      <c r="B989" t="s">
        <v>1229</v>
      </c>
      <c r="C989" t="s">
        <v>2193</v>
      </c>
      <c r="D989" s="9">
        <v>46299</v>
      </c>
      <c r="E989" t="s">
        <v>2324</v>
      </c>
      <c r="F989" s="20">
        <v>55</v>
      </c>
      <c r="G989" t="s">
        <v>23</v>
      </c>
      <c r="H989">
        <v>0</v>
      </c>
      <c r="I989" s="16" t="str">
        <f t="shared" si="15"/>
        <v>Zero Amount</v>
      </c>
      <c r="J989">
        <v>1</v>
      </c>
    </row>
    <row r="990" spans="1:10">
      <c r="A990" t="s">
        <v>3341</v>
      </c>
      <c r="B990" t="s">
        <v>874</v>
      </c>
      <c r="C990" t="s">
        <v>2233</v>
      </c>
      <c r="D990" s="9">
        <v>45879</v>
      </c>
      <c r="E990" t="s">
        <v>2330</v>
      </c>
      <c r="F990" s="20">
        <v>100</v>
      </c>
      <c r="G990" t="s">
        <v>2339</v>
      </c>
      <c r="H990">
        <v>2500</v>
      </c>
      <c r="I990" s="16" t="str">
        <f t="shared" si="15"/>
        <v>Normal</v>
      </c>
      <c r="J990" t="s">
        <v>39</v>
      </c>
    </row>
    <row r="991" spans="1:10">
      <c r="A991" t="s">
        <v>3342</v>
      </c>
      <c r="B991" t="s">
        <v>886</v>
      </c>
      <c r="C991" t="s">
        <v>2233</v>
      </c>
      <c r="D991" s="9">
        <v>45611</v>
      </c>
      <c r="E991" t="s">
        <v>2330</v>
      </c>
      <c r="F991" s="20">
        <v>100</v>
      </c>
      <c r="G991" t="s">
        <v>2331</v>
      </c>
      <c r="H991">
        <v>2500</v>
      </c>
      <c r="I991" s="16" t="str">
        <f t="shared" si="15"/>
        <v>Normal</v>
      </c>
      <c r="J991">
        <v>5</v>
      </c>
    </row>
    <row r="992" spans="1:10">
      <c r="A992" t="s">
        <v>3343</v>
      </c>
      <c r="B992" t="s">
        <v>414</v>
      </c>
      <c r="C992" t="s">
        <v>2253</v>
      </c>
      <c r="D992" s="9">
        <v>45566</v>
      </c>
      <c r="E992" t="s">
        <v>23</v>
      </c>
      <c r="G992" t="s">
        <v>2325</v>
      </c>
      <c r="H992">
        <v>724.21</v>
      </c>
      <c r="I992" s="16" t="str">
        <f t="shared" si="15"/>
        <v>Normal</v>
      </c>
      <c r="J992" t="s">
        <v>39</v>
      </c>
    </row>
    <row r="993" spans="1:10">
      <c r="A993" t="s">
        <v>3344</v>
      </c>
      <c r="B993" t="s">
        <v>3345</v>
      </c>
      <c r="C993" t="s">
        <v>2228</v>
      </c>
      <c r="D993" s="9">
        <v>45558</v>
      </c>
      <c r="E993" t="s">
        <v>2330</v>
      </c>
      <c r="F993" s="20">
        <v>100</v>
      </c>
      <c r="G993" t="s">
        <v>2328</v>
      </c>
      <c r="H993">
        <v>799</v>
      </c>
      <c r="I993" s="16" t="str">
        <f t="shared" si="15"/>
        <v>Normal</v>
      </c>
      <c r="J993">
        <v>2</v>
      </c>
    </row>
    <row r="994" spans="1:10">
      <c r="A994" t="s">
        <v>3346</v>
      </c>
      <c r="B994" t="s">
        <v>481</v>
      </c>
      <c r="C994" t="s">
        <v>2218</v>
      </c>
      <c r="D994" s="9">
        <v>45547</v>
      </c>
      <c r="E994" t="s">
        <v>23</v>
      </c>
      <c r="G994" t="s">
        <v>2325</v>
      </c>
      <c r="I994" s="16" t="str">
        <f t="shared" si="15"/>
        <v>Unknown</v>
      </c>
      <c r="J994">
        <v>1</v>
      </c>
    </row>
    <row r="995" spans="1:10">
      <c r="A995" t="s">
        <v>3347</v>
      </c>
      <c r="B995" t="s">
        <v>473</v>
      </c>
      <c r="C995" t="s">
        <v>2198</v>
      </c>
      <c r="D995" s="9">
        <v>45128</v>
      </c>
      <c r="E995" t="s">
        <v>2330</v>
      </c>
      <c r="F995" s="20">
        <v>100</v>
      </c>
      <c r="G995" t="s">
        <v>2345</v>
      </c>
      <c r="I995" s="16" t="str">
        <f t="shared" si="15"/>
        <v>Unknown</v>
      </c>
      <c r="J995" t="s">
        <v>39</v>
      </c>
    </row>
    <row r="996" spans="1:10">
      <c r="A996" t="s">
        <v>3348</v>
      </c>
      <c r="B996" t="s">
        <v>2006</v>
      </c>
      <c r="C996" t="s">
        <v>2209</v>
      </c>
      <c r="D996" s="9">
        <v>45710</v>
      </c>
      <c r="E996" t="s">
        <v>2330</v>
      </c>
      <c r="F996" s="20">
        <v>100</v>
      </c>
      <c r="G996" t="s">
        <v>2325</v>
      </c>
      <c r="H996">
        <v>499</v>
      </c>
      <c r="I996" s="16" t="str">
        <f t="shared" si="15"/>
        <v>Normal</v>
      </c>
      <c r="J996">
        <v>5</v>
      </c>
    </row>
    <row r="997" spans="1:10">
      <c r="A997" t="s">
        <v>3349</v>
      </c>
      <c r="B997" t="s">
        <v>1536</v>
      </c>
      <c r="C997" t="s">
        <v>2271</v>
      </c>
      <c r="D997" s="9">
        <v>46147</v>
      </c>
      <c r="E997" t="s">
        <v>2324</v>
      </c>
      <c r="F997" s="20">
        <v>10</v>
      </c>
      <c r="G997" t="s">
        <v>2345</v>
      </c>
      <c r="H997">
        <v>1200</v>
      </c>
      <c r="I997" s="16" t="str">
        <f t="shared" si="15"/>
        <v>Normal</v>
      </c>
      <c r="J997">
        <v>5</v>
      </c>
    </row>
    <row r="998" spans="1:10">
      <c r="A998" t="s">
        <v>3350</v>
      </c>
      <c r="B998" t="s">
        <v>12</v>
      </c>
      <c r="C998" t="s">
        <v>2233</v>
      </c>
      <c r="D998" s="9">
        <v>45559</v>
      </c>
      <c r="E998" t="s">
        <v>2324</v>
      </c>
      <c r="F998" s="20">
        <v>40</v>
      </c>
      <c r="G998" t="s">
        <v>2339</v>
      </c>
      <c r="I998" s="16" t="str">
        <f t="shared" si="15"/>
        <v>Unknown</v>
      </c>
      <c r="J998">
        <v>5</v>
      </c>
    </row>
    <row r="999" spans="1:10">
      <c r="A999" t="s">
        <v>3351</v>
      </c>
      <c r="B999" t="s">
        <v>141</v>
      </c>
      <c r="C999" t="s">
        <v>2259</v>
      </c>
      <c r="D999" s="9">
        <v>45926</v>
      </c>
      <c r="E999" t="s">
        <v>2330</v>
      </c>
      <c r="F999" s="20">
        <v>100</v>
      </c>
      <c r="G999" t="s">
        <v>2339</v>
      </c>
      <c r="H999">
        <v>0</v>
      </c>
      <c r="I999" s="16" t="str">
        <f t="shared" si="15"/>
        <v>Zero Amount</v>
      </c>
      <c r="J999">
        <v>2</v>
      </c>
    </row>
    <row r="1000" spans="1:10">
      <c r="A1000" t="s">
        <v>3352</v>
      </c>
      <c r="B1000" t="s">
        <v>896</v>
      </c>
      <c r="C1000" t="s">
        <v>2259</v>
      </c>
      <c r="D1000" s="9">
        <v>45772</v>
      </c>
      <c r="E1000" t="s">
        <v>2327</v>
      </c>
      <c r="F1000" s="20">
        <v>5</v>
      </c>
      <c r="G1000" t="s">
        <v>2345</v>
      </c>
      <c r="I1000" s="16" t="str">
        <f t="shared" si="15"/>
        <v>Unknown</v>
      </c>
      <c r="J1000">
        <v>1</v>
      </c>
    </row>
    <row r="1001" spans="1:10">
      <c r="A1001" t="s">
        <v>3353</v>
      </c>
      <c r="B1001" t="s">
        <v>1711</v>
      </c>
      <c r="C1001" t="s">
        <v>2193</v>
      </c>
      <c r="D1001" s="9">
        <v>45429</v>
      </c>
      <c r="E1001" t="s">
        <v>23</v>
      </c>
      <c r="G1001" t="s">
        <v>2345</v>
      </c>
      <c r="H1001">
        <v>0</v>
      </c>
      <c r="I1001" s="16" t="str">
        <f t="shared" si="15"/>
        <v>Zero Amount</v>
      </c>
      <c r="J1001">
        <v>1</v>
      </c>
    </row>
    <row r="1002" spans="1:10">
      <c r="A1002" t="s">
        <v>3354</v>
      </c>
      <c r="B1002" t="s">
        <v>469</v>
      </c>
      <c r="C1002" t="s">
        <v>2259</v>
      </c>
      <c r="D1002" s="9">
        <v>45363</v>
      </c>
      <c r="E1002" t="s">
        <v>2330</v>
      </c>
      <c r="F1002" s="20">
        <v>100</v>
      </c>
      <c r="G1002" t="s">
        <v>2345</v>
      </c>
      <c r="H1002">
        <v>0</v>
      </c>
      <c r="I1002" s="16" t="str">
        <f t="shared" si="15"/>
        <v>Zero Amount</v>
      </c>
      <c r="J1002">
        <v>3</v>
      </c>
    </row>
    <row r="1003" spans="1:10">
      <c r="A1003" t="s">
        <v>3355</v>
      </c>
      <c r="B1003" t="s">
        <v>1610</v>
      </c>
      <c r="C1003" t="s">
        <v>2205</v>
      </c>
      <c r="D1003" s="9">
        <v>45659</v>
      </c>
      <c r="E1003" t="s">
        <v>2324</v>
      </c>
      <c r="G1003" t="s">
        <v>2345</v>
      </c>
      <c r="H1003">
        <v>1500</v>
      </c>
      <c r="I1003" s="16" t="str">
        <f t="shared" si="15"/>
        <v>Normal</v>
      </c>
      <c r="J1003" t="s">
        <v>39</v>
      </c>
    </row>
    <row r="1004" spans="1:10">
      <c r="A1004" t="s">
        <v>3356</v>
      </c>
      <c r="B1004" t="s">
        <v>671</v>
      </c>
      <c r="C1004" t="s">
        <v>2228</v>
      </c>
      <c r="D1004" s="9">
        <v>45237</v>
      </c>
      <c r="E1004" t="s">
        <v>2327</v>
      </c>
      <c r="F1004" s="20">
        <v>20</v>
      </c>
      <c r="G1004" t="s">
        <v>2339</v>
      </c>
      <c r="H1004">
        <v>799</v>
      </c>
      <c r="I1004" s="16" t="str">
        <f t="shared" si="15"/>
        <v>Normal</v>
      </c>
      <c r="J1004" t="s">
        <v>39</v>
      </c>
    </row>
    <row r="1005" spans="1:10">
      <c r="A1005" t="s">
        <v>3357</v>
      </c>
      <c r="B1005" t="s">
        <v>813</v>
      </c>
      <c r="C1005" t="s">
        <v>2198</v>
      </c>
      <c r="D1005" s="9">
        <v>45693</v>
      </c>
      <c r="E1005" t="s">
        <v>2337</v>
      </c>
      <c r="F1005" s="20">
        <v>0</v>
      </c>
      <c r="G1005" t="s">
        <v>2339</v>
      </c>
      <c r="I1005" s="16" t="str">
        <f t="shared" si="15"/>
        <v>Unknown</v>
      </c>
      <c r="J1005">
        <v>4</v>
      </c>
    </row>
    <row r="1006" spans="1:10">
      <c r="A1006" t="s">
        <v>3358</v>
      </c>
      <c r="B1006" t="s">
        <v>1015</v>
      </c>
      <c r="C1006" t="s">
        <v>2257</v>
      </c>
      <c r="D1006" s="9">
        <v>45717</v>
      </c>
      <c r="E1006" t="s">
        <v>2324</v>
      </c>
      <c r="F1006" s="20">
        <v>55</v>
      </c>
      <c r="G1006" t="s">
        <v>2325</v>
      </c>
      <c r="I1006" s="16" t="str">
        <f t="shared" si="15"/>
        <v>Unknown</v>
      </c>
      <c r="J1006" t="s">
        <v>39</v>
      </c>
    </row>
    <row r="1007" spans="1:10">
      <c r="A1007" t="s">
        <v>3359</v>
      </c>
      <c r="B1007" t="s">
        <v>1674</v>
      </c>
      <c r="C1007" t="s">
        <v>2233</v>
      </c>
      <c r="D1007" s="9">
        <v>45419</v>
      </c>
      <c r="E1007" t="s">
        <v>23</v>
      </c>
      <c r="G1007" t="s">
        <v>2325</v>
      </c>
      <c r="H1007">
        <v>2500</v>
      </c>
      <c r="I1007" s="16" t="str">
        <f t="shared" si="15"/>
        <v>Normal</v>
      </c>
      <c r="J1007">
        <v>2</v>
      </c>
    </row>
    <row r="1008" spans="1:10">
      <c r="A1008" t="s">
        <v>3360</v>
      </c>
      <c r="B1008" t="s">
        <v>112</v>
      </c>
      <c r="C1008" t="s">
        <v>2213</v>
      </c>
      <c r="D1008" s="9">
        <v>45925</v>
      </c>
      <c r="E1008" t="s">
        <v>2330</v>
      </c>
      <c r="G1008" t="s">
        <v>23</v>
      </c>
      <c r="H1008">
        <v>1500</v>
      </c>
      <c r="I1008" s="16" t="str">
        <f t="shared" si="15"/>
        <v>Normal</v>
      </c>
      <c r="J1008">
        <v>4</v>
      </c>
    </row>
    <row r="1009" spans="1:10">
      <c r="A1009" t="s">
        <v>3361</v>
      </c>
      <c r="B1009" t="s">
        <v>374</v>
      </c>
      <c r="C1009" t="s">
        <v>2269</v>
      </c>
      <c r="D1009" s="9">
        <v>45528</v>
      </c>
      <c r="E1009" t="s">
        <v>2324</v>
      </c>
      <c r="G1009" t="s">
        <v>2325</v>
      </c>
      <c r="H1009">
        <v>499</v>
      </c>
      <c r="I1009" s="16" t="str">
        <f t="shared" si="15"/>
        <v>Normal</v>
      </c>
      <c r="J1009" t="s">
        <v>39</v>
      </c>
    </row>
    <row r="1010" spans="1:10">
      <c r="A1010" t="s">
        <v>3362</v>
      </c>
      <c r="B1010" t="s">
        <v>1978</v>
      </c>
      <c r="C1010" t="s">
        <v>2269</v>
      </c>
      <c r="D1010" s="9">
        <v>45539</v>
      </c>
      <c r="E1010" t="s">
        <v>23</v>
      </c>
      <c r="G1010" t="s">
        <v>2339</v>
      </c>
      <c r="H1010">
        <v>499</v>
      </c>
      <c r="I1010" s="16" t="str">
        <f t="shared" si="15"/>
        <v>Normal</v>
      </c>
      <c r="J1010">
        <v>4</v>
      </c>
    </row>
    <row r="1011" spans="1:10">
      <c r="A1011" t="s">
        <v>3363</v>
      </c>
      <c r="B1011" t="s">
        <v>239</v>
      </c>
      <c r="C1011" t="s">
        <v>2241</v>
      </c>
      <c r="D1011" s="9">
        <v>45104</v>
      </c>
      <c r="E1011" t="s">
        <v>2330</v>
      </c>
      <c r="F1011" s="20">
        <v>100</v>
      </c>
      <c r="G1011" t="s">
        <v>2345</v>
      </c>
      <c r="H1011">
        <v>2500</v>
      </c>
      <c r="I1011" s="16" t="str">
        <f t="shared" si="15"/>
        <v>Normal</v>
      </c>
      <c r="J1011" t="s">
        <v>39</v>
      </c>
    </row>
    <row r="1012" spans="1:10">
      <c r="A1012" t="s">
        <v>3364</v>
      </c>
      <c r="B1012" t="s">
        <v>1884</v>
      </c>
      <c r="C1012" t="s">
        <v>2269</v>
      </c>
      <c r="D1012" s="9">
        <v>45982</v>
      </c>
      <c r="E1012" t="s">
        <v>2324</v>
      </c>
      <c r="F1012" s="20">
        <v>25</v>
      </c>
      <c r="G1012" t="s">
        <v>2331</v>
      </c>
      <c r="H1012">
        <v>499</v>
      </c>
      <c r="I1012" s="16" t="str">
        <f t="shared" si="15"/>
        <v>Normal</v>
      </c>
      <c r="J1012">
        <v>5</v>
      </c>
    </row>
    <row r="1013" spans="1:10">
      <c r="A1013" t="s">
        <v>3365</v>
      </c>
      <c r="B1013" t="s">
        <v>1945</v>
      </c>
      <c r="C1013" t="s">
        <v>2244</v>
      </c>
      <c r="D1013" s="9">
        <v>46056</v>
      </c>
      <c r="E1013" t="s">
        <v>2330</v>
      </c>
      <c r="G1013" t="s">
        <v>2339</v>
      </c>
      <c r="H1013">
        <v>804.48</v>
      </c>
      <c r="I1013" s="16" t="str">
        <f t="shared" si="15"/>
        <v>Normal</v>
      </c>
      <c r="J1013">
        <v>2</v>
      </c>
    </row>
    <row r="1014" spans="1:10">
      <c r="A1014" t="s">
        <v>3366</v>
      </c>
      <c r="B1014" t="s">
        <v>695</v>
      </c>
      <c r="C1014" t="s">
        <v>2193</v>
      </c>
      <c r="D1014" s="9">
        <v>45454</v>
      </c>
      <c r="E1014" t="s">
        <v>23</v>
      </c>
      <c r="G1014" t="s">
        <v>2325</v>
      </c>
      <c r="H1014">
        <v>0</v>
      </c>
      <c r="I1014" s="16" t="str">
        <f t="shared" si="15"/>
        <v>Zero Amount</v>
      </c>
      <c r="J1014">
        <v>1</v>
      </c>
    </row>
    <row r="1015" spans="1:10">
      <c r="A1015" t="s">
        <v>3367</v>
      </c>
      <c r="B1015" t="s">
        <v>366</v>
      </c>
      <c r="C1015" t="s">
        <v>2241</v>
      </c>
      <c r="D1015" s="9">
        <v>45157</v>
      </c>
      <c r="E1015" t="s">
        <v>23</v>
      </c>
      <c r="G1015" t="s">
        <v>2331</v>
      </c>
      <c r="H1015">
        <v>2500</v>
      </c>
      <c r="I1015" s="16" t="str">
        <f t="shared" si="15"/>
        <v>Normal</v>
      </c>
      <c r="J1015" t="s">
        <v>39</v>
      </c>
    </row>
    <row r="1016" spans="1:10">
      <c r="A1016" t="s">
        <v>3368</v>
      </c>
      <c r="B1016" t="s">
        <v>1218</v>
      </c>
      <c r="C1016" t="s">
        <v>2235</v>
      </c>
      <c r="D1016" s="9">
        <v>45157</v>
      </c>
      <c r="E1016" t="s">
        <v>2330</v>
      </c>
      <c r="G1016" t="s">
        <v>2345</v>
      </c>
      <c r="H1016">
        <v>3000</v>
      </c>
      <c r="I1016" s="16" t="str">
        <f t="shared" si="15"/>
        <v>Normal</v>
      </c>
      <c r="J1016">
        <v>3</v>
      </c>
    </row>
    <row r="1017" spans="1:10">
      <c r="A1017" t="s">
        <v>3369</v>
      </c>
      <c r="B1017" t="s">
        <v>141</v>
      </c>
      <c r="C1017" t="s">
        <v>2261</v>
      </c>
      <c r="D1017" s="9">
        <v>46007</v>
      </c>
      <c r="E1017" t="s">
        <v>2330</v>
      </c>
      <c r="F1017" s="20">
        <v>100</v>
      </c>
      <c r="G1017" t="s">
        <v>2339</v>
      </c>
      <c r="I1017" s="16" t="str">
        <f t="shared" si="15"/>
        <v>Unknown</v>
      </c>
      <c r="J1017" t="s">
        <v>39</v>
      </c>
    </row>
    <row r="1018" spans="1:10">
      <c r="A1018" t="s">
        <v>3370</v>
      </c>
      <c r="B1018" t="s">
        <v>2159</v>
      </c>
      <c r="C1018" t="s">
        <v>2198</v>
      </c>
      <c r="D1018" s="9">
        <v>45810</v>
      </c>
      <c r="E1018" t="s">
        <v>2330</v>
      </c>
      <c r="F1018" s="20">
        <v>100</v>
      </c>
      <c r="G1018" t="s">
        <v>2331</v>
      </c>
      <c r="I1018" s="16" t="str">
        <f t="shared" si="15"/>
        <v>Unknown</v>
      </c>
      <c r="J1018">
        <v>5</v>
      </c>
    </row>
    <row r="1019" spans="1:10">
      <c r="A1019" t="s">
        <v>3371</v>
      </c>
      <c r="B1019" t="s">
        <v>1635</v>
      </c>
      <c r="C1019" t="s">
        <v>2264</v>
      </c>
      <c r="D1019" s="9">
        <v>45463</v>
      </c>
      <c r="E1019" t="s">
        <v>2324</v>
      </c>
      <c r="F1019" s="20">
        <v>10</v>
      </c>
      <c r="G1019" t="s">
        <v>2339</v>
      </c>
      <c r="H1019">
        <v>2066.88</v>
      </c>
      <c r="I1019" s="16" t="str">
        <f t="shared" si="15"/>
        <v>Normal</v>
      </c>
      <c r="J1019">
        <v>4</v>
      </c>
    </row>
    <row r="1020" spans="1:10">
      <c r="A1020" t="s">
        <v>3372</v>
      </c>
      <c r="B1020" t="s">
        <v>1330</v>
      </c>
      <c r="C1020" t="s">
        <v>2225</v>
      </c>
      <c r="D1020" s="9">
        <v>45056</v>
      </c>
      <c r="E1020" t="s">
        <v>2324</v>
      </c>
      <c r="G1020" t="s">
        <v>2345</v>
      </c>
      <c r="I1020" s="16" t="str">
        <f t="shared" si="15"/>
        <v>Unknown</v>
      </c>
      <c r="J1020">
        <v>5</v>
      </c>
    </row>
    <row r="1021" spans="1:10">
      <c r="A1021" t="s">
        <v>3373</v>
      </c>
      <c r="B1021" t="s">
        <v>997</v>
      </c>
      <c r="C1021" t="s">
        <v>2209</v>
      </c>
      <c r="D1021" s="9">
        <v>45416</v>
      </c>
      <c r="E1021" t="s">
        <v>2327</v>
      </c>
      <c r="G1021" t="s">
        <v>2345</v>
      </c>
      <c r="H1021">
        <v>499</v>
      </c>
      <c r="I1021" s="16" t="str">
        <f t="shared" si="15"/>
        <v>Normal</v>
      </c>
      <c r="J1021">
        <v>4</v>
      </c>
    </row>
    <row r="1022" spans="1:10">
      <c r="A1022" t="s">
        <v>3374</v>
      </c>
      <c r="B1022" t="s">
        <v>1820</v>
      </c>
      <c r="C1022" t="s">
        <v>2241</v>
      </c>
      <c r="D1022" s="9">
        <v>45625</v>
      </c>
      <c r="E1022" t="s">
        <v>2327</v>
      </c>
      <c r="F1022" s="20">
        <v>5</v>
      </c>
      <c r="G1022" t="s">
        <v>2345</v>
      </c>
      <c r="H1022">
        <v>2500</v>
      </c>
      <c r="I1022" s="16" t="str">
        <f t="shared" si="15"/>
        <v>Normal</v>
      </c>
      <c r="J1022">
        <v>2</v>
      </c>
    </row>
    <row r="1023" spans="1:10">
      <c r="A1023" t="s">
        <v>3375</v>
      </c>
      <c r="B1023" t="s">
        <v>1191</v>
      </c>
      <c r="C1023" t="s">
        <v>2231</v>
      </c>
      <c r="D1023" s="9">
        <v>45461</v>
      </c>
      <c r="E1023" t="s">
        <v>2330</v>
      </c>
      <c r="F1023" s="20">
        <v>100</v>
      </c>
      <c r="G1023" t="s">
        <v>2345</v>
      </c>
      <c r="H1023">
        <v>3000</v>
      </c>
      <c r="I1023" s="16" t="str">
        <f t="shared" si="15"/>
        <v>Normal</v>
      </c>
      <c r="J1023">
        <v>5</v>
      </c>
    </row>
    <row r="1024" spans="1:10">
      <c r="A1024" t="s">
        <v>3376</v>
      </c>
      <c r="B1024" t="s">
        <v>209</v>
      </c>
      <c r="C1024" t="s">
        <v>2249</v>
      </c>
      <c r="D1024" s="9">
        <v>45164</v>
      </c>
      <c r="E1024" t="s">
        <v>2330</v>
      </c>
      <c r="F1024" s="20">
        <v>100</v>
      </c>
      <c r="G1024" t="s">
        <v>2328</v>
      </c>
      <c r="H1024">
        <v>-1500</v>
      </c>
      <c r="I1024" s="16" t="str">
        <f t="shared" si="15"/>
        <v>Review</v>
      </c>
      <c r="J1024">
        <v>2</v>
      </c>
    </row>
    <row r="1025" spans="1:10">
      <c r="A1025" t="s">
        <v>3377</v>
      </c>
      <c r="B1025" t="s">
        <v>1303</v>
      </c>
      <c r="C1025" t="s">
        <v>2251</v>
      </c>
      <c r="D1025" s="9">
        <v>45909</v>
      </c>
      <c r="E1025" t="s">
        <v>2324</v>
      </c>
      <c r="F1025" s="20">
        <v>40</v>
      </c>
      <c r="G1025" t="s">
        <v>2339</v>
      </c>
      <c r="H1025">
        <v>1500</v>
      </c>
      <c r="I1025" s="16" t="str">
        <f t="shared" si="15"/>
        <v>Normal</v>
      </c>
      <c r="J1025">
        <v>5</v>
      </c>
    </row>
    <row r="1026" spans="1:10">
      <c r="A1026" t="s">
        <v>3378</v>
      </c>
      <c r="B1026" t="s">
        <v>1511</v>
      </c>
      <c r="C1026" t="s">
        <v>2231</v>
      </c>
      <c r="D1026" s="9">
        <v>45837</v>
      </c>
      <c r="E1026" t="s">
        <v>2324</v>
      </c>
      <c r="F1026" s="20">
        <v>25</v>
      </c>
      <c r="G1026" t="s">
        <v>2345</v>
      </c>
      <c r="H1026">
        <v>2279.2800000000002</v>
      </c>
      <c r="I1026" s="16" t="str">
        <f t="shared" si="15"/>
        <v>Normal</v>
      </c>
      <c r="J1026">
        <v>4</v>
      </c>
    </row>
    <row r="1027" spans="1:10">
      <c r="A1027" t="s">
        <v>3379</v>
      </c>
      <c r="B1027" t="s">
        <v>1894</v>
      </c>
      <c r="C1027" t="s">
        <v>2216</v>
      </c>
      <c r="D1027" s="9">
        <v>45878</v>
      </c>
      <c r="E1027" t="s">
        <v>2324</v>
      </c>
      <c r="F1027" s="20">
        <v>75</v>
      </c>
      <c r="G1027" t="s">
        <v>2339</v>
      </c>
      <c r="H1027">
        <v>1200</v>
      </c>
      <c r="I1027" s="16" t="str">
        <f t="shared" ref="I1027:I1090" si="16">IF(H1027="", "Unknown", IF(H1027=0, "Zero Amount", IF(H1027&lt;1, "Review", IF(H1027&gt;1, "Normal"))))</f>
        <v>Normal</v>
      </c>
      <c r="J1027" t="s">
        <v>39</v>
      </c>
    </row>
    <row r="1028" spans="1:10">
      <c r="A1028" t="s">
        <v>3380</v>
      </c>
      <c r="B1028" t="s">
        <v>2126</v>
      </c>
      <c r="C1028" t="s">
        <v>2231</v>
      </c>
      <c r="D1028" s="9">
        <v>45156</v>
      </c>
      <c r="E1028" t="s">
        <v>2330</v>
      </c>
      <c r="F1028" s="20">
        <v>100</v>
      </c>
      <c r="G1028" t="s">
        <v>23</v>
      </c>
      <c r="H1028">
        <v>3000</v>
      </c>
      <c r="I1028" s="16" t="str">
        <f t="shared" si="16"/>
        <v>Normal</v>
      </c>
      <c r="J1028">
        <v>5</v>
      </c>
    </row>
    <row r="1029" spans="1:10">
      <c r="A1029" t="s">
        <v>3381</v>
      </c>
      <c r="B1029" t="s">
        <v>239</v>
      </c>
      <c r="C1029" t="s">
        <v>2233</v>
      </c>
      <c r="D1029" s="9">
        <v>45322</v>
      </c>
      <c r="E1029" t="s">
        <v>2330</v>
      </c>
      <c r="F1029" s="20">
        <v>100</v>
      </c>
      <c r="G1029" t="s">
        <v>23</v>
      </c>
      <c r="H1029">
        <v>2500</v>
      </c>
      <c r="I1029" s="16" t="str">
        <f t="shared" si="16"/>
        <v>Normal</v>
      </c>
      <c r="J1029">
        <v>4</v>
      </c>
    </row>
    <row r="1030" spans="1:10">
      <c r="A1030" t="s">
        <v>3382</v>
      </c>
      <c r="B1030" t="s">
        <v>1336</v>
      </c>
      <c r="C1030" t="s">
        <v>2264</v>
      </c>
      <c r="D1030" s="9">
        <v>45255</v>
      </c>
      <c r="E1030" t="s">
        <v>2327</v>
      </c>
      <c r="F1030" s="20">
        <v>5</v>
      </c>
      <c r="G1030" t="s">
        <v>2345</v>
      </c>
      <c r="I1030" s="16" t="str">
        <f t="shared" si="16"/>
        <v>Unknown</v>
      </c>
      <c r="J1030" t="s">
        <v>39</v>
      </c>
    </row>
    <row r="1031" spans="1:10">
      <c r="A1031" t="s">
        <v>3383</v>
      </c>
      <c r="B1031" t="s">
        <v>489</v>
      </c>
      <c r="C1031" t="s">
        <v>2269</v>
      </c>
      <c r="D1031" s="9">
        <v>45909</v>
      </c>
      <c r="E1031" t="s">
        <v>2330</v>
      </c>
      <c r="G1031" t="s">
        <v>2345</v>
      </c>
      <c r="I1031" s="16" t="str">
        <f t="shared" si="16"/>
        <v>Unknown</v>
      </c>
      <c r="J1031">
        <v>5</v>
      </c>
    </row>
    <row r="1032" spans="1:10">
      <c r="A1032" t="s">
        <v>3384</v>
      </c>
      <c r="B1032" t="s">
        <v>997</v>
      </c>
      <c r="C1032" t="s">
        <v>2251</v>
      </c>
      <c r="D1032" s="9">
        <v>45640</v>
      </c>
      <c r="E1032" t="s">
        <v>2330</v>
      </c>
      <c r="G1032" t="s">
        <v>23</v>
      </c>
      <c r="H1032">
        <v>1500</v>
      </c>
      <c r="I1032" s="16" t="str">
        <f t="shared" si="16"/>
        <v>Normal</v>
      </c>
      <c r="J1032" t="s">
        <v>39</v>
      </c>
    </row>
    <row r="1033" spans="1:10">
      <c r="A1033" t="s">
        <v>3385</v>
      </c>
      <c r="B1033" t="s">
        <v>1849</v>
      </c>
      <c r="C1033" t="s">
        <v>2271</v>
      </c>
      <c r="D1033" s="9">
        <v>45343</v>
      </c>
      <c r="E1033" t="s">
        <v>2330</v>
      </c>
      <c r="F1033" s="20">
        <v>100</v>
      </c>
      <c r="G1033" t="s">
        <v>2325</v>
      </c>
      <c r="H1033">
        <v>1200</v>
      </c>
      <c r="I1033" s="16" t="str">
        <f t="shared" si="16"/>
        <v>Normal</v>
      </c>
      <c r="J1033">
        <v>4</v>
      </c>
    </row>
    <row r="1034" spans="1:10">
      <c r="A1034" t="s">
        <v>3386</v>
      </c>
      <c r="B1034" t="s">
        <v>1960</v>
      </c>
      <c r="C1034" t="s">
        <v>2251</v>
      </c>
      <c r="D1034" s="9">
        <v>45838</v>
      </c>
      <c r="E1034" t="s">
        <v>2337</v>
      </c>
      <c r="F1034" s="20">
        <v>15</v>
      </c>
      <c r="G1034" t="s">
        <v>2331</v>
      </c>
      <c r="H1034">
        <v>1500</v>
      </c>
      <c r="I1034" s="16" t="str">
        <f t="shared" si="16"/>
        <v>Normal</v>
      </c>
      <c r="J1034">
        <v>1</v>
      </c>
    </row>
    <row r="1035" spans="1:10">
      <c r="A1035" t="s">
        <v>3387</v>
      </c>
      <c r="B1035" t="s">
        <v>554</v>
      </c>
      <c r="C1035" t="s">
        <v>2257</v>
      </c>
      <c r="D1035" s="9">
        <v>46296</v>
      </c>
      <c r="E1035" t="s">
        <v>2330</v>
      </c>
      <c r="G1035" t="s">
        <v>2345</v>
      </c>
      <c r="I1035" s="16" t="str">
        <f t="shared" si="16"/>
        <v>Unknown</v>
      </c>
      <c r="J1035" t="s">
        <v>39</v>
      </c>
    </row>
    <row r="1036" spans="1:10">
      <c r="A1036" t="s">
        <v>3388</v>
      </c>
      <c r="B1036" t="s">
        <v>1520</v>
      </c>
      <c r="C1036" t="s">
        <v>2222</v>
      </c>
      <c r="D1036" s="9">
        <v>45427</v>
      </c>
      <c r="E1036" t="s">
        <v>2330</v>
      </c>
      <c r="F1036" s="20">
        <v>100</v>
      </c>
      <c r="G1036" t="s">
        <v>2339</v>
      </c>
      <c r="H1036">
        <v>0</v>
      </c>
      <c r="I1036" s="16" t="str">
        <f t="shared" si="16"/>
        <v>Zero Amount</v>
      </c>
      <c r="J1036">
        <v>1</v>
      </c>
    </row>
    <row r="1037" spans="1:10">
      <c r="A1037" t="s">
        <v>3389</v>
      </c>
      <c r="B1037" t="s">
        <v>1383</v>
      </c>
      <c r="C1037" t="s">
        <v>2259</v>
      </c>
      <c r="D1037" s="9">
        <v>45438</v>
      </c>
      <c r="E1037" t="s">
        <v>2337</v>
      </c>
      <c r="F1037" s="20">
        <v>5</v>
      </c>
      <c r="G1037" t="s">
        <v>2345</v>
      </c>
      <c r="H1037">
        <v>0</v>
      </c>
      <c r="I1037" s="16" t="str">
        <f t="shared" si="16"/>
        <v>Zero Amount</v>
      </c>
      <c r="J1037" t="s">
        <v>39</v>
      </c>
    </row>
    <row r="1038" spans="1:10">
      <c r="A1038" t="s">
        <v>3390</v>
      </c>
      <c r="B1038" t="s">
        <v>343</v>
      </c>
      <c r="C1038" t="s">
        <v>2235</v>
      </c>
      <c r="D1038" s="9">
        <v>46182</v>
      </c>
      <c r="E1038" t="s">
        <v>2337</v>
      </c>
      <c r="F1038" s="20">
        <v>15</v>
      </c>
      <c r="G1038" t="s">
        <v>2331</v>
      </c>
      <c r="H1038">
        <v>3000</v>
      </c>
      <c r="I1038" s="16" t="str">
        <f t="shared" si="16"/>
        <v>Normal</v>
      </c>
      <c r="J1038">
        <v>4</v>
      </c>
    </row>
    <row r="1039" spans="1:10">
      <c r="A1039" t="s">
        <v>3391</v>
      </c>
      <c r="B1039" t="s">
        <v>1107</v>
      </c>
      <c r="C1039" t="s">
        <v>2269</v>
      </c>
      <c r="D1039" s="9">
        <v>45105</v>
      </c>
      <c r="E1039" t="s">
        <v>2327</v>
      </c>
      <c r="F1039" s="20">
        <v>20</v>
      </c>
      <c r="G1039" t="s">
        <v>2331</v>
      </c>
      <c r="H1039">
        <v>499</v>
      </c>
      <c r="I1039" s="16" t="str">
        <f t="shared" si="16"/>
        <v>Normal</v>
      </c>
      <c r="J1039">
        <v>1</v>
      </c>
    </row>
    <row r="1040" spans="1:10">
      <c r="A1040" t="s">
        <v>3392</v>
      </c>
      <c r="B1040" t="s">
        <v>1285</v>
      </c>
      <c r="C1040" t="s">
        <v>2244</v>
      </c>
      <c r="D1040" s="9">
        <v>45629</v>
      </c>
      <c r="E1040" t="s">
        <v>2327</v>
      </c>
      <c r="F1040" s="20">
        <v>15</v>
      </c>
      <c r="G1040" t="s">
        <v>2345</v>
      </c>
      <c r="H1040">
        <v>1200</v>
      </c>
      <c r="I1040" s="16" t="str">
        <f t="shared" si="16"/>
        <v>Normal</v>
      </c>
      <c r="J1040">
        <v>1</v>
      </c>
    </row>
    <row r="1041" spans="1:10">
      <c r="A1041" t="s">
        <v>3393</v>
      </c>
      <c r="B1041" t="s">
        <v>350</v>
      </c>
      <c r="C1041" t="s">
        <v>2237</v>
      </c>
      <c r="D1041" s="9">
        <v>45851</v>
      </c>
      <c r="E1041" t="s">
        <v>2330</v>
      </c>
      <c r="G1041" t="s">
        <v>2345</v>
      </c>
      <c r="H1041">
        <v>1500</v>
      </c>
      <c r="I1041" s="16" t="str">
        <f t="shared" si="16"/>
        <v>Normal</v>
      </c>
      <c r="J1041">
        <v>4</v>
      </c>
    </row>
    <row r="1042" spans="1:10">
      <c r="A1042" t="s">
        <v>3394</v>
      </c>
      <c r="B1042" t="s">
        <v>1902</v>
      </c>
      <c r="C1042" t="s">
        <v>2247</v>
      </c>
      <c r="D1042" s="9">
        <v>45223</v>
      </c>
      <c r="E1042" t="s">
        <v>2330</v>
      </c>
      <c r="F1042" s="20">
        <v>100</v>
      </c>
      <c r="G1042" t="s">
        <v>2331</v>
      </c>
      <c r="I1042" s="16" t="str">
        <f t="shared" si="16"/>
        <v>Unknown</v>
      </c>
      <c r="J1042">
        <v>1</v>
      </c>
    </row>
    <row r="1043" spans="1:10">
      <c r="A1043" t="s">
        <v>3395</v>
      </c>
      <c r="B1043" t="s">
        <v>926</v>
      </c>
      <c r="C1043" t="s">
        <v>2244</v>
      </c>
      <c r="D1043" s="9">
        <v>45098</v>
      </c>
      <c r="E1043" t="s">
        <v>2327</v>
      </c>
      <c r="F1043" s="20">
        <v>15</v>
      </c>
      <c r="G1043" t="s">
        <v>2339</v>
      </c>
      <c r="H1043">
        <v>1200</v>
      </c>
      <c r="I1043" s="16" t="str">
        <f t="shared" si="16"/>
        <v>Normal</v>
      </c>
      <c r="J1043">
        <v>3</v>
      </c>
    </row>
    <row r="1044" spans="1:10">
      <c r="A1044" t="s">
        <v>3396</v>
      </c>
      <c r="B1044" t="s">
        <v>1726</v>
      </c>
      <c r="C1044" t="s">
        <v>2249</v>
      </c>
      <c r="D1044" s="9">
        <v>45759</v>
      </c>
      <c r="E1044" t="s">
        <v>2330</v>
      </c>
      <c r="F1044" s="20">
        <v>100</v>
      </c>
      <c r="G1044" t="s">
        <v>2345</v>
      </c>
      <c r="H1044">
        <v>1500</v>
      </c>
      <c r="I1044" s="16" t="str">
        <f t="shared" si="16"/>
        <v>Normal</v>
      </c>
      <c r="J1044">
        <v>3</v>
      </c>
    </row>
    <row r="1045" spans="1:10">
      <c r="A1045" t="s">
        <v>3397</v>
      </c>
      <c r="B1045" t="s">
        <v>1110</v>
      </c>
      <c r="C1045" t="s">
        <v>2216</v>
      </c>
      <c r="D1045" s="9">
        <v>45230</v>
      </c>
      <c r="E1045" t="s">
        <v>2330</v>
      </c>
      <c r="F1045" s="20">
        <v>100</v>
      </c>
      <c r="G1045" t="s">
        <v>2331</v>
      </c>
      <c r="H1045">
        <v>1200</v>
      </c>
      <c r="I1045" s="16" t="str">
        <f t="shared" si="16"/>
        <v>Normal</v>
      </c>
      <c r="J1045">
        <v>1</v>
      </c>
    </row>
    <row r="1046" spans="1:10">
      <c r="A1046" t="s">
        <v>3398</v>
      </c>
      <c r="B1046" t="s">
        <v>748</v>
      </c>
      <c r="C1046" t="s">
        <v>2267</v>
      </c>
      <c r="D1046" s="9">
        <v>45204</v>
      </c>
      <c r="E1046" t="s">
        <v>2330</v>
      </c>
      <c r="G1046" t="s">
        <v>2331</v>
      </c>
      <c r="H1046">
        <v>999.99</v>
      </c>
      <c r="I1046" s="16" t="str">
        <f t="shared" si="16"/>
        <v>Normal</v>
      </c>
      <c r="J1046">
        <v>4</v>
      </c>
    </row>
    <row r="1047" spans="1:10">
      <c r="A1047" t="s">
        <v>3399</v>
      </c>
      <c r="B1047" t="s">
        <v>1476</v>
      </c>
      <c r="C1047" t="s">
        <v>2259</v>
      </c>
      <c r="D1047" s="9">
        <v>45321</v>
      </c>
      <c r="E1047" t="s">
        <v>2327</v>
      </c>
      <c r="F1047" s="20">
        <v>0</v>
      </c>
      <c r="G1047" t="s">
        <v>23</v>
      </c>
      <c r="H1047">
        <v>0</v>
      </c>
      <c r="I1047" s="16" t="str">
        <f t="shared" si="16"/>
        <v>Zero Amount</v>
      </c>
      <c r="J1047" t="s">
        <v>39</v>
      </c>
    </row>
    <row r="1048" spans="1:10">
      <c r="A1048" t="s">
        <v>3400</v>
      </c>
      <c r="B1048" t="s">
        <v>1948</v>
      </c>
      <c r="C1048" t="s">
        <v>2235</v>
      </c>
      <c r="D1048" s="9">
        <v>45617</v>
      </c>
      <c r="E1048" t="s">
        <v>2324</v>
      </c>
      <c r="F1048" s="20">
        <v>60</v>
      </c>
      <c r="G1048" t="s">
        <v>2325</v>
      </c>
      <c r="H1048">
        <v>3000</v>
      </c>
      <c r="I1048" s="16" t="str">
        <f t="shared" si="16"/>
        <v>Normal</v>
      </c>
      <c r="J1048" t="s">
        <v>39</v>
      </c>
    </row>
    <row r="1049" spans="1:10">
      <c r="A1049" t="s">
        <v>3401</v>
      </c>
      <c r="B1049" t="s">
        <v>922</v>
      </c>
      <c r="C1049" t="s">
        <v>2247</v>
      </c>
      <c r="D1049" s="9">
        <v>46010</v>
      </c>
      <c r="E1049" t="s">
        <v>2330</v>
      </c>
      <c r="F1049" s="20">
        <v>100</v>
      </c>
      <c r="G1049" t="s">
        <v>2328</v>
      </c>
      <c r="I1049" s="16" t="str">
        <f t="shared" si="16"/>
        <v>Unknown</v>
      </c>
      <c r="J1049">
        <v>5</v>
      </c>
    </row>
    <row r="1050" spans="1:10">
      <c r="A1050" t="s">
        <v>3402</v>
      </c>
      <c r="B1050" t="s">
        <v>1222</v>
      </c>
      <c r="C1050" t="s">
        <v>2216</v>
      </c>
      <c r="D1050" s="9">
        <v>45584</v>
      </c>
      <c r="E1050" t="s">
        <v>2337</v>
      </c>
      <c r="F1050" s="20">
        <v>0</v>
      </c>
      <c r="G1050" t="s">
        <v>23</v>
      </c>
      <c r="H1050">
        <v>1200</v>
      </c>
      <c r="I1050" s="16" t="str">
        <f t="shared" si="16"/>
        <v>Normal</v>
      </c>
      <c r="J1050" t="s">
        <v>39</v>
      </c>
    </row>
    <row r="1051" spans="1:10">
      <c r="A1051" t="s">
        <v>3403</v>
      </c>
      <c r="B1051" t="s">
        <v>1239</v>
      </c>
      <c r="C1051" t="s">
        <v>2231</v>
      </c>
      <c r="D1051" s="9">
        <v>45158</v>
      </c>
      <c r="E1051" t="s">
        <v>23</v>
      </c>
      <c r="G1051" t="s">
        <v>2345</v>
      </c>
      <c r="H1051">
        <v>3000</v>
      </c>
      <c r="I1051" s="16" t="str">
        <f t="shared" si="16"/>
        <v>Normal</v>
      </c>
      <c r="J1051">
        <v>5</v>
      </c>
    </row>
    <row r="1052" spans="1:10">
      <c r="A1052" t="s">
        <v>3404</v>
      </c>
      <c r="B1052" t="s">
        <v>67</v>
      </c>
      <c r="C1052" t="s">
        <v>2273</v>
      </c>
      <c r="D1052" s="9">
        <v>45231</v>
      </c>
      <c r="E1052" t="s">
        <v>2330</v>
      </c>
      <c r="F1052" s="20">
        <v>100</v>
      </c>
      <c r="G1052" t="s">
        <v>2345</v>
      </c>
      <c r="H1052">
        <v>799</v>
      </c>
      <c r="I1052" s="16" t="str">
        <f t="shared" si="16"/>
        <v>Normal</v>
      </c>
      <c r="J1052" t="s">
        <v>39</v>
      </c>
    </row>
    <row r="1053" spans="1:10">
      <c r="A1053" t="s">
        <v>3405</v>
      </c>
      <c r="B1053" t="s">
        <v>1683</v>
      </c>
      <c r="C1053" t="s">
        <v>2202</v>
      </c>
      <c r="D1053" s="9">
        <v>45452</v>
      </c>
      <c r="E1053" t="s">
        <v>2337</v>
      </c>
      <c r="F1053" s="20">
        <v>0</v>
      </c>
      <c r="G1053" t="s">
        <v>2345</v>
      </c>
      <c r="H1053">
        <v>999.99</v>
      </c>
      <c r="I1053" s="16" t="str">
        <f t="shared" si="16"/>
        <v>Normal</v>
      </c>
      <c r="J1053">
        <v>5</v>
      </c>
    </row>
    <row r="1054" spans="1:10">
      <c r="A1054" t="s">
        <v>3406</v>
      </c>
      <c r="B1054" t="s">
        <v>936</v>
      </c>
      <c r="C1054" t="s">
        <v>2257</v>
      </c>
      <c r="D1054" s="9">
        <v>46059</v>
      </c>
      <c r="E1054" t="s">
        <v>2324</v>
      </c>
      <c r="F1054" s="20">
        <v>55</v>
      </c>
      <c r="G1054" t="s">
        <v>2345</v>
      </c>
      <c r="I1054" s="16" t="str">
        <f t="shared" si="16"/>
        <v>Unknown</v>
      </c>
      <c r="J1054">
        <v>5</v>
      </c>
    </row>
    <row r="1055" spans="1:10">
      <c r="A1055" t="s">
        <v>3407</v>
      </c>
      <c r="B1055" t="s">
        <v>1233</v>
      </c>
      <c r="C1055" t="s">
        <v>2202</v>
      </c>
      <c r="D1055" s="9">
        <v>45997</v>
      </c>
      <c r="E1055" t="s">
        <v>2337</v>
      </c>
      <c r="F1055" s="20">
        <v>0</v>
      </c>
      <c r="G1055" t="s">
        <v>2328</v>
      </c>
      <c r="H1055">
        <v>999.99</v>
      </c>
      <c r="I1055" s="16" t="str">
        <f t="shared" si="16"/>
        <v>Normal</v>
      </c>
      <c r="J1055">
        <v>4</v>
      </c>
    </row>
    <row r="1056" spans="1:10">
      <c r="A1056" t="s">
        <v>3408</v>
      </c>
      <c r="B1056" t="s">
        <v>1380</v>
      </c>
      <c r="C1056" t="s">
        <v>2249</v>
      </c>
      <c r="D1056" s="9">
        <v>46020</v>
      </c>
      <c r="E1056" t="s">
        <v>2327</v>
      </c>
      <c r="F1056" s="20">
        <v>0</v>
      </c>
      <c r="G1056" t="s">
        <v>2331</v>
      </c>
      <c r="H1056">
        <v>1500</v>
      </c>
      <c r="I1056" s="16" t="str">
        <f t="shared" si="16"/>
        <v>Normal</v>
      </c>
      <c r="J1056" t="s">
        <v>39</v>
      </c>
    </row>
    <row r="1057" spans="1:10">
      <c r="A1057" t="s">
        <v>3409</v>
      </c>
      <c r="B1057" t="s">
        <v>491</v>
      </c>
      <c r="C1057" t="s">
        <v>2269</v>
      </c>
      <c r="D1057" s="9">
        <v>45697</v>
      </c>
      <c r="E1057" t="s">
        <v>2330</v>
      </c>
      <c r="G1057" t="s">
        <v>2325</v>
      </c>
      <c r="H1057">
        <v>499</v>
      </c>
      <c r="I1057" s="16" t="str">
        <f t="shared" si="16"/>
        <v>Normal</v>
      </c>
      <c r="J1057" t="s">
        <v>39</v>
      </c>
    </row>
    <row r="1058" spans="1:10">
      <c r="A1058" t="s">
        <v>3410</v>
      </c>
      <c r="B1058" t="s">
        <v>886</v>
      </c>
      <c r="C1058" t="s">
        <v>2231</v>
      </c>
      <c r="D1058" s="9">
        <v>45998</v>
      </c>
      <c r="E1058" t="s">
        <v>23</v>
      </c>
      <c r="G1058" t="s">
        <v>2339</v>
      </c>
      <c r="H1058">
        <v>-3000</v>
      </c>
      <c r="I1058" s="16" t="str">
        <f t="shared" si="16"/>
        <v>Review</v>
      </c>
      <c r="J1058">
        <v>3</v>
      </c>
    </row>
    <row r="1059" spans="1:10">
      <c r="A1059" t="s">
        <v>3411</v>
      </c>
      <c r="B1059" t="s">
        <v>1520</v>
      </c>
      <c r="C1059" t="s">
        <v>2213</v>
      </c>
      <c r="D1059" s="9">
        <v>45844</v>
      </c>
      <c r="E1059" t="s">
        <v>2327</v>
      </c>
      <c r="F1059" s="20">
        <v>5</v>
      </c>
      <c r="G1059" t="s">
        <v>2339</v>
      </c>
      <c r="H1059">
        <v>1161.68</v>
      </c>
      <c r="I1059" s="16" t="str">
        <f t="shared" si="16"/>
        <v>Normal</v>
      </c>
      <c r="J1059">
        <v>4</v>
      </c>
    </row>
    <row r="1060" spans="1:10">
      <c r="A1060" t="s">
        <v>3412</v>
      </c>
      <c r="B1060" t="s">
        <v>309</v>
      </c>
      <c r="C1060" t="s">
        <v>2216</v>
      </c>
      <c r="D1060" s="9">
        <v>46039</v>
      </c>
      <c r="E1060" t="s">
        <v>2330</v>
      </c>
      <c r="G1060" t="s">
        <v>2331</v>
      </c>
      <c r="H1060">
        <v>1200</v>
      </c>
      <c r="I1060" s="16" t="str">
        <f t="shared" si="16"/>
        <v>Normal</v>
      </c>
      <c r="J1060">
        <v>3</v>
      </c>
    </row>
    <row r="1061" spans="1:10">
      <c r="A1061" t="s">
        <v>3413</v>
      </c>
      <c r="B1061" t="s">
        <v>376</v>
      </c>
      <c r="C1061" t="s">
        <v>2218</v>
      </c>
      <c r="D1061" s="9">
        <v>45774</v>
      </c>
      <c r="E1061" t="s">
        <v>2330</v>
      </c>
      <c r="G1061" t="s">
        <v>2328</v>
      </c>
      <c r="H1061">
        <v>1500</v>
      </c>
      <c r="I1061" s="16" t="str">
        <f t="shared" si="16"/>
        <v>Normal</v>
      </c>
      <c r="J1061" t="s">
        <v>39</v>
      </c>
    </row>
    <row r="1062" spans="1:10">
      <c r="A1062" t="s">
        <v>3414</v>
      </c>
      <c r="B1062" t="s">
        <v>203</v>
      </c>
      <c r="C1062" t="s">
        <v>2267</v>
      </c>
      <c r="D1062" s="9">
        <v>45453</v>
      </c>
      <c r="E1062" t="s">
        <v>2330</v>
      </c>
      <c r="F1062" s="20">
        <v>100</v>
      </c>
      <c r="G1062" t="s">
        <v>2328</v>
      </c>
      <c r="H1062">
        <v>999.99</v>
      </c>
      <c r="I1062" s="16" t="str">
        <f t="shared" si="16"/>
        <v>Normal</v>
      </c>
      <c r="J1062">
        <v>3</v>
      </c>
    </row>
    <row r="1063" spans="1:10">
      <c r="A1063" t="s">
        <v>3415</v>
      </c>
      <c r="B1063" t="s">
        <v>1596</v>
      </c>
      <c r="C1063" t="s">
        <v>2233</v>
      </c>
      <c r="D1063" s="9">
        <v>45795</v>
      </c>
      <c r="E1063" t="s">
        <v>2330</v>
      </c>
      <c r="F1063" s="20">
        <v>100</v>
      </c>
      <c r="G1063" t="s">
        <v>2331</v>
      </c>
      <c r="H1063">
        <v>2500</v>
      </c>
      <c r="I1063" s="16" t="str">
        <f t="shared" si="16"/>
        <v>Normal</v>
      </c>
      <c r="J1063">
        <v>5</v>
      </c>
    </row>
    <row r="1064" spans="1:10">
      <c r="A1064" t="s">
        <v>3416</v>
      </c>
      <c r="B1064" t="s">
        <v>510</v>
      </c>
      <c r="C1064" t="s">
        <v>2233</v>
      </c>
      <c r="D1064" s="9">
        <v>45300</v>
      </c>
      <c r="E1064" t="s">
        <v>2330</v>
      </c>
      <c r="F1064" s="20">
        <v>100</v>
      </c>
      <c r="G1064" t="s">
        <v>2345</v>
      </c>
      <c r="H1064">
        <v>2500</v>
      </c>
      <c r="I1064" s="16" t="str">
        <f t="shared" si="16"/>
        <v>Normal</v>
      </c>
      <c r="J1064">
        <v>1</v>
      </c>
    </row>
    <row r="1065" spans="1:10">
      <c r="A1065" t="s">
        <v>3417</v>
      </c>
      <c r="B1065" t="s">
        <v>1926</v>
      </c>
      <c r="C1065" t="s">
        <v>2271</v>
      </c>
      <c r="D1065" s="9">
        <v>45995</v>
      </c>
      <c r="E1065" t="s">
        <v>2324</v>
      </c>
      <c r="F1065" s="20">
        <v>55</v>
      </c>
      <c r="G1065" t="s">
        <v>2331</v>
      </c>
      <c r="H1065">
        <v>805.03</v>
      </c>
      <c r="I1065" s="16" t="str">
        <f t="shared" si="16"/>
        <v>Normal</v>
      </c>
      <c r="J1065">
        <v>4</v>
      </c>
    </row>
    <row r="1066" spans="1:10">
      <c r="A1066" t="s">
        <v>3418</v>
      </c>
      <c r="B1066" t="s">
        <v>141</v>
      </c>
      <c r="C1066" t="s">
        <v>2231</v>
      </c>
      <c r="D1066" s="9">
        <v>45818</v>
      </c>
      <c r="E1066" t="s">
        <v>23</v>
      </c>
      <c r="G1066" t="s">
        <v>2325</v>
      </c>
      <c r="H1066">
        <v>-3000</v>
      </c>
      <c r="I1066" s="16" t="str">
        <f t="shared" si="16"/>
        <v>Review</v>
      </c>
      <c r="J1066" t="s">
        <v>39</v>
      </c>
    </row>
    <row r="1067" spans="1:10">
      <c r="A1067" t="s">
        <v>3419</v>
      </c>
      <c r="B1067" t="s">
        <v>2401</v>
      </c>
      <c r="C1067" t="s">
        <v>2209</v>
      </c>
      <c r="D1067" s="9">
        <v>45285</v>
      </c>
      <c r="E1067" t="s">
        <v>2330</v>
      </c>
      <c r="G1067" t="s">
        <v>2328</v>
      </c>
      <c r="I1067" s="16" t="str">
        <f t="shared" si="16"/>
        <v>Unknown</v>
      </c>
      <c r="J1067">
        <v>3</v>
      </c>
    </row>
    <row r="1068" spans="1:10">
      <c r="A1068" t="s">
        <v>3420</v>
      </c>
      <c r="B1068" t="s">
        <v>1887</v>
      </c>
      <c r="C1068" t="s">
        <v>2244</v>
      </c>
      <c r="D1068" s="9">
        <v>45910</v>
      </c>
      <c r="E1068" t="s">
        <v>2337</v>
      </c>
      <c r="G1068" t="s">
        <v>23</v>
      </c>
      <c r="H1068">
        <v>1200</v>
      </c>
      <c r="I1068" s="16" t="str">
        <f t="shared" si="16"/>
        <v>Normal</v>
      </c>
      <c r="J1068" t="s">
        <v>39</v>
      </c>
    </row>
    <row r="1069" spans="1:10">
      <c r="A1069" t="s">
        <v>3421</v>
      </c>
      <c r="B1069" t="s">
        <v>1582</v>
      </c>
      <c r="C1069" t="s">
        <v>2261</v>
      </c>
      <c r="D1069" s="9">
        <v>45697</v>
      </c>
      <c r="E1069" t="s">
        <v>2327</v>
      </c>
      <c r="G1069" t="s">
        <v>2345</v>
      </c>
      <c r="I1069" s="16" t="str">
        <f t="shared" si="16"/>
        <v>Unknown</v>
      </c>
      <c r="J1069">
        <v>1</v>
      </c>
    </row>
    <row r="1070" spans="1:10">
      <c r="A1070" t="s">
        <v>3422</v>
      </c>
      <c r="B1070" t="s">
        <v>1107</v>
      </c>
      <c r="C1070" t="s">
        <v>2259</v>
      </c>
      <c r="D1070" s="9">
        <v>45619</v>
      </c>
      <c r="E1070" t="s">
        <v>2324</v>
      </c>
      <c r="F1070" s="20">
        <v>25</v>
      </c>
      <c r="G1070" t="s">
        <v>2345</v>
      </c>
      <c r="H1070">
        <v>0</v>
      </c>
      <c r="I1070" s="16" t="str">
        <f t="shared" si="16"/>
        <v>Zero Amount</v>
      </c>
      <c r="J1070">
        <v>2</v>
      </c>
    </row>
    <row r="1071" spans="1:10">
      <c r="A1071" t="s">
        <v>3423</v>
      </c>
      <c r="B1071" t="s">
        <v>1956</v>
      </c>
      <c r="C1071" t="s">
        <v>2235</v>
      </c>
      <c r="D1071" s="9">
        <v>45415</v>
      </c>
      <c r="E1071" t="s">
        <v>2324</v>
      </c>
      <c r="F1071" s="20">
        <v>40</v>
      </c>
      <c r="G1071" t="s">
        <v>2339</v>
      </c>
      <c r="H1071">
        <v>3000</v>
      </c>
      <c r="I1071" s="16" t="str">
        <f t="shared" si="16"/>
        <v>Normal</v>
      </c>
      <c r="J1071">
        <v>1</v>
      </c>
    </row>
    <row r="1072" spans="1:10">
      <c r="A1072" t="s">
        <v>3424</v>
      </c>
      <c r="B1072" t="s">
        <v>1520</v>
      </c>
      <c r="C1072" t="s">
        <v>2193</v>
      </c>
      <c r="D1072" s="9">
        <v>45829</v>
      </c>
      <c r="E1072" t="s">
        <v>2330</v>
      </c>
      <c r="F1072" s="20">
        <v>100</v>
      </c>
      <c r="G1072" t="s">
        <v>2331</v>
      </c>
      <c r="H1072">
        <v>0</v>
      </c>
      <c r="I1072" s="16" t="str">
        <f t="shared" si="16"/>
        <v>Zero Amount</v>
      </c>
      <c r="J1072">
        <v>3</v>
      </c>
    </row>
    <row r="1073" spans="1:10">
      <c r="A1073" t="s">
        <v>3425</v>
      </c>
      <c r="B1073" t="s">
        <v>239</v>
      </c>
      <c r="C1073" t="s">
        <v>2202</v>
      </c>
      <c r="D1073" s="9">
        <v>46149</v>
      </c>
      <c r="E1073" t="s">
        <v>2324</v>
      </c>
      <c r="F1073" s="20">
        <v>55</v>
      </c>
      <c r="G1073" t="s">
        <v>2345</v>
      </c>
      <c r="H1073">
        <v>999.99</v>
      </c>
      <c r="I1073" s="16" t="str">
        <f t="shared" si="16"/>
        <v>Normal</v>
      </c>
      <c r="J1073" t="s">
        <v>39</v>
      </c>
    </row>
    <row r="1074" spans="1:10">
      <c r="A1074" t="s">
        <v>3426</v>
      </c>
      <c r="B1074" t="s">
        <v>1880</v>
      </c>
      <c r="C1074" t="s">
        <v>2228</v>
      </c>
      <c r="D1074" s="9">
        <v>45638</v>
      </c>
      <c r="E1074" t="s">
        <v>2324</v>
      </c>
      <c r="G1074" t="s">
        <v>2339</v>
      </c>
      <c r="H1074">
        <v>799</v>
      </c>
      <c r="I1074" s="16" t="str">
        <f t="shared" si="16"/>
        <v>Normal</v>
      </c>
      <c r="J1074">
        <v>2</v>
      </c>
    </row>
    <row r="1075" spans="1:10">
      <c r="A1075" t="s">
        <v>3427</v>
      </c>
      <c r="B1075" t="s">
        <v>95</v>
      </c>
      <c r="C1075" t="s">
        <v>2257</v>
      </c>
      <c r="D1075" s="9">
        <v>45829</v>
      </c>
      <c r="E1075" t="s">
        <v>2330</v>
      </c>
      <c r="G1075" t="s">
        <v>2328</v>
      </c>
      <c r="I1075" s="16" t="str">
        <f t="shared" si="16"/>
        <v>Unknown</v>
      </c>
      <c r="J1075">
        <v>4</v>
      </c>
    </row>
    <row r="1076" spans="1:10">
      <c r="A1076" t="s">
        <v>3428</v>
      </c>
      <c r="B1076" t="s">
        <v>896</v>
      </c>
      <c r="C1076" t="s">
        <v>2257</v>
      </c>
      <c r="D1076" s="9">
        <v>45526</v>
      </c>
      <c r="E1076" t="s">
        <v>2337</v>
      </c>
      <c r="G1076" t="s">
        <v>2345</v>
      </c>
      <c r="I1076" s="16" t="str">
        <f t="shared" si="16"/>
        <v>Unknown</v>
      </c>
      <c r="J1076">
        <v>4</v>
      </c>
    </row>
    <row r="1077" spans="1:10">
      <c r="A1077" t="s">
        <v>3429</v>
      </c>
      <c r="B1077" t="s">
        <v>2045</v>
      </c>
      <c r="C1077" t="s">
        <v>2251</v>
      </c>
      <c r="D1077" s="9">
        <v>45862</v>
      </c>
      <c r="E1077" t="s">
        <v>23</v>
      </c>
      <c r="G1077" t="s">
        <v>2345</v>
      </c>
      <c r="H1077">
        <v>1500</v>
      </c>
      <c r="I1077" s="16" t="str">
        <f t="shared" si="16"/>
        <v>Normal</v>
      </c>
      <c r="J1077" t="s">
        <v>39</v>
      </c>
    </row>
    <row r="1078" spans="1:10">
      <c r="A1078" t="s">
        <v>3430</v>
      </c>
      <c r="B1078" t="s">
        <v>570</v>
      </c>
      <c r="C1078" t="s">
        <v>2244</v>
      </c>
      <c r="D1078" s="9">
        <v>45215</v>
      </c>
      <c r="E1078" t="s">
        <v>2337</v>
      </c>
      <c r="G1078" t="s">
        <v>2331</v>
      </c>
      <c r="I1078" s="16" t="str">
        <f t="shared" si="16"/>
        <v>Unknown</v>
      </c>
      <c r="J1078">
        <v>1</v>
      </c>
    </row>
    <row r="1079" spans="1:10">
      <c r="A1079" t="s">
        <v>3431</v>
      </c>
      <c r="B1079" t="s">
        <v>1122</v>
      </c>
      <c r="C1079" t="s">
        <v>2187</v>
      </c>
      <c r="D1079" s="9">
        <v>45554</v>
      </c>
      <c r="E1079" t="s">
        <v>2330</v>
      </c>
      <c r="G1079" t="s">
        <v>2325</v>
      </c>
      <c r="H1079">
        <v>-799</v>
      </c>
      <c r="I1079" s="16" t="str">
        <f t="shared" si="16"/>
        <v>Review</v>
      </c>
      <c r="J1079">
        <v>4</v>
      </c>
    </row>
    <row r="1080" spans="1:10">
      <c r="A1080" t="s">
        <v>3432</v>
      </c>
      <c r="B1080" t="s">
        <v>684</v>
      </c>
      <c r="C1080" t="s">
        <v>2271</v>
      </c>
      <c r="D1080" s="9">
        <v>45563</v>
      </c>
      <c r="E1080" t="s">
        <v>2324</v>
      </c>
      <c r="F1080" s="20">
        <v>25</v>
      </c>
      <c r="G1080" t="s">
        <v>2339</v>
      </c>
      <c r="H1080">
        <v>1200</v>
      </c>
      <c r="I1080" s="16" t="str">
        <f t="shared" si="16"/>
        <v>Normal</v>
      </c>
      <c r="J1080">
        <v>1</v>
      </c>
    </row>
    <row r="1081" spans="1:10">
      <c r="A1081" t="s">
        <v>3433</v>
      </c>
      <c r="B1081" t="s">
        <v>1602</v>
      </c>
      <c r="C1081" t="s">
        <v>2231</v>
      </c>
      <c r="D1081" s="9">
        <v>45128</v>
      </c>
      <c r="E1081" t="s">
        <v>2330</v>
      </c>
      <c r="F1081" s="20">
        <v>100</v>
      </c>
      <c r="G1081" t="s">
        <v>2345</v>
      </c>
      <c r="H1081">
        <v>3000</v>
      </c>
      <c r="I1081" s="16" t="str">
        <f t="shared" si="16"/>
        <v>Normal</v>
      </c>
      <c r="J1081">
        <v>4</v>
      </c>
    </row>
    <row r="1082" spans="1:10">
      <c r="A1082" t="s">
        <v>3434</v>
      </c>
      <c r="B1082" t="s">
        <v>2063</v>
      </c>
      <c r="C1082" t="s">
        <v>2237</v>
      </c>
      <c r="D1082" s="9">
        <v>45598</v>
      </c>
      <c r="E1082" t="s">
        <v>2337</v>
      </c>
      <c r="F1082" s="20">
        <v>0</v>
      </c>
      <c r="G1082" t="s">
        <v>2345</v>
      </c>
      <c r="H1082">
        <v>1500</v>
      </c>
      <c r="I1082" s="16" t="str">
        <f t="shared" si="16"/>
        <v>Normal</v>
      </c>
      <c r="J1082">
        <v>5</v>
      </c>
    </row>
    <row r="1083" spans="1:10">
      <c r="A1083" t="s">
        <v>3435</v>
      </c>
      <c r="B1083" t="s">
        <v>1646</v>
      </c>
      <c r="C1083" t="s">
        <v>2209</v>
      </c>
      <c r="D1083" s="9">
        <v>45716</v>
      </c>
      <c r="E1083" t="s">
        <v>2330</v>
      </c>
      <c r="F1083" s="20">
        <v>100</v>
      </c>
      <c r="G1083" t="s">
        <v>2325</v>
      </c>
      <c r="H1083">
        <v>499</v>
      </c>
      <c r="I1083" s="16" t="str">
        <f t="shared" si="16"/>
        <v>Normal</v>
      </c>
      <c r="J1083">
        <v>2</v>
      </c>
    </row>
    <row r="1084" spans="1:10">
      <c r="A1084" t="s">
        <v>3436</v>
      </c>
      <c r="B1084" t="s">
        <v>1926</v>
      </c>
      <c r="C1084" t="s">
        <v>2249</v>
      </c>
      <c r="D1084" s="9">
        <v>45110</v>
      </c>
      <c r="E1084" t="s">
        <v>2324</v>
      </c>
      <c r="F1084" s="20">
        <v>75</v>
      </c>
      <c r="G1084" t="s">
        <v>2325</v>
      </c>
      <c r="H1084">
        <v>1500</v>
      </c>
      <c r="I1084" s="16" t="str">
        <f t="shared" si="16"/>
        <v>Normal</v>
      </c>
      <c r="J1084">
        <v>4</v>
      </c>
    </row>
    <row r="1085" spans="1:10">
      <c r="A1085" t="s">
        <v>3437</v>
      </c>
      <c r="B1085" t="s">
        <v>1926</v>
      </c>
      <c r="C1085" t="s">
        <v>2205</v>
      </c>
      <c r="D1085" s="9">
        <v>45429</v>
      </c>
      <c r="E1085" t="s">
        <v>2330</v>
      </c>
      <c r="F1085" s="20">
        <v>100</v>
      </c>
      <c r="G1085" t="s">
        <v>2331</v>
      </c>
      <c r="I1085" s="16" t="str">
        <f t="shared" si="16"/>
        <v>Unknown</v>
      </c>
      <c r="J1085">
        <v>2</v>
      </c>
    </row>
    <row r="1086" spans="1:10">
      <c r="A1086" t="s">
        <v>3438</v>
      </c>
      <c r="B1086" t="s">
        <v>1520</v>
      </c>
      <c r="C1086" t="s">
        <v>2271</v>
      </c>
      <c r="D1086" s="9">
        <v>45805</v>
      </c>
      <c r="E1086" t="s">
        <v>2324</v>
      </c>
      <c r="F1086" s="20">
        <v>25</v>
      </c>
      <c r="G1086" t="s">
        <v>2331</v>
      </c>
      <c r="H1086">
        <v>1200</v>
      </c>
      <c r="I1086" s="16" t="str">
        <f t="shared" si="16"/>
        <v>Normal</v>
      </c>
      <c r="J1086">
        <v>4</v>
      </c>
    </row>
    <row r="1087" spans="1:10">
      <c r="A1087" t="s">
        <v>3439</v>
      </c>
      <c r="B1087" t="s">
        <v>155</v>
      </c>
      <c r="C1087" t="s">
        <v>2244</v>
      </c>
      <c r="D1087" s="9">
        <v>46076</v>
      </c>
      <c r="E1087" t="s">
        <v>2337</v>
      </c>
      <c r="G1087" t="s">
        <v>2339</v>
      </c>
      <c r="H1087">
        <v>1200</v>
      </c>
      <c r="I1087" s="16" t="str">
        <f t="shared" si="16"/>
        <v>Normal</v>
      </c>
      <c r="J1087">
        <v>3</v>
      </c>
    </row>
    <row r="1088" spans="1:10">
      <c r="A1088" t="s">
        <v>3440</v>
      </c>
      <c r="B1088" t="s">
        <v>1617</v>
      </c>
      <c r="C1088" t="s">
        <v>2253</v>
      </c>
      <c r="D1088" s="9">
        <v>45777</v>
      </c>
      <c r="E1088" t="s">
        <v>2324</v>
      </c>
      <c r="G1088" t="s">
        <v>2328</v>
      </c>
      <c r="H1088">
        <v>1200</v>
      </c>
      <c r="I1088" s="16" t="str">
        <f t="shared" si="16"/>
        <v>Normal</v>
      </c>
      <c r="J1088">
        <v>5</v>
      </c>
    </row>
    <row r="1089" spans="1:10">
      <c r="A1089" t="s">
        <v>3441</v>
      </c>
      <c r="B1089" t="s">
        <v>3442</v>
      </c>
      <c r="C1089" t="s">
        <v>2233</v>
      </c>
      <c r="D1089" s="9">
        <v>45144</v>
      </c>
      <c r="E1089" t="s">
        <v>2324</v>
      </c>
      <c r="G1089" t="s">
        <v>23</v>
      </c>
      <c r="H1089">
        <v>2500</v>
      </c>
      <c r="I1089" s="16" t="str">
        <f t="shared" si="16"/>
        <v>Normal</v>
      </c>
      <c r="J1089">
        <v>1</v>
      </c>
    </row>
    <row r="1090" spans="1:10">
      <c r="A1090" t="s">
        <v>3443</v>
      </c>
      <c r="B1090" t="s">
        <v>1589</v>
      </c>
      <c r="C1090" t="s">
        <v>2202</v>
      </c>
      <c r="D1090" s="9">
        <v>46092</v>
      </c>
      <c r="E1090" t="s">
        <v>2327</v>
      </c>
      <c r="F1090" s="20">
        <v>5</v>
      </c>
      <c r="G1090" t="s">
        <v>2331</v>
      </c>
      <c r="H1090">
        <v>999.99</v>
      </c>
      <c r="I1090" s="16" t="str">
        <f t="shared" si="16"/>
        <v>Normal</v>
      </c>
      <c r="J1090">
        <v>5</v>
      </c>
    </row>
    <row r="1091" spans="1:10">
      <c r="A1091" t="s">
        <v>3444</v>
      </c>
      <c r="B1091" t="s">
        <v>481</v>
      </c>
      <c r="C1091" t="s">
        <v>2218</v>
      </c>
      <c r="D1091" s="9">
        <v>46153</v>
      </c>
      <c r="E1091" t="s">
        <v>2330</v>
      </c>
      <c r="G1091" t="s">
        <v>2325</v>
      </c>
      <c r="H1091">
        <v>1500</v>
      </c>
      <c r="I1091" s="16" t="str">
        <f t="shared" ref="I1091:I1154" si="17">IF(H1091="", "Unknown", IF(H1091=0, "Zero Amount", IF(H1091&lt;1, "Review", IF(H1091&gt;1, "Normal"))))</f>
        <v>Normal</v>
      </c>
      <c r="J1091">
        <v>4</v>
      </c>
    </row>
    <row r="1092" spans="1:10">
      <c r="A1092" t="s">
        <v>3445</v>
      </c>
      <c r="B1092" t="s">
        <v>1763</v>
      </c>
      <c r="C1092" t="s">
        <v>2264</v>
      </c>
      <c r="D1092" s="9">
        <v>45610</v>
      </c>
      <c r="E1092" t="s">
        <v>2330</v>
      </c>
      <c r="G1092" t="s">
        <v>2339</v>
      </c>
      <c r="H1092">
        <v>2500</v>
      </c>
      <c r="I1092" s="16" t="str">
        <f t="shared" si="17"/>
        <v>Normal</v>
      </c>
      <c r="J1092" t="s">
        <v>39</v>
      </c>
    </row>
    <row r="1093" spans="1:10">
      <c r="A1093" t="s">
        <v>3446</v>
      </c>
      <c r="B1093" t="s">
        <v>1773</v>
      </c>
      <c r="C1093" t="s">
        <v>2261</v>
      </c>
      <c r="D1093" s="9">
        <v>45890</v>
      </c>
      <c r="E1093" t="s">
        <v>2330</v>
      </c>
      <c r="F1093" s="20">
        <v>100</v>
      </c>
      <c r="G1093" t="s">
        <v>2328</v>
      </c>
      <c r="I1093" s="16" t="str">
        <f t="shared" si="17"/>
        <v>Unknown</v>
      </c>
      <c r="J1093" t="s">
        <v>39</v>
      </c>
    </row>
    <row r="1094" spans="1:10">
      <c r="A1094" t="s">
        <v>3447</v>
      </c>
      <c r="B1094" t="s">
        <v>1492</v>
      </c>
      <c r="C1094" t="s">
        <v>2231</v>
      </c>
      <c r="D1094" s="9">
        <v>45401</v>
      </c>
      <c r="E1094" t="s">
        <v>2324</v>
      </c>
      <c r="F1094" s="20">
        <v>10</v>
      </c>
      <c r="G1094" t="s">
        <v>2328</v>
      </c>
      <c r="H1094">
        <v>3000</v>
      </c>
      <c r="I1094" s="16" t="str">
        <f t="shared" si="17"/>
        <v>Normal</v>
      </c>
      <c r="J1094" t="s">
        <v>39</v>
      </c>
    </row>
    <row r="1095" spans="1:10">
      <c r="A1095" t="s">
        <v>3448</v>
      </c>
      <c r="B1095" t="s">
        <v>1867</v>
      </c>
      <c r="C1095" t="s">
        <v>2213</v>
      </c>
      <c r="D1095" s="9">
        <v>46174</v>
      </c>
      <c r="E1095" t="s">
        <v>2324</v>
      </c>
      <c r="F1095" s="20">
        <v>75</v>
      </c>
      <c r="G1095" t="s">
        <v>2331</v>
      </c>
      <c r="H1095">
        <v>1500</v>
      </c>
      <c r="I1095" s="16" t="str">
        <f t="shared" si="17"/>
        <v>Normal</v>
      </c>
      <c r="J1095">
        <v>1</v>
      </c>
    </row>
    <row r="1096" spans="1:10">
      <c r="A1096" t="s">
        <v>3449</v>
      </c>
      <c r="B1096" t="s">
        <v>137</v>
      </c>
      <c r="C1096" t="s">
        <v>2193</v>
      </c>
      <c r="D1096" s="9">
        <v>45490</v>
      </c>
      <c r="E1096" t="s">
        <v>2337</v>
      </c>
      <c r="G1096" t="s">
        <v>2345</v>
      </c>
      <c r="H1096">
        <v>0</v>
      </c>
      <c r="I1096" s="16" t="str">
        <f t="shared" si="17"/>
        <v>Zero Amount</v>
      </c>
      <c r="J1096" t="s">
        <v>39</v>
      </c>
    </row>
    <row r="1097" spans="1:10">
      <c r="A1097" t="s">
        <v>3450</v>
      </c>
      <c r="B1097" t="s">
        <v>335</v>
      </c>
      <c r="C1097" t="s">
        <v>2222</v>
      </c>
      <c r="D1097" s="9">
        <v>46036</v>
      </c>
      <c r="E1097" t="s">
        <v>2324</v>
      </c>
      <c r="G1097" t="s">
        <v>2328</v>
      </c>
      <c r="H1097">
        <v>0</v>
      </c>
      <c r="I1097" s="16" t="str">
        <f t="shared" si="17"/>
        <v>Zero Amount</v>
      </c>
      <c r="J1097">
        <v>3</v>
      </c>
    </row>
    <row r="1098" spans="1:10">
      <c r="A1098" t="s">
        <v>3451</v>
      </c>
      <c r="B1098" t="s">
        <v>692</v>
      </c>
      <c r="C1098" t="s">
        <v>2269</v>
      </c>
      <c r="D1098" s="9">
        <v>45649</v>
      </c>
      <c r="E1098" t="s">
        <v>2330</v>
      </c>
      <c r="F1098" s="20">
        <v>100</v>
      </c>
      <c r="G1098" t="s">
        <v>2328</v>
      </c>
      <c r="H1098">
        <v>499</v>
      </c>
      <c r="I1098" s="16" t="str">
        <f t="shared" si="17"/>
        <v>Normal</v>
      </c>
      <c r="J1098">
        <v>4</v>
      </c>
    </row>
    <row r="1099" spans="1:10">
      <c r="A1099" t="s">
        <v>3452</v>
      </c>
      <c r="B1099" t="s">
        <v>566</v>
      </c>
      <c r="C1099" t="s">
        <v>2193</v>
      </c>
      <c r="D1099" s="9">
        <v>45480</v>
      </c>
      <c r="E1099" t="s">
        <v>2324</v>
      </c>
      <c r="F1099" s="20">
        <v>25</v>
      </c>
      <c r="G1099" t="s">
        <v>23</v>
      </c>
      <c r="H1099">
        <v>0</v>
      </c>
      <c r="I1099" s="16" t="str">
        <f t="shared" si="17"/>
        <v>Zero Amount</v>
      </c>
      <c r="J1099">
        <v>2</v>
      </c>
    </row>
    <row r="1100" spans="1:10">
      <c r="A1100" t="s">
        <v>3453</v>
      </c>
      <c r="B1100" t="s">
        <v>2642</v>
      </c>
      <c r="C1100" t="s">
        <v>2235</v>
      </c>
      <c r="D1100" s="9">
        <v>45872</v>
      </c>
      <c r="E1100" t="s">
        <v>2330</v>
      </c>
      <c r="G1100" t="s">
        <v>23</v>
      </c>
      <c r="H1100">
        <v>3000</v>
      </c>
      <c r="I1100" s="16" t="str">
        <f t="shared" si="17"/>
        <v>Normal</v>
      </c>
      <c r="J1100">
        <v>4</v>
      </c>
    </row>
    <row r="1101" spans="1:10">
      <c r="A1101" t="s">
        <v>3454</v>
      </c>
      <c r="B1101" t="s">
        <v>551</v>
      </c>
      <c r="C1101" t="s">
        <v>2259</v>
      </c>
      <c r="D1101" s="9">
        <v>45526</v>
      </c>
      <c r="E1101" t="s">
        <v>2337</v>
      </c>
      <c r="F1101" s="20">
        <v>5</v>
      </c>
      <c r="G1101" t="s">
        <v>2345</v>
      </c>
      <c r="H1101">
        <v>0</v>
      </c>
      <c r="I1101" s="16" t="str">
        <f t="shared" si="17"/>
        <v>Zero Amount</v>
      </c>
      <c r="J1101">
        <v>4</v>
      </c>
    </row>
    <row r="1102" spans="1:10">
      <c r="A1102" t="s">
        <v>3455</v>
      </c>
      <c r="B1102" t="s">
        <v>2054</v>
      </c>
      <c r="C1102" t="s">
        <v>2264</v>
      </c>
      <c r="D1102" s="9">
        <v>45166</v>
      </c>
      <c r="E1102" t="s">
        <v>23</v>
      </c>
      <c r="G1102" t="s">
        <v>2345</v>
      </c>
      <c r="H1102">
        <v>2500</v>
      </c>
      <c r="I1102" s="16" t="str">
        <f t="shared" si="17"/>
        <v>Normal</v>
      </c>
      <c r="J1102">
        <v>5</v>
      </c>
    </row>
    <row r="1103" spans="1:10">
      <c r="A1103" t="s">
        <v>3456</v>
      </c>
      <c r="B1103" t="s">
        <v>630</v>
      </c>
      <c r="C1103" t="s">
        <v>2247</v>
      </c>
      <c r="D1103" s="9">
        <v>45816</v>
      </c>
      <c r="E1103" t="s">
        <v>2324</v>
      </c>
      <c r="G1103" t="s">
        <v>2345</v>
      </c>
      <c r="I1103" s="16" t="str">
        <f t="shared" si="17"/>
        <v>Unknown</v>
      </c>
      <c r="J1103">
        <v>2</v>
      </c>
    </row>
    <row r="1104" spans="1:10">
      <c r="A1104" t="s">
        <v>3457</v>
      </c>
      <c r="B1104" t="s">
        <v>284</v>
      </c>
      <c r="C1104" t="s">
        <v>2213</v>
      </c>
      <c r="D1104" s="9">
        <v>45483</v>
      </c>
      <c r="E1104" t="s">
        <v>2330</v>
      </c>
      <c r="F1104" s="20">
        <v>100</v>
      </c>
      <c r="G1104" t="s">
        <v>2339</v>
      </c>
      <c r="H1104">
        <v>1500</v>
      </c>
      <c r="I1104" s="16" t="str">
        <f t="shared" si="17"/>
        <v>Normal</v>
      </c>
      <c r="J1104">
        <v>5</v>
      </c>
    </row>
    <row r="1105" spans="1:10">
      <c r="A1105" t="s">
        <v>3458</v>
      </c>
      <c r="B1105" t="s">
        <v>1191</v>
      </c>
      <c r="C1105" t="s">
        <v>2228</v>
      </c>
      <c r="D1105" s="9">
        <v>45886</v>
      </c>
      <c r="E1105" t="s">
        <v>2327</v>
      </c>
      <c r="F1105" s="20">
        <v>5</v>
      </c>
      <c r="G1105" t="s">
        <v>2328</v>
      </c>
      <c r="H1105">
        <v>799</v>
      </c>
      <c r="I1105" s="16" t="str">
        <f t="shared" si="17"/>
        <v>Normal</v>
      </c>
      <c r="J1105">
        <v>3</v>
      </c>
    </row>
    <row r="1106" spans="1:10">
      <c r="A1106" t="s">
        <v>3459</v>
      </c>
      <c r="B1106" t="s">
        <v>438</v>
      </c>
      <c r="C1106" t="s">
        <v>2235</v>
      </c>
      <c r="D1106" s="9">
        <v>45469</v>
      </c>
      <c r="E1106" t="s">
        <v>2324</v>
      </c>
      <c r="F1106" s="20">
        <v>55</v>
      </c>
      <c r="G1106" t="s">
        <v>2339</v>
      </c>
      <c r="H1106">
        <v>1755.93</v>
      </c>
      <c r="I1106" s="16" t="str">
        <f t="shared" si="17"/>
        <v>Normal</v>
      </c>
      <c r="J1106" t="s">
        <v>39</v>
      </c>
    </row>
    <row r="1107" spans="1:10">
      <c r="A1107" t="s">
        <v>3460</v>
      </c>
      <c r="B1107" t="s">
        <v>411</v>
      </c>
      <c r="C1107" t="s">
        <v>2198</v>
      </c>
      <c r="D1107" s="9">
        <v>45881</v>
      </c>
      <c r="E1107" t="s">
        <v>2327</v>
      </c>
      <c r="F1107" s="20">
        <v>0</v>
      </c>
      <c r="G1107" t="s">
        <v>2328</v>
      </c>
      <c r="I1107" s="16" t="str">
        <f t="shared" si="17"/>
        <v>Unknown</v>
      </c>
      <c r="J1107">
        <v>4</v>
      </c>
    </row>
    <row r="1108" spans="1:10">
      <c r="A1108" t="s">
        <v>3461</v>
      </c>
      <c r="B1108" t="s">
        <v>910</v>
      </c>
      <c r="C1108" t="s">
        <v>2267</v>
      </c>
      <c r="D1108" s="9">
        <v>45960</v>
      </c>
      <c r="E1108" t="s">
        <v>2324</v>
      </c>
      <c r="F1108" s="20">
        <v>25</v>
      </c>
      <c r="G1108" t="s">
        <v>2331</v>
      </c>
      <c r="H1108">
        <v>999.99</v>
      </c>
      <c r="I1108" s="16" t="str">
        <f t="shared" si="17"/>
        <v>Normal</v>
      </c>
      <c r="J1108">
        <v>5</v>
      </c>
    </row>
    <row r="1109" spans="1:10">
      <c r="A1109" t="s">
        <v>3462</v>
      </c>
      <c r="B1109" t="s">
        <v>1411</v>
      </c>
      <c r="C1109" t="s">
        <v>2202</v>
      </c>
      <c r="D1109" s="9">
        <v>45403</v>
      </c>
      <c r="E1109" t="s">
        <v>2330</v>
      </c>
      <c r="F1109" s="20">
        <v>100</v>
      </c>
      <c r="G1109" t="s">
        <v>2345</v>
      </c>
      <c r="H1109">
        <v>999.99</v>
      </c>
      <c r="I1109" s="16" t="str">
        <f t="shared" si="17"/>
        <v>Normal</v>
      </c>
      <c r="J1109">
        <v>5</v>
      </c>
    </row>
    <row r="1110" spans="1:10">
      <c r="A1110" t="s">
        <v>3463</v>
      </c>
      <c r="B1110" t="s">
        <v>1165</v>
      </c>
      <c r="C1110" t="s">
        <v>2218</v>
      </c>
      <c r="D1110" s="9">
        <v>45933</v>
      </c>
      <c r="E1110" t="s">
        <v>2330</v>
      </c>
      <c r="F1110" s="20">
        <v>100</v>
      </c>
      <c r="G1110" t="s">
        <v>2331</v>
      </c>
      <c r="H1110">
        <v>1149.79</v>
      </c>
      <c r="I1110" s="16" t="str">
        <f t="shared" si="17"/>
        <v>Normal</v>
      </c>
      <c r="J1110" t="s">
        <v>39</v>
      </c>
    </row>
    <row r="1111" spans="1:10">
      <c r="A1111" t="s">
        <v>3464</v>
      </c>
      <c r="B1111" t="s">
        <v>221</v>
      </c>
      <c r="C1111" t="s">
        <v>2205</v>
      </c>
      <c r="D1111" s="9">
        <v>45430</v>
      </c>
      <c r="E1111" t="s">
        <v>2330</v>
      </c>
      <c r="G1111" t="s">
        <v>2331</v>
      </c>
      <c r="H1111">
        <v>1500</v>
      </c>
      <c r="I1111" s="16" t="str">
        <f t="shared" si="17"/>
        <v>Normal</v>
      </c>
      <c r="J1111">
        <v>5</v>
      </c>
    </row>
    <row r="1112" spans="1:10">
      <c r="A1112" t="s">
        <v>3465</v>
      </c>
      <c r="B1112" t="s">
        <v>1606</v>
      </c>
      <c r="C1112" t="s">
        <v>2218</v>
      </c>
      <c r="D1112" s="9">
        <v>45529</v>
      </c>
      <c r="E1112" t="s">
        <v>2330</v>
      </c>
      <c r="F1112" s="20">
        <v>100</v>
      </c>
      <c r="G1112" t="s">
        <v>2345</v>
      </c>
      <c r="H1112">
        <v>1081.46</v>
      </c>
      <c r="I1112" s="16" t="str">
        <f t="shared" si="17"/>
        <v>Normal</v>
      </c>
      <c r="J1112">
        <v>1</v>
      </c>
    </row>
    <row r="1113" spans="1:10">
      <c r="A1113" t="s">
        <v>3466</v>
      </c>
      <c r="B1113" t="s">
        <v>411</v>
      </c>
      <c r="C1113" t="s">
        <v>2231</v>
      </c>
      <c r="D1113" s="9">
        <v>46102</v>
      </c>
      <c r="E1113" t="s">
        <v>2324</v>
      </c>
      <c r="F1113" s="20">
        <v>25</v>
      </c>
      <c r="G1113" t="s">
        <v>23</v>
      </c>
      <c r="H1113">
        <v>3000</v>
      </c>
      <c r="I1113" s="16" t="str">
        <f t="shared" si="17"/>
        <v>Normal</v>
      </c>
      <c r="J1113">
        <v>5</v>
      </c>
    </row>
    <row r="1114" spans="1:10">
      <c r="A1114" t="s">
        <v>3467</v>
      </c>
      <c r="B1114" t="s">
        <v>1902</v>
      </c>
      <c r="C1114" t="s">
        <v>2209</v>
      </c>
      <c r="D1114" s="9">
        <v>45805</v>
      </c>
      <c r="E1114" t="s">
        <v>2324</v>
      </c>
      <c r="F1114" s="20">
        <v>10</v>
      </c>
      <c r="G1114" t="s">
        <v>23</v>
      </c>
      <c r="I1114" s="16" t="str">
        <f t="shared" si="17"/>
        <v>Unknown</v>
      </c>
      <c r="J1114" t="s">
        <v>39</v>
      </c>
    </row>
    <row r="1115" spans="1:10">
      <c r="A1115" t="s">
        <v>3468</v>
      </c>
      <c r="B1115" t="s">
        <v>1544</v>
      </c>
      <c r="C1115" t="s">
        <v>2244</v>
      </c>
      <c r="D1115" s="9">
        <v>45510</v>
      </c>
      <c r="E1115" t="s">
        <v>2324</v>
      </c>
      <c r="F1115" s="20">
        <v>75</v>
      </c>
      <c r="G1115" t="s">
        <v>2328</v>
      </c>
      <c r="I1115" s="16" t="str">
        <f t="shared" si="17"/>
        <v>Unknown</v>
      </c>
      <c r="J1115">
        <v>1</v>
      </c>
    </row>
    <row r="1116" spans="1:10">
      <c r="A1116" t="s">
        <v>3469</v>
      </c>
      <c r="B1116" t="s">
        <v>671</v>
      </c>
      <c r="C1116" t="s">
        <v>2247</v>
      </c>
      <c r="D1116" s="9">
        <v>45615</v>
      </c>
      <c r="E1116" t="s">
        <v>2324</v>
      </c>
      <c r="F1116" s="20">
        <v>75</v>
      </c>
      <c r="G1116" t="s">
        <v>23</v>
      </c>
      <c r="I1116" s="16" t="str">
        <f t="shared" si="17"/>
        <v>Unknown</v>
      </c>
      <c r="J1116">
        <v>5</v>
      </c>
    </row>
    <row r="1117" spans="1:10">
      <c r="A1117" t="s">
        <v>3470</v>
      </c>
      <c r="B1117" t="s">
        <v>896</v>
      </c>
      <c r="C1117" t="s">
        <v>2261</v>
      </c>
      <c r="D1117" s="9">
        <v>45997</v>
      </c>
      <c r="E1117" t="s">
        <v>2330</v>
      </c>
      <c r="F1117" s="20">
        <v>100</v>
      </c>
      <c r="G1117" t="s">
        <v>2331</v>
      </c>
      <c r="I1117" s="16" t="str">
        <f t="shared" si="17"/>
        <v>Unknown</v>
      </c>
      <c r="J1117">
        <v>5</v>
      </c>
    </row>
    <row r="1118" spans="1:10">
      <c r="A1118" t="s">
        <v>3471</v>
      </c>
      <c r="B1118" t="s">
        <v>1907</v>
      </c>
      <c r="C1118" t="s">
        <v>2209</v>
      </c>
      <c r="D1118" s="9">
        <v>45729</v>
      </c>
      <c r="E1118" t="s">
        <v>2324</v>
      </c>
      <c r="F1118" s="20">
        <v>55</v>
      </c>
      <c r="G1118" t="s">
        <v>23</v>
      </c>
      <c r="H1118">
        <v>499</v>
      </c>
      <c r="I1118" s="16" t="str">
        <f t="shared" si="17"/>
        <v>Normal</v>
      </c>
      <c r="J1118" t="s">
        <v>39</v>
      </c>
    </row>
    <row r="1119" spans="1:10">
      <c r="A1119" t="s">
        <v>3472</v>
      </c>
      <c r="B1119" t="s">
        <v>125</v>
      </c>
      <c r="C1119" t="s">
        <v>2237</v>
      </c>
      <c r="D1119" s="9">
        <v>46114</v>
      </c>
      <c r="E1119" t="s">
        <v>2337</v>
      </c>
      <c r="F1119" s="20">
        <v>20</v>
      </c>
      <c r="G1119" t="s">
        <v>2345</v>
      </c>
      <c r="H1119">
        <v>1500</v>
      </c>
      <c r="I1119" s="16" t="str">
        <f t="shared" si="17"/>
        <v>Normal</v>
      </c>
      <c r="J1119" t="s">
        <v>39</v>
      </c>
    </row>
    <row r="1120" spans="1:10">
      <c r="A1120" t="s">
        <v>3473</v>
      </c>
      <c r="B1120" t="s">
        <v>1504</v>
      </c>
      <c r="C1120" t="s">
        <v>2269</v>
      </c>
      <c r="D1120" s="9">
        <v>45947</v>
      </c>
      <c r="E1120" t="s">
        <v>2330</v>
      </c>
      <c r="F1120" s="20">
        <v>100</v>
      </c>
      <c r="G1120" t="s">
        <v>2339</v>
      </c>
      <c r="H1120">
        <v>499</v>
      </c>
      <c r="I1120" s="16" t="str">
        <f t="shared" si="17"/>
        <v>Normal</v>
      </c>
      <c r="J1120">
        <v>4</v>
      </c>
    </row>
    <row r="1121" spans="1:10">
      <c r="A1121" t="s">
        <v>3474</v>
      </c>
      <c r="B1121" t="s">
        <v>90</v>
      </c>
      <c r="C1121" t="s">
        <v>2228</v>
      </c>
      <c r="D1121" s="9">
        <v>45673</v>
      </c>
      <c r="E1121" t="s">
        <v>2337</v>
      </c>
      <c r="G1121" t="s">
        <v>2339</v>
      </c>
      <c r="H1121">
        <v>799</v>
      </c>
      <c r="I1121" s="16" t="str">
        <f t="shared" si="17"/>
        <v>Normal</v>
      </c>
      <c r="J1121" t="s">
        <v>39</v>
      </c>
    </row>
    <row r="1122" spans="1:10">
      <c r="A1122" t="s">
        <v>3475</v>
      </c>
      <c r="B1122" t="s">
        <v>701</v>
      </c>
      <c r="C1122" t="s">
        <v>2216</v>
      </c>
      <c r="D1122" s="9">
        <v>45239</v>
      </c>
      <c r="E1122" t="s">
        <v>2324</v>
      </c>
      <c r="F1122" s="20">
        <v>40</v>
      </c>
      <c r="G1122" t="s">
        <v>2328</v>
      </c>
      <c r="H1122">
        <v>1200</v>
      </c>
      <c r="I1122" s="16" t="str">
        <f t="shared" si="17"/>
        <v>Normal</v>
      </c>
      <c r="J1122" t="s">
        <v>39</v>
      </c>
    </row>
    <row r="1123" spans="1:10">
      <c r="A1123" t="s">
        <v>3476</v>
      </c>
      <c r="B1123" t="s">
        <v>1373</v>
      </c>
      <c r="C1123" t="s">
        <v>2187</v>
      </c>
      <c r="D1123" s="9">
        <v>45571</v>
      </c>
      <c r="E1123" t="s">
        <v>23</v>
      </c>
      <c r="G1123" t="s">
        <v>2328</v>
      </c>
      <c r="H1123">
        <v>799</v>
      </c>
      <c r="I1123" s="16" t="str">
        <f t="shared" si="17"/>
        <v>Normal</v>
      </c>
      <c r="J1123" t="s">
        <v>39</v>
      </c>
    </row>
    <row r="1124" spans="1:10">
      <c r="A1124" t="s">
        <v>3477</v>
      </c>
      <c r="B1124" t="s">
        <v>2104</v>
      </c>
      <c r="C1124" t="s">
        <v>2205</v>
      </c>
      <c r="D1124" s="9">
        <v>46144</v>
      </c>
      <c r="E1124" t="s">
        <v>2324</v>
      </c>
      <c r="F1124" s="20">
        <v>60</v>
      </c>
      <c r="G1124" t="s">
        <v>2339</v>
      </c>
      <c r="H1124">
        <v>1500</v>
      </c>
      <c r="I1124" s="16" t="str">
        <f t="shared" si="17"/>
        <v>Normal</v>
      </c>
      <c r="J1124" t="s">
        <v>39</v>
      </c>
    </row>
    <row r="1125" spans="1:10">
      <c r="A1125" t="s">
        <v>3478</v>
      </c>
      <c r="B1125" t="s">
        <v>1239</v>
      </c>
      <c r="C1125" t="s">
        <v>2247</v>
      </c>
      <c r="D1125" s="9">
        <v>45450</v>
      </c>
      <c r="E1125" t="s">
        <v>23</v>
      </c>
      <c r="G1125" t="s">
        <v>2345</v>
      </c>
      <c r="I1125" s="16" t="str">
        <f t="shared" si="17"/>
        <v>Unknown</v>
      </c>
      <c r="J1125">
        <v>4</v>
      </c>
    </row>
    <row r="1126" spans="1:10">
      <c r="A1126" t="s">
        <v>3479</v>
      </c>
      <c r="B1126" t="s">
        <v>900</v>
      </c>
      <c r="C1126" t="s">
        <v>2233</v>
      </c>
      <c r="D1126" s="9">
        <v>45774</v>
      </c>
      <c r="E1126" t="s">
        <v>2330</v>
      </c>
      <c r="G1126" t="s">
        <v>2339</v>
      </c>
      <c r="H1126">
        <v>2500</v>
      </c>
      <c r="I1126" s="16" t="str">
        <f t="shared" si="17"/>
        <v>Normal</v>
      </c>
      <c r="J1126">
        <v>5</v>
      </c>
    </row>
    <row r="1127" spans="1:10">
      <c r="A1127" t="s">
        <v>3480</v>
      </c>
      <c r="B1127" t="s">
        <v>502</v>
      </c>
      <c r="C1127" t="s">
        <v>2271</v>
      </c>
      <c r="D1127" s="9">
        <v>45540</v>
      </c>
      <c r="E1127" t="s">
        <v>2324</v>
      </c>
      <c r="G1127" t="s">
        <v>2325</v>
      </c>
      <c r="H1127">
        <v>1200</v>
      </c>
      <c r="I1127" s="16" t="str">
        <f t="shared" si="17"/>
        <v>Normal</v>
      </c>
      <c r="J1127" t="s">
        <v>39</v>
      </c>
    </row>
    <row r="1128" spans="1:10">
      <c r="A1128" t="s">
        <v>3481</v>
      </c>
      <c r="B1128" t="s">
        <v>2010</v>
      </c>
      <c r="C1128" t="s">
        <v>2233</v>
      </c>
      <c r="D1128" s="9">
        <v>45147</v>
      </c>
      <c r="E1128" t="s">
        <v>2330</v>
      </c>
      <c r="G1128" t="s">
        <v>2339</v>
      </c>
      <c r="H1128">
        <v>2500</v>
      </c>
      <c r="I1128" s="16" t="str">
        <f t="shared" si="17"/>
        <v>Normal</v>
      </c>
      <c r="J1128">
        <v>5</v>
      </c>
    </row>
    <row r="1129" spans="1:10">
      <c r="A1129" t="s">
        <v>3482</v>
      </c>
      <c r="B1129" t="s">
        <v>1137</v>
      </c>
      <c r="C1129" t="s">
        <v>2271</v>
      </c>
      <c r="D1129" s="9">
        <v>46031</v>
      </c>
      <c r="E1129" t="s">
        <v>2324</v>
      </c>
      <c r="G1129" t="s">
        <v>2331</v>
      </c>
      <c r="H1129">
        <v>1200</v>
      </c>
      <c r="I1129" s="16" t="str">
        <f t="shared" si="17"/>
        <v>Normal</v>
      </c>
      <c r="J1129">
        <v>4</v>
      </c>
    </row>
    <row r="1130" spans="1:10">
      <c r="A1130" t="s">
        <v>3483</v>
      </c>
      <c r="B1130" t="s">
        <v>350</v>
      </c>
      <c r="C1130" t="s">
        <v>2222</v>
      </c>
      <c r="D1130" s="9">
        <v>45272</v>
      </c>
      <c r="E1130" t="s">
        <v>23</v>
      </c>
      <c r="G1130" t="s">
        <v>2345</v>
      </c>
      <c r="H1130">
        <v>0</v>
      </c>
      <c r="I1130" s="16" t="str">
        <f t="shared" si="17"/>
        <v>Zero Amount</v>
      </c>
      <c r="J1130">
        <v>5</v>
      </c>
    </row>
    <row r="1131" spans="1:10">
      <c r="A1131" t="s">
        <v>3484</v>
      </c>
      <c r="B1131" t="s">
        <v>2642</v>
      </c>
      <c r="C1131" t="s">
        <v>2198</v>
      </c>
      <c r="D1131" s="9">
        <v>45026</v>
      </c>
      <c r="E1131" t="s">
        <v>2327</v>
      </c>
      <c r="F1131" s="20">
        <v>5</v>
      </c>
      <c r="G1131" t="s">
        <v>2328</v>
      </c>
      <c r="I1131" s="16" t="str">
        <f t="shared" si="17"/>
        <v>Unknown</v>
      </c>
      <c r="J1131">
        <v>5</v>
      </c>
    </row>
    <row r="1132" spans="1:10">
      <c r="A1132" t="s">
        <v>3485</v>
      </c>
      <c r="B1132" t="s">
        <v>1773</v>
      </c>
      <c r="C1132" t="s">
        <v>2213</v>
      </c>
      <c r="D1132" s="9">
        <v>45214</v>
      </c>
      <c r="E1132" t="s">
        <v>2327</v>
      </c>
      <c r="F1132" s="20">
        <v>0</v>
      </c>
      <c r="G1132" t="s">
        <v>2328</v>
      </c>
      <c r="H1132">
        <v>-1500</v>
      </c>
      <c r="I1132" s="16" t="str">
        <f t="shared" si="17"/>
        <v>Review</v>
      </c>
      <c r="J1132">
        <v>4</v>
      </c>
    </row>
    <row r="1133" spans="1:10">
      <c r="A1133" t="s">
        <v>3486</v>
      </c>
      <c r="B1133" t="s">
        <v>324</v>
      </c>
      <c r="C1133" t="s">
        <v>2249</v>
      </c>
      <c r="D1133" s="9">
        <v>46121</v>
      </c>
      <c r="E1133" t="s">
        <v>23</v>
      </c>
      <c r="G1133" t="s">
        <v>23</v>
      </c>
      <c r="H1133">
        <v>1500</v>
      </c>
      <c r="I1133" s="16" t="str">
        <f t="shared" si="17"/>
        <v>Normal</v>
      </c>
      <c r="J1133">
        <v>5</v>
      </c>
    </row>
    <row r="1134" spans="1:10">
      <c r="A1134" t="s">
        <v>3487</v>
      </c>
      <c r="B1134" t="s">
        <v>1438</v>
      </c>
      <c r="C1134" t="s">
        <v>2244</v>
      </c>
      <c r="D1134" s="9">
        <v>45620</v>
      </c>
      <c r="E1134" t="s">
        <v>2337</v>
      </c>
      <c r="G1134" t="s">
        <v>2339</v>
      </c>
      <c r="H1134">
        <v>1200</v>
      </c>
      <c r="I1134" s="16" t="str">
        <f t="shared" si="17"/>
        <v>Normal</v>
      </c>
      <c r="J1134">
        <v>5</v>
      </c>
    </row>
    <row r="1135" spans="1:10">
      <c r="A1135" t="s">
        <v>3488</v>
      </c>
      <c r="B1135" t="s">
        <v>513</v>
      </c>
      <c r="C1135" t="s">
        <v>2225</v>
      </c>
      <c r="D1135" s="9">
        <v>45930</v>
      </c>
      <c r="E1135" t="s">
        <v>2330</v>
      </c>
      <c r="F1135" s="20">
        <v>100</v>
      </c>
      <c r="G1135" t="s">
        <v>2345</v>
      </c>
      <c r="I1135" s="16" t="str">
        <f t="shared" si="17"/>
        <v>Unknown</v>
      </c>
      <c r="J1135">
        <v>5</v>
      </c>
    </row>
    <row r="1136" spans="1:10">
      <c r="A1136" t="s">
        <v>3489</v>
      </c>
      <c r="B1136" t="s">
        <v>1970</v>
      </c>
      <c r="C1136" t="s">
        <v>2225</v>
      </c>
      <c r="D1136" s="9">
        <v>46173</v>
      </c>
      <c r="E1136" t="s">
        <v>2330</v>
      </c>
      <c r="F1136" s="20">
        <v>100</v>
      </c>
      <c r="G1136" t="s">
        <v>2325</v>
      </c>
      <c r="I1136" s="16" t="str">
        <f t="shared" si="17"/>
        <v>Unknown</v>
      </c>
      <c r="J1136">
        <v>4</v>
      </c>
    </row>
    <row r="1137" spans="1:10">
      <c r="A1137" t="s">
        <v>3490</v>
      </c>
      <c r="B1137" t="s">
        <v>1383</v>
      </c>
      <c r="C1137" t="s">
        <v>2193</v>
      </c>
      <c r="D1137" s="9">
        <v>45984</v>
      </c>
      <c r="E1137" t="s">
        <v>2330</v>
      </c>
      <c r="G1137" t="s">
        <v>2331</v>
      </c>
      <c r="H1137">
        <v>0</v>
      </c>
      <c r="I1137" s="16" t="str">
        <f t="shared" si="17"/>
        <v>Zero Amount</v>
      </c>
      <c r="J1137" t="s">
        <v>39</v>
      </c>
    </row>
    <row r="1138" spans="1:10">
      <c r="A1138" t="s">
        <v>3491</v>
      </c>
      <c r="B1138" t="s">
        <v>1456</v>
      </c>
      <c r="C1138" t="s">
        <v>2231</v>
      </c>
      <c r="D1138" s="9">
        <v>45900</v>
      </c>
      <c r="E1138" t="s">
        <v>2324</v>
      </c>
      <c r="F1138" s="20">
        <v>75</v>
      </c>
      <c r="G1138" t="s">
        <v>2345</v>
      </c>
      <c r="H1138">
        <v>3000</v>
      </c>
      <c r="I1138" s="16" t="str">
        <f t="shared" si="17"/>
        <v>Normal</v>
      </c>
      <c r="J1138">
        <v>5</v>
      </c>
    </row>
    <row r="1139" spans="1:10">
      <c r="A1139" t="s">
        <v>3492</v>
      </c>
      <c r="B1139" t="s">
        <v>495</v>
      </c>
      <c r="C1139" t="s">
        <v>2209</v>
      </c>
      <c r="D1139" s="9">
        <v>45446</v>
      </c>
      <c r="E1139" t="s">
        <v>2327</v>
      </c>
      <c r="F1139" s="20">
        <v>15</v>
      </c>
      <c r="G1139" t="s">
        <v>2339</v>
      </c>
      <c r="H1139">
        <v>499</v>
      </c>
      <c r="I1139" s="16" t="str">
        <f t="shared" si="17"/>
        <v>Normal</v>
      </c>
      <c r="J1139">
        <v>3</v>
      </c>
    </row>
    <row r="1140" spans="1:10">
      <c r="A1140" t="s">
        <v>3493</v>
      </c>
      <c r="B1140" t="s">
        <v>2351</v>
      </c>
      <c r="C1140" t="s">
        <v>2231</v>
      </c>
      <c r="D1140" s="9">
        <v>46084</v>
      </c>
      <c r="E1140" t="s">
        <v>2337</v>
      </c>
      <c r="F1140" s="20">
        <v>5</v>
      </c>
      <c r="G1140" t="s">
        <v>2345</v>
      </c>
      <c r="H1140">
        <v>3000</v>
      </c>
      <c r="I1140" s="16" t="str">
        <f t="shared" si="17"/>
        <v>Normal</v>
      </c>
      <c r="J1140" t="s">
        <v>39</v>
      </c>
    </row>
    <row r="1141" spans="1:10">
      <c r="A1141" t="s">
        <v>3494</v>
      </c>
      <c r="B1141" t="s">
        <v>721</v>
      </c>
      <c r="C1141" t="s">
        <v>2251</v>
      </c>
      <c r="D1141" s="9">
        <v>45288</v>
      </c>
      <c r="E1141" t="s">
        <v>2327</v>
      </c>
      <c r="G1141" t="s">
        <v>2328</v>
      </c>
      <c r="H1141">
        <v>858.91</v>
      </c>
      <c r="I1141" s="16" t="str">
        <f t="shared" si="17"/>
        <v>Normal</v>
      </c>
      <c r="J1141">
        <v>4</v>
      </c>
    </row>
    <row r="1142" spans="1:10">
      <c r="A1142" t="s">
        <v>3495</v>
      </c>
      <c r="B1142" t="s">
        <v>854</v>
      </c>
      <c r="C1142" t="s">
        <v>2269</v>
      </c>
      <c r="D1142" s="9">
        <v>46076</v>
      </c>
      <c r="E1142" t="s">
        <v>2324</v>
      </c>
      <c r="F1142" s="20">
        <v>40</v>
      </c>
      <c r="G1142" t="s">
        <v>2331</v>
      </c>
      <c r="H1142">
        <v>339.95</v>
      </c>
      <c r="I1142" s="16" t="str">
        <f t="shared" si="17"/>
        <v>Normal</v>
      </c>
      <c r="J1142">
        <v>4</v>
      </c>
    </row>
    <row r="1143" spans="1:10">
      <c r="A1143" t="s">
        <v>3496</v>
      </c>
      <c r="B1143" t="s">
        <v>1239</v>
      </c>
      <c r="C1143" t="s">
        <v>2209</v>
      </c>
      <c r="D1143" s="9">
        <v>45926</v>
      </c>
      <c r="E1143" t="s">
        <v>2324</v>
      </c>
      <c r="F1143" s="20">
        <v>75</v>
      </c>
      <c r="G1143" t="s">
        <v>2331</v>
      </c>
      <c r="I1143" s="16" t="str">
        <f t="shared" si="17"/>
        <v>Unknown</v>
      </c>
      <c r="J1143">
        <v>5</v>
      </c>
    </row>
    <row r="1144" spans="1:10">
      <c r="A1144" t="s">
        <v>3497</v>
      </c>
      <c r="B1144" t="s">
        <v>1454</v>
      </c>
      <c r="C1144" t="s">
        <v>2209</v>
      </c>
      <c r="D1144" s="9">
        <v>45558</v>
      </c>
      <c r="E1144" t="s">
        <v>2327</v>
      </c>
      <c r="F1144" s="20">
        <v>20</v>
      </c>
      <c r="G1144" t="s">
        <v>2325</v>
      </c>
      <c r="H1144">
        <v>373.79</v>
      </c>
      <c r="I1144" s="16" t="str">
        <f t="shared" si="17"/>
        <v>Normal</v>
      </c>
      <c r="J1144">
        <v>4</v>
      </c>
    </row>
    <row r="1145" spans="1:10">
      <c r="A1145" t="s">
        <v>3498</v>
      </c>
      <c r="B1145" t="s">
        <v>1295</v>
      </c>
      <c r="C1145" t="s">
        <v>2241</v>
      </c>
      <c r="D1145" s="9">
        <v>45168</v>
      </c>
      <c r="E1145" t="s">
        <v>2324</v>
      </c>
      <c r="F1145" s="20">
        <v>10</v>
      </c>
      <c r="G1145" t="s">
        <v>2331</v>
      </c>
      <c r="H1145">
        <v>2500</v>
      </c>
      <c r="I1145" s="16" t="str">
        <f t="shared" si="17"/>
        <v>Normal</v>
      </c>
      <c r="J1145">
        <v>1</v>
      </c>
    </row>
    <row r="1146" spans="1:10">
      <c r="A1146" t="s">
        <v>3499</v>
      </c>
      <c r="B1146" t="s">
        <v>2069</v>
      </c>
      <c r="C1146" t="s">
        <v>2257</v>
      </c>
      <c r="D1146" s="9">
        <v>45768</v>
      </c>
      <c r="E1146" t="s">
        <v>2324</v>
      </c>
      <c r="F1146" s="20">
        <v>40</v>
      </c>
      <c r="G1146" t="s">
        <v>23</v>
      </c>
      <c r="I1146" s="16" t="str">
        <f t="shared" si="17"/>
        <v>Unknown</v>
      </c>
      <c r="J1146" t="s">
        <v>39</v>
      </c>
    </row>
    <row r="1147" spans="1:10">
      <c r="A1147" t="s">
        <v>3500</v>
      </c>
      <c r="B1147" t="s">
        <v>1922</v>
      </c>
      <c r="C1147" t="s">
        <v>2218</v>
      </c>
      <c r="D1147" s="9">
        <v>45223</v>
      </c>
      <c r="E1147" t="s">
        <v>2324</v>
      </c>
      <c r="F1147" s="20">
        <v>10</v>
      </c>
      <c r="G1147" t="s">
        <v>23</v>
      </c>
      <c r="H1147">
        <v>1500</v>
      </c>
      <c r="I1147" s="16" t="str">
        <f t="shared" si="17"/>
        <v>Normal</v>
      </c>
      <c r="J1147">
        <v>4</v>
      </c>
    </row>
    <row r="1148" spans="1:10">
      <c r="A1148" t="s">
        <v>3501</v>
      </c>
      <c r="B1148" t="s">
        <v>1095</v>
      </c>
      <c r="C1148" t="s">
        <v>2267</v>
      </c>
      <c r="D1148" s="9">
        <v>46113</v>
      </c>
      <c r="E1148" t="s">
        <v>2330</v>
      </c>
      <c r="F1148" s="20">
        <v>100</v>
      </c>
      <c r="G1148" t="s">
        <v>2331</v>
      </c>
      <c r="H1148">
        <v>999.99</v>
      </c>
      <c r="I1148" s="16" t="str">
        <f t="shared" si="17"/>
        <v>Normal</v>
      </c>
      <c r="J1148" t="s">
        <v>39</v>
      </c>
    </row>
    <row r="1149" spans="1:10">
      <c r="A1149" t="s">
        <v>3502</v>
      </c>
      <c r="B1149" t="s">
        <v>1898</v>
      </c>
      <c r="C1149" t="s">
        <v>2267</v>
      </c>
      <c r="D1149" s="9">
        <v>45177</v>
      </c>
      <c r="E1149" t="s">
        <v>2324</v>
      </c>
      <c r="G1149" t="s">
        <v>23</v>
      </c>
      <c r="H1149">
        <v>999.99</v>
      </c>
      <c r="I1149" s="16" t="str">
        <f t="shared" si="17"/>
        <v>Normal</v>
      </c>
      <c r="J1149" t="s">
        <v>39</v>
      </c>
    </row>
    <row r="1150" spans="1:10">
      <c r="A1150" t="s">
        <v>3503</v>
      </c>
      <c r="B1150" t="s">
        <v>645</v>
      </c>
      <c r="C1150" t="s">
        <v>2193</v>
      </c>
      <c r="D1150" s="9">
        <v>45934</v>
      </c>
      <c r="E1150" t="s">
        <v>2324</v>
      </c>
      <c r="F1150" s="20">
        <v>60</v>
      </c>
      <c r="G1150" t="s">
        <v>2345</v>
      </c>
      <c r="H1150">
        <v>0</v>
      </c>
      <c r="I1150" s="16" t="str">
        <f t="shared" si="17"/>
        <v>Zero Amount</v>
      </c>
      <c r="J1150">
        <v>1</v>
      </c>
    </row>
    <row r="1151" spans="1:10">
      <c r="A1151" t="s">
        <v>3504</v>
      </c>
      <c r="B1151" t="s">
        <v>357</v>
      </c>
      <c r="C1151" t="s">
        <v>2267</v>
      </c>
      <c r="D1151" s="9">
        <v>45762</v>
      </c>
      <c r="E1151" t="s">
        <v>2330</v>
      </c>
      <c r="F1151" s="20">
        <v>100</v>
      </c>
      <c r="G1151" t="s">
        <v>2331</v>
      </c>
      <c r="H1151">
        <v>999.99</v>
      </c>
      <c r="I1151" s="16" t="str">
        <f t="shared" si="17"/>
        <v>Normal</v>
      </c>
      <c r="J1151">
        <v>4</v>
      </c>
    </row>
    <row r="1152" spans="1:10">
      <c r="A1152" t="s">
        <v>3505</v>
      </c>
      <c r="B1152" t="s">
        <v>1118</v>
      </c>
      <c r="C1152" t="s">
        <v>2235</v>
      </c>
      <c r="D1152" s="9">
        <v>46019</v>
      </c>
      <c r="E1152" t="s">
        <v>2324</v>
      </c>
      <c r="G1152" t="s">
        <v>2325</v>
      </c>
      <c r="H1152">
        <v>3000</v>
      </c>
      <c r="I1152" s="16" t="str">
        <f t="shared" si="17"/>
        <v>Normal</v>
      </c>
      <c r="J1152">
        <v>3</v>
      </c>
    </row>
    <row r="1153" spans="1:10">
      <c r="A1153" t="s">
        <v>3506</v>
      </c>
      <c r="B1153" t="s">
        <v>678</v>
      </c>
      <c r="C1153" t="s">
        <v>2228</v>
      </c>
      <c r="D1153" s="9">
        <v>46110</v>
      </c>
      <c r="E1153" t="s">
        <v>2330</v>
      </c>
      <c r="F1153" s="20">
        <v>100</v>
      </c>
      <c r="G1153" t="s">
        <v>2331</v>
      </c>
      <c r="H1153">
        <v>799</v>
      </c>
      <c r="I1153" s="16" t="str">
        <f t="shared" si="17"/>
        <v>Normal</v>
      </c>
      <c r="J1153">
        <v>4</v>
      </c>
    </row>
    <row r="1154" spans="1:10">
      <c r="A1154" t="s">
        <v>3507</v>
      </c>
      <c r="B1154" t="s">
        <v>910</v>
      </c>
      <c r="C1154" t="s">
        <v>2264</v>
      </c>
      <c r="D1154" s="9">
        <v>45449</v>
      </c>
      <c r="E1154" t="s">
        <v>23</v>
      </c>
      <c r="G1154" t="s">
        <v>2345</v>
      </c>
      <c r="I1154" s="16" t="str">
        <f t="shared" si="17"/>
        <v>Unknown</v>
      </c>
      <c r="J1154">
        <v>3</v>
      </c>
    </row>
    <row r="1155" spans="1:10">
      <c r="A1155" t="s">
        <v>3508</v>
      </c>
      <c r="B1155" t="s">
        <v>589</v>
      </c>
      <c r="C1155" t="s">
        <v>2257</v>
      </c>
      <c r="D1155" s="9">
        <v>45863</v>
      </c>
      <c r="E1155" t="s">
        <v>2324</v>
      </c>
      <c r="F1155" s="20">
        <v>40</v>
      </c>
      <c r="G1155" t="s">
        <v>2331</v>
      </c>
      <c r="I1155" s="16" t="str">
        <f t="shared" ref="I1155:I1218" si="18">IF(H1155="", "Unknown", IF(H1155=0, "Zero Amount", IF(H1155&lt;1, "Review", IF(H1155&gt;1, "Normal"))))</f>
        <v>Unknown</v>
      </c>
      <c r="J1155" t="s">
        <v>39</v>
      </c>
    </row>
    <row r="1156" spans="1:10">
      <c r="A1156" t="s">
        <v>3509</v>
      </c>
      <c r="B1156" t="s">
        <v>692</v>
      </c>
      <c r="C1156" t="s">
        <v>2235</v>
      </c>
      <c r="D1156" s="9">
        <v>45481</v>
      </c>
      <c r="E1156" t="s">
        <v>2324</v>
      </c>
      <c r="F1156" s="20">
        <v>75</v>
      </c>
      <c r="G1156" t="s">
        <v>2345</v>
      </c>
      <c r="H1156">
        <v>2286.25</v>
      </c>
      <c r="I1156" s="16" t="str">
        <f t="shared" si="18"/>
        <v>Normal</v>
      </c>
      <c r="J1156">
        <v>4</v>
      </c>
    </row>
    <row r="1157" spans="1:10">
      <c r="A1157" t="s">
        <v>3510</v>
      </c>
      <c r="B1157" t="s">
        <v>520</v>
      </c>
      <c r="C1157" t="s">
        <v>2261</v>
      </c>
      <c r="D1157" s="9">
        <v>46240</v>
      </c>
      <c r="E1157" t="s">
        <v>2330</v>
      </c>
      <c r="F1157" s="20">
        <v>100</v>
      </c>
      <c r="G1157" t="s">
        <v>2325</v>
      </c>
      <c r="I1157" s="16" t="str">
        <f t="shared" si="18"/>
        <v>Unknown</v>
      </c>
      <c r="J1157">
        <v>2</v>
      </c>
    </row>
    <row r="1158" spans="1:10">
      <c r="A1158" t="s">
        <v>3511</v>
      </c>
      <c r="B1158" t="s">
        <v>1904</v>
      </c>
      <c r="C1158" t="s">
        <v>2241</v>
      </c>
      <c r="D1158" s="9">
        <v>45726</v>
      </c>
      <c r="E1158" t="s">
        <v>2324</v>
      </c>
      <c r="F1158" s="20">
        <v>55</v>
      </c>
      <c r="G1158" t="s">
        <v>2331</v>
      </c>
      <c r="H1158">
        <v>2500</v>
      </c>
      <c r="I1158" s="16" t="str">
        <f t="shared" si="18"/>
        <v>Normal</v>
      </c>
      <c r="J1158" t="s">
        <v>39</v>
      </c>
    </row>
    <row r="1159" spans="1:10">
      <c r="A1159" t="s">
        <v>3512</v>
      </c>
      <c r="B1159" t="s">
        <v>2061</v>
      </c>
      <c r="C1159" t="s">
        <v>2264</v>
      </c>
      <c r="D1159" s="9">
        <v>45316</v>
      </c>
      <c r="E1159" t="s">
        <v>2337</v>
      </c>
      <c r="F1159" s="20">
        <v>0</v>
      </c>
      <c r="G1159" t="s">
        <v>2328</v>
      </c>
      <c r="H1159">
        <v>2500</v>
      </c>
      <c r="I1159" s="16" t="str">
        <f t="shared" si="18"/>
        <v>Normal</v>
      </c>
      <c r="J1159">
        <v>3</v>
      </c>
    </row>
    <row r="1160" spans="1:10">
      <c r="A1160" t="s">
        <v>3513</v>
      </c>
      <c r="B1160" t="s">
        <v>1676</v>
      </c>
      <c r="C1160" t="s">
        <v>2244</v>
      </c>
      <c r="D1160" s="9">
        <v>45374</v>
      </c>
      <c r="E1160" t="s">
        <v>2330</v>
      </c>
      <c r="G1160" t="s">
        <v>2339</v>
      </c>
      <c r="H1160">
        <v>1200</v>
      </c>
      <c r="I1160" s="16" t="str">
        <f t="shared" si="18"/>
        <v>Normal</v>
      </c>
      <c r="J1160">
        <v>2</v>
      </c>
    </row>
    <row r="1161" spans="1:10">
      <c r="A1161" t="s">
        <v>3514</v>
      </c>
      <c r="B1161" t="s">
        <v>1827</v>
      </c>
      <c r="C1161" t="s">
        <v>2257</v>
      </c>
      <c r="D1161" s="9">
        <v>45636</v>
      </c>
      <c r="E1161" t="s">
        <v>2324</v>
      </c>
      <c r="F1161" s="20">
        <v>75</v>
      </c>
      <c r="G1161" t="s">
        <v>2331</v>
      </c>
      <c r="I1161" s="16" t="str">
        <f t="shared" si="18"/>
        <v>Unknown</v>
      </c>
      <c r="J1161">
        <v>2</v>
      </c>
    </row>
    <row r="1162" spans="1:10">
      <c r="A1162" t="s">
        <v>3515</v>
      </c>
      <c r="B1162" t="s">
        <v>1907</v>
      </c>
      <c r="C1162" t="s">
        <v>2233</v>
      </c>
      <c r="D1162" s="9">
        <v>45411</v>
      </c>
      <c r="E1162" t="s">
        <v>2324</v>
      </c>
      <c r="G1162" t="s">
        <v>2339</v>
      </c>
      <c r="H1162">
        <v>2500</v>
      </c>
      <c r="I1162" s="16" t="str">
        <f t="shared" si="18"/>
        <v>Normal</v>
      </c>
      <c r="J1162">
        <v>4</v>
      </c>
    </row>
    <row r="1163" spans="1:10">
      <c r="A1163" t="s">
        <v>3516</v>
      </c>
      <c r="B1163" t="s">
        <v>1155</v>
      </c>
      <c r="C1163" t="s">
        <v>2249</v>
      </c>
      <c r="D1163" s="9">
        <v>45318</v>
      </c>
      <c r="E1163" t="s">
        <v>2324</v>
      </c>
      <c r="G1163" t="s">
        <v>2345</v>
      </c>
      <c r="I1163" s="16" t="str">
        <f t="shared" si="18"/>
        <v>Unknown</v>
      </c>
      <c r="J1163">
        <v>4</v>
      </c>
    </row>
    <row r="1164" spans="1:10">
      <c r="A1164" t="s">
        <v>3517</v>
      </c>
      <c r="B1164" t="s">
        <v>538</v>
      </c>
      <c r="C1164" t="s">
        <v>2273</v>
      </c>
      <c r="D1164" s="9">
        <v>45275</v>
      </c>
      <c r="E1164" t="s">
        <v>2330</v>
      </c>
      <c r="F1164" s="20">
        <v>100</v>
      </c>
      <c r="G1164" t="s">
        <v>2345</v>
      </c>
      <c r="H1164">
        <v>799</v>
      </c>
      <c r="I1164" s="16" t="str">
        <f t="shared" si="18"/>
        <v>Normal</v>
      </c>
      <c r="J1164" t="s">
        <v>39</v>
      </c>
    </row>
    <row r="1165" spans="1:10">
      <c r="A1165" t="s">
        <v>3518</v>
      </c>
      <c r="B1165" t="s">
        <v>1397</v>
      </c>
      <c r="C1165" t="s">
        <v>2251</v>
      </c>
      <c r="D1165" s="9">
        <v>45989</v>
      </c>
      <c r="E1165" t="s">
        <v>2330</v>
      </c>
      <c r="F1165" s="20">
        <v>100</v>
      </c>
      <c r="G1165" t="s">
        <v>2339</v>
      </c>
      <c r="H1165">
        <v>1500</v>
      </c>
      <c r="I1165" s="16" t="str">
        <f t="shared" si="18"/>
        <v>Normal</v>
      </c>
      <c r="J1165" t="s">
        <v>39</v>
      </c>
    </row>
    <row r="1166" spans="1:10">
      <c r="A1166" t="s">
        <v>3519</v>
      </c>
      <c r="B1166" t="s">
        <v>3520</v>
      </c>
      <c r="C1166" t="s">
        <v>2264</v>
      </c>
      <c r="D1166" s="9">
        <v>45984</v>
      </c>
      <c r="E1166" t="s">
        <v>2324</v>
      </c>
      <c r="F1166" s="20">
        <v>10</v>
      </c>
      <c r="G1166" t="s">
        <v>2331</v>
      </c>
      <c r="H1166">
        <v>2500</v>
      </c>
      <c r="I1166" s="16" t="str">
        <f t="shared" si="18"/>
        <v>Normal</v>
      </c>
      <c r="J1166">
        <v>1</v>
      </c>
    </row>
    <row r="1167" spans="1:10">
      <c r="A1167" t="s">
        <v>3521</v>
      </c>
      <c r="B1167" t="s">
        <v>1782</v>
      </c>
      <c r="C1167" t="s">
        <v>2193</v>
      </c>
      <c r="D1167" s="9">
        <v>45308</v>
      </c>
      <c r="E1167" t="s">
        <v>2330</v>
      </c>
      <c r="F1167" s="20">
        <v>100</v>
      </c>
      <c r="G1167" t="s">
        <v>2339</v>
      </c>
      <c r="H1167">
        <v>0</v>
      </c>
      <c r="I1167" s="16" t="str">
        <f t="shared" si="18"/>
        <v>Zero Amount</v>
      </c>
      <c r="J1167">
        <v>4</v>
      </c>
    </row>
    <row r="1168" spans="1:10">
      <c r="A1168" t="s">
        <v>3522</v>
      </c>
      <c r="B1168" t="s">
        <v>2401</v>
      </c>
      <c r="C1168" t="s">
        <v>2222</v>
      </c>
      <c r="D1168" s="9">
        <v>45735</v>
      </c>
      <c r="E1168" t="s">
        <v>2330</v>
      </c>
      <c r="G1168" t="s">
        <v>2328</v>
      </c>
      <c r="I1168" s="16" t="str">
        <f t="shared" si="18"/>
        <v>Unknown</v>
      </c>
      <c r="J1168">
        <v>5</v>
      </c>
    </row>
    <row r="1169" spans="1:10">
      <c r="A1169" t="s">
        <v>3523</v>
      </c>
      <c r="B1169" t="s">
        <v>1445</v>
      </c>
      <c r="C1169" t="s">
        <v>2247</v>
      </c>
      <c r="D1169" s="9">
        <v>45787</v>
      </c>
      <c r="E1169" t="s">
        <v>23</v>
      </c>
      <c r="G1169" t="s">
        <v>2325</v>
      </c>
      <c r="I1169" s="16" t="str">
        <f t="shared" si="18"/>
        <v>Unknown</v>
      </c>
      <c r="J1169" t="s">
        <v>39</v>
      </c>
    </row>
    <row r="1170" spans="1:10">
      <c r="A1170" t="s">
        <v>3524</v>
      </c>
      <c r="B1170" t="s">
        <v>1578</v>
      </c>
      <c r="C1170" t="s">
        <v>2235</v>
      </c>
      <c r="D1170" s="9">
        <v>45830</v>
      </c>
      <c r="E1170" t="s">
        <v>23</v>
      </c>
      <c r="G1170" t="s">
        <v>2339</v>
      </c>
      <c r="H1170">
        <v>2020.74</v>
      </c>
      <c r="I1170" s="16" t="str">
        <f t="shared" si="18"/>
        <v>Normal</v>
      </c>
      <c r="J1170">
        <v>2</v>
      </c>
    </row>
    <row r="1171" spans="1:10">
      <c r="A1171" t="s">
        <v>3525</v>
      </c>
      <c r="B1171" t="s">
        <v>48</v>
      </c>
      <c r="C1171" t="s">
        <v>2205</v>
      </c>
      <c r="D1171" s="9">
        <v>45321</v>
      </c>
      <c r="E1171" t="s">
        <v>2327</v>
      </c>
      <c r="F1171" s="20">
        <v>15</v>
      </c>
      <c r="G1171" t="s">
        <v>2331</v>
      </c>
      <c r="I1171" s="16" t="str">
        <f t="shared" si="18"/>
        <v>Unknown</v>
      </c>
      <c r="J1171">
        <v>2</v>
      </c>
    </row>
    <row r="1172" spans="1:10">
      <c r="A1172" t="s">
        <v>3526</v>
      </c>
      <c r="B1172" t="s">
        <v>1948</v>
      </c>
      <c r="C1172" t="s">
        <v>2213</v>
      </c>
      <c r="D1172" s="9">
        <v>45985</v>
      </c>
      <c r="E1172" t="s">
        <v>2324</v>
      </c>
      <c r="F1172" s="20">
        <v>75</v>
      </c>
      <c r="G1172" t="s">
        <v>2331</v>
      </c>
      <c r="H1172">
        <v>1500</v>
      </c>
      <c r="I1172" s="16" t="str">
        <f t="shared" si="18"/>
        <v>Normal</v>
      </c>
      <c r="J1172" t="s">
        <v>39</v>
      </c>
    </row>
    <row r="1173" spans="1:10">
      <c r="A1173" t="s">
        <v>3527</v>
      </c>
      <c r="B1173" t="s">
        <v>502</v>
      </c>
      <c r="C1173" t="s">
        <v>2213</v>
      </c>
      <c r="D1173" s="9">
        <v>46077</v>
      </c>
      <c r="E1173" t="s">
        <v>2327</v>
      </c>
      <c r="F1173" s="20">
        <v>0</v>
      </c>
      <c r="G1173" t="s">
        <v>2345</v>
      </c>
      <c r="I1173" s="16" t="str">
        <f t="shared" si="18"/>
        <v>Unknown</v>
      </c>
      <c r="J1173">
        <v>2</v>
      </c>
    </row>
    <row r="1174" spans="1:10">
      <c r="A1174" t="s">
        <v>3528</v>
      </c>
      <c r="B1174" t="s">
        <v>1414</v>
      </c>
      <c r="C1174" t="s">
        <v>2259</v>
      </c>
      <c r="D1174" s="9">
        <v>45492</v>
      </c>
      <c r="E1174" t="s">
        <v>2324</v>
      </c>
      <c r="F1174" s="20">
        <v>60</v>
      </c>
      <c r="G1174" t="s">
        <v>23</v>
      </c>
      <c r="H1174">
        <v>0</v>
      </c>
      <c r="I1174" s="16" t="str">
        <f t="shared" si="18"/>
        <v>Zero Amount</v>
      </c>
      <c r="J1174">
        <v>1</v>
      </c>
    </row>
    <row r="1175" spans="1:10">
      <c r="A1175" t="s">
        <v>3529</v>
      </c>
      <c r="B1175" t="s">
        <v>626</v>
      </c>
      <c r="C1175" t="s">
        <v>2213</v>
      </c>
      <c r="D1175" s="9">
        <v>45545</v>
      </c>
      <c r="E1175" t="s">
        <v>23</v>
      </c>
      <c r="G1175" t="s">
        <v>2339</v>
      </c>
      <c r="H1175">
        <v>-1500</v>
      </c>
      <c r="I1175" s="16" t="str">
        <f t="shared" si="18"/>
        <v>Review</v>
      </c>
      <c r="J1175">
        <v>3</v>
      </c>
    </row>
    <row r="1176" spans="1:10">
      <c r="A1176" t="s">
        <v>3530</v>
      </c>
      <c r="B1176" t="s">
        <v>1748</v>
      </c>
      <c r="C1176" t="s">
        <v>2231</v>
      </c>
      <c r="D1176" s="9">
        <v>45697</v>
      </c>
      <c r="E1176" t="s">
        <v>2324</v>
      </c>
      <c r="F1176" s="20">
        <v>75</v>
      </c>
      <c r="G1176" t="s">
        <v>2339</v>
      </c>
      <c r="H1176">
        <v>3000</v>
      </c>
      <c r="I1176" s="16" t="str">
        <f t="shared" si="18"/>
        <v>Normal</v>
      </c>
      <c r="J1176">
        <v>5</v>
      </c>
    </row>
    <row r="1177" spans="1:10">
      <c r="A1177" t="s">
        <v>3531</v>
      </c>
      <c r="B1177" t="s">
        <v>1319</v>
      </c>
      <c r="C1177" t="s">
        <v>2237</v>
      </c>
      <c r="D1177" s="9">
        <v>45116</v>
      </c>
      <c r="E1177" t="s">
        <v>2324</v>
      </c>
      <c r="F1177" s="20">
        <v>40</v>
      </c>
      <c r="G1177" t="s">
        <v>2345</v>
      </c>
      <c r="H1177">
        <v>1500</v>
      </c>
      <c r="I1177" s="16" t="str">
        <f t="shared" si="18"/>
        <v>Normal</v>
      </c>
      <c r="J1177">
        <v>3</v>
      </c>
    </row>
    <row r="1178" spans="1:10">
      <c r="A1178" t="s">
        <v>3532</v>
      </c>
      <c r="B1178" t="s">
        <v>1794</v>
      </c>
      <c r="C1178" t="s">
        <v>2205</v>
      </c>
      <c r="D1178" s="9">
        <v>45566</v>
      </c>
      <c r="E1178" t="s">
        <v>2327</v>
      </c>
      <c r="G1178" t="s">
        <v>2331</v>
      </c>
      <c r="H1178">
        <v>1500</v>
      </c>
      <c r="I1178" s="16" t="str">
        <f t="shared" si="18"/>
        <v>Normal</v>
      </c>
      <c r="J1178" t="s">
        <v>39</v>
      </c>
    </row>
    <row r="1179" spans="1:10">
      <c r="A1179" t="s">
        <v>3533</v>
      </c>
      <c r="B1179" t="s">
        <v>1894</v>
      </c>
      <c r="C1179" t="s">
        <v>2267</v>
      </c>
      <c r="D1179" s="9">
        <v>45898</v>
      </c>
      <c r="E1179" t="s">
        <v>23</v>
      </c>
      <c r="G1179" t="s">
        <v>2325</v>
      </c>
      <c r="H1179">
        <v>999.99</v>
      </c>
      <c r="I1179" s="16" t="str">
        <f t="shared" si="18"/>
        <v>Normal</v>
      </c>
      <c r="J1179">
        <v>4</v>
      </c>
    </row>
    <row r="1180" spans="1:10">
      <c r="A1180" t="s">
        <v>3534</v>
      </c>
      <c r="B1180" t="s">
        <v>411</v>
      </c>
      <c r="C1180" t="s">
        <v>2231</v>
      </c>
      <c r="D1180" s="9">
        <v>46096</v>
      </c>
      <c r="E1180" t="s">
        <v>2327</v>
      </c>
      <c r="F1180" s="20">
        <v>20</v>
      </c>
      <c r="G1180" t="s">
        <v>2339</v>
      </c>
      <c r="H1180">
        <v>3000</v>
      </c>
      <c r="I1180" s="16" t="str">
        <f t="shared" si="18"/>
        <v>Normal</v>
      </c>
      <c r="J1180" t="s">
        <v>39</v>
      </c>
    </row>
    <row r="1181" spans="1:10">
      <c r="A1181" t="s">
        <v>3535</v>
      </c>
      <c r="B1181" t="s">
        <v>270</v>
      </c>
      <c r="C1181" t="s">
        <v>2235</v>
      </c>
      <c r="D1181" s="9">
        <v>45801</v>
      </c>
      <c r="E1181" t="s">
        <v>2330</v>
      </c>
      <c r="F1181" s="20">
        <v>100</v>
      </c>
      <c r="G1181" t="s">
        <v>2325</v>
      </c>
      <c r="H1181">
        <v>3000</v>
      </c>
      <c r="I1181" s="16" t="str">
        <f t="shared" si="18"/>
        <v>Normal</v>
      </c>
      <c r="J1181">
        <v>1</v>
      </c>
    </row>
    <row r="1182" spans="1:10">
      <c r="A1182" t="s">
        <v>3536</v>
      </c>
      <c r="B1182" t="s">
        <v>2087</v>
      </c>
      <c r="C1182" t="s">
        <v>2251</v>
      </c>
      <c r="D1182" s="9">
        <v>45641</v>
      </c>
      <c r="E1182" t="s">
        <v>2327</v>
      </c>
      <c r="F1182" s="20">
        <v>0</v>
      </c>
      <c r="G1182" t="s">
        <v>2339</v>
      </c>
      <c r="H1182">
        <v>1500</v>
      </c>
      <c r="I1182" s="16" t="str">
        <f t="shared" si="18"/>
        <v>Normal</v>
      </c>
      <c r="J1182">
        <v>3</v>
      </c>
    </row>
    <row r="1183" spans="1:10">
      <c r="A1183" t="s">
        <v>3537</v>
      </c>
      <c r="B1183" t="s">
        <v>2126</v>
      </c>
      <c r="C1183" t="s">
        <v>2247</v>
      </c>
      <c r="D1183" s="9">
        <v>46010</v>
      </c>
      <c r="E1183" t="s">
        <v>2330</v>
      </c>
      <c r="F1183" s="20">
        <v>100</v>
      </c>
      <c r="G1183" t="s">
        <v>2331</v>
      </c>
      <c r="I1183" s="16" t="str">
        <f t="shared" si="18"/>
        <v>Unknown</v>
      </c>
      <c r="J1183">
        <v>4</v>
      </c>
    </row>
    <row r="1184" spans="1:10">
      <c r="A1184" t="s">
        <v>3538</v>
      </c>
      <c r="B1184" t="s">
        <v>1592</v>
      </c>
      <c r="C1184" t="s">
        <v>2264</v>
      </c>
      <c r="D1184" s="9">
        <v>45841</v>
      </c>
      <c r="E1184" t="s">
        <v>2324</v>
      </c>
      <c r="F1184" s="20">
        <v>75</v>
      </c>
      <c r="G1184" t="s">
        <v>2339</v>
      </c>
      <c r="H1184">
        <v>2500</v>
      </c>
      <c r="I1184" s="16" t="str">
        <f t="shared" si="18"/>
        <v>Normal</v>
      </c>
      <c r="J1184">
        <v>2</v>
      </c>
    </row>
    <row r="1185" spans="1:10">
      <c r="A1185" t="s">
        <v>3539</v>
      </c>
      <c r="B1185" t="s">
        <v>907</v>
      </c>
      <c r="C1185" t="s">
        <v>2271</v>
      </c>
      <c r="D1185" s="9">
        <v>45617</v>
      </c>
      <c r="E1185" t="s">
        <v>2324</v>
      </c>
      <c r="F1185" s="20">
        <v>75</v>
      </c>
      <c r="G1185" t="s">
        <v>2325</v>
      </c>
      <c r="H1185">
        <v>1200</v>
      </c>
      <c r="I1185" s="16" t="str">
        <f t="shared" si="18"/>
        <v>Normal</v>
      </c>
      <c r="J1185">
        <v>3</v>
      </c>
    </row>
    <row r="1186" spans="1:10">
      <c r="A1186" t="s">
        <v>3540</v>
      </c>
      <c r="B1186" t="s">
        <v>2129</v>
      </c>
      <c r="C1186" t="s">
        <v>2269</v>
      </c>
      <c r="D1186" s="9">
        <v>45483</v>
      </c>
      <c r="E1186" t="s">
        <v>2330</v>
      </c>
      <c r="F1186" s="20">
        <v>100</v>
      </c>
      <c r="G1186" t="s">
        <v>2345</v>
      </c>
      <c r="H1186">
        <v>499</v>
      </c>
      <c r="I1186" s="16" t="str">
        <f t="shared" si="18"/>
        <v>Normal</v>
      </c>
      <c r="J1186">
        <v>3</v>
      </c>
    </row>
    <row r="1187" spans="1:10">
      <c r="A1187" t="s">
        <v>3541</v>
      </c>
      <c r="B1187" t="s">
        <v>1019</v>
      </c>
      <c r="C1187" t="s">
        <v>2233</v>
      </c>
      <c r="D1187" s="9">
        <v>45775</v>
      </c>
      <c r="E1187" t="s">
        <v>23</v>
      </c>
      <c r="G1187" t="s">
        <v>23</v>
      </c>
      <c r="H1187">
        <v>2500</v>
      </c>
      <c r="I1187" s="16" t="str">
        <f t="shared" si="18"/>
        <v>Normal</v>
      </c>
      <c r="J1187">
        <v>5</v>
      </c>
    </row>
    <row r="1188" spans="1:10">
      <c r="A1188" t="s">
        <v>3542</v>
      </c>
      <c r="B1188" t="s">
        <v>842</v>
      </c>
      <c r="C1188" t="s">
        <v>2209</v>
      </c>
      <c r="D1188" s="9">
        <v>45710</v>
      </c>
      <c r="E1188" t="s">
        <v>2330</v>
      </c>
      <c r="G1188" t="s">
        <v>2331</v>
      </c>
      <c r="H1188">
        <v>440</v>
      </c>
      <c r="I1188" s="16" t="str">
        <f t="shared" si="18"/>
        <v>Normal</v>
      </c>
      <c r="J1188">
        <v>1</v>
      </c>
    </row>
    <row r="1189" spans="1:10">
      <c r="A1189" t="s">
        <v>3543</v>
      </c>
      <c r="B1189" t="s">
        <v>997</v>
      </c>
      <c r="C1189" t="s">
        <v>2269</v>
      </c>
      <c r="D1189" s="9">
        <v>45249</v>
      </c>
      <c r="E1189" t="s">
        <v>23</v>
      </c>
      <c r="G1189" t="s">
        <v>2331</v>
      </c>
      <c r="H1189">
        <v>499</v>
      </c>
      <c r="I1189" s="16" t="str">
        <f t="shared" si="18"/>
        <v>Normal</v>
      </c>
      <c r="J1189">
        <v>4</v>
      </c>
    </row>
    <row r="1190" spans="1:10">
      <c r="A1190" t="s">
        <v>3544</v>
      </c>
      <c r="B1190" t="s">
        <v>701</v>
      </c>
      <c r="C1190" t="s">
        <v>2271</v>
      </c>
      <c r="D1190" s="9">
        <v>44966</v>
      </c>
      <c r="E1190" t="s">
        <v>23</v>
      </c>
      <c r="G1190" t="s">
        <v>2339</v>
      </c>
      <c r="H1190">
        <v>1200</v>
      </c>
      <c r="I1190" s="16" t="str">
        <f t="shared" si="18"/>
        <v>Normal</v>
      </c>
      <c r="J1190" t="s">
        <v>39</v>
      </c>
    </row>
    <row r="1191" spans="1:10">
      <c r="A1191" t="s">
        <v>3545</v>
      </c>
      <c r="B1191" t="s">
        <v>1638</v>
      </c>
      <c r="C1191" t="s">
        <v>2198</v>
      </c>
      <c r="D1191" s="9">
        <v>45566</v>
      </c>
      <c r="E1191" t="s">
        <v>2330</v>
      </c>
      <c r="F1191" s="20">
        <v>100</v>
      </c>
      <c r="G1191" t="s">
        <v>23</v>
      </c>
      <c r="I1191" s="16" t="str">
        <f t="shared" si="18"/>
        <v>Unknown</v>
      </c>
      <c r="J1191">
        <v>3</v>
      </c>
    </row>
    <row r="1192" spans="1:10">
      <c r="A1192" t="s">
        <v>3546</v>
      </c>
      <c r="B1192" t="s">
        <v>1952</v>
      </c>
      <c r="C1192" t="s">
        <v>2273</v>
      </c>
      <c r="D1192" s="9">
        <v>45451</v>
      </c>
      <c r="E1192" t="s">
        <v>2324</v>
      </c>
      <c r="F1192" s="20">
        <v>25</v>
      </c>
      <c r="G1192" t="s">
        <v>2331</v>
      </c>
      <c r="H1192">
        <v>799</v>
      </c>
      <c r="I1192" s="16" t="str">
        <f t="shared" si="18"/>
        <v>Normal</v>
      </c>
      <c r="J1192">
        <v>5</v>
      </c>
    </row>
    <row r="1193" spans="1:10">
      <c r="A1193" t="s">
        <v>3547</v>
      </c>
      <c r="B1193" t="s">
        <v>546</v>
      </c>
      <c r="C1193" t="s">
        <v>2247</v>
      </c>
      <c r="D1193" s="9">
        <v>45175</v>
      </c>
      <c r="E1193" t="s">
        <v>2330</v>
      </c>
      <c r="F1193" s="20">
        <v>100</v>
      </c>
      <c r="G1193" t="s">
        <v>2331</v>
      </c>
      <c r="I1193" s="16" t="str">
        <f t="shared" si="18"/>
        <v>Unknown</v>
      </c>
      <c r="J1193" t="s">
        <v>39</v>
      </c>
    </row>
    <row r="1194" spans="1:10">
      <c r="A1194" t="s">
        <v>3548</v>
      </c>
      <c r="B1194" t="s">
        <v>531</v>
      </c>
      <c r="C1194" t="s">
        <v>2264</v>
      </c>
      <c r="D1194" s="9">
        <v>45183</v>
      </c>
      <c r="E1194" t="s">
        <v>2337</v>
      </c>
      <c r="F1194" s="20">
        <v>0</v>
      </c>
      <c r="G1194" t="s">
        <v>2345</v>
      </c>
      <c r="H1194">
        <v>2500</v>
      </c>
      <c r="I1194" s="16" t="str">
        <f t="shared" si="18"/>
        <v>Normal</v>
      </c>
      <c r="J1194">
        <v>5</v>
      </c>
    </row>
    <row r="1195" spans="1:10">
      <c r="A1195" t="s">
        <v>3549</v>
      </c>
      <c r="B1195" t="s">
        <v>209</v>
      </c>
      <c r="C1195" t="s">
        <v>2218</v>
      </c>
      <c r="D1195" s="9">
        <v>45955</v>
      </c>
      <c r="E1195" t="s">
        <v>23</v>
      </c>
      <c r="G1195" t="s">
        <v>23</v>
      </c>
      <c r="H1195">
        <v>1500</v>
      </c>
      <c r="I1195" s="16" t="str">
        <f t="shared" si="18"/>
        <v>Normal</v>
      </c>
      <c r="J1195">
        <v>4</v>
      </c>
    </row>
    <row r="1196" spans="1:10">
      <c r="A1196" t="s">
        <v>3550</v>
      </c>
      <c r="B1196" t="s">
        <v>1922</v>
      </c>
      <c r="C1196" t="s">
        <v>2241</v>
      </c>
      <c r="D1196" s="9">
        <v>45424</v>
      </c>
      <c r="E1196" t="s">
        <v>23</v>
      </c>
      <c r="G1196" t="s">
        <v>2331</v>
      </c>
      <c r="H1196">
        <v>2500</v>
      </c>
      <c r="I1196" s="16" t="str">
        <f t="shared" si="18"/>
        <v>Normal</v>
      </c>
      <c r="J1196">
        <v>3</v>
      </c>
    </row>
    <row r="1197" spans="1:10">
      <c r="A1197" t="s">
        <v>3551</v>
      </c>
      <c r="B1197" t="s">
        <v>1904</v>
      </c>
      <c r="C1197" t="s">
        <v>2228</v>
      </c>
      <c r="D1197" s="9">
        <v>45227</v>
      </c>
      <c r="E1197" t="s">
        <v>2330</v>
      </c>
      <c r="F1197" s="20">
        <v>100</v>
      </c>
      <c r="G1197" t="s">
        <v>2345</v>
      </c>
      <c r="H1197">
        <v>799</v>
      </c>
      <c r="I1197" s="16" t="str">
        <f t="shared" si="18"/>
        <v>Normal</v>
      </c>
      <c r="J1197">
        <v>5</v>
      </c>
    </row>
    <row r="1198" spans="1:10">
      <c r="A1198" t="s">
        <v>3552</v>
      </c>
      <c r="B1198" t="s">
        <v>196</v>
      </c>
      <c r="C1198" t="s">
        <v>2213</v>
      </c>
      <c r="D1198" s="9">
        <v>45350</v>
      </c>
      <c r="E1198" t="s">
        <v>2330</v>
      </c>
      <c r="G1198" t="s">
        <v>2328</v>
      </c>
      <c r="H1198">
        <v>1500</v>
      </c>
      <c r="I1198" s="16" t="str">
        <f t="shared" si="18"/>
        <v>Normal</v>
      </c>
      <c r="J1198">
        <v>2</v>
      </c>
    </row>
    <row r="1199" spans="1:10">
      <c r="A1199" t="s">
        <v>3553</v>
      </c>
      <c r="B1199" t="s">
        <v>339</v>
      </c>
      <c r="C1199" t="s">
        <v>2267</v>
      </c>
      <c r="D1199" s="9">
        <v>45757</v>
      </c>
      <c r="E1199" t="s">
        <v>2324</v>
      </c>
      <c r="F1199" s="20">
        <v>10</v>
      </c>
      <c r="G1199" t="s">
        <v>2339</v>
      </c>
      <c r="H1199">
        <v>999.99</v>
      </c>
      <c r="I1199" s="16" t="str">
        <f t="shared" si="18"/>
        <v>Normal</v>
      </c>
      <c r="J1199">
        <v>5</v>
      </c>
    </row>
    <row r="1200" spans="1:10">
      <c r="A1200" t="s">
        <v>3554</v>
      </c>
      <c r="B1200" t="s">
        <v>809</v>
      </c>
      <c r="C1200" t="s">
        <v>2269</v>
      </c>
      <c r="D1200" s="9">
        <v>45460</v>
      </c>
      <c r="E1200" t="s">
        <v>2324</v>
      </c>
      <c r="F1200" s="20">
        <v>10</v>
      </c>
      <c r="G1200" t="s">
        <v>2339</v>
      </c>
      <c r="H1200">
        <v>499</v>
      </c>
      <c r="I1200" s="16" t="str">
        <f t="shared" si="18"/>
        <v>Normal</v>
      </c>
      <c r="J1200" t="s">
        <v>39</v>
      </c>
    </row>
    <row r="1201" spans="1:10">
      <c r="A1201" t="s">
        <v>3555</v>
      </c>
      <c r="B1201" t="s">
        <v>1683</v>
      </c>
      <c r="C1201" t="s">
        <v>2259</v>
      </c>
      <c r="D1201" s="9">
        <v>45343</v>
      </c>
      <c r="E1201" t="s">
        <v>2330</v>
      </c>
      <c r="F1201" s="20">
        <v>100</v>
      </c>
      <c r="G1201" t="s">
        <v>23</v>
      </c>
      <c r="H1201">
        <v>0</v>
      </c>
      <c r="I1201" s="16" t="str">
        <f t="shared" si="18"/>
        <v>Zero Amount</v>
      </c>
      <c r="J1201" t="s">
        <v>39</v>
      </c>
    </row>
    <row r="1202" spans="1:10">
      <c r="A1202" t="s">
        <v>3556</v>
      </c>
      <c r="B1202" t="s">
        <v>1054</v>
      </c>
      <c r="C1202" t="s">
        <v>2251</v>
      </c>
      <c r="D1202" s="9">
        <v>46128</v>
      </c>
      <c r="E1202" t="s">
        <v>2330</v>
      </c>
      <c r="F1202" s="20">
        <v>100</v>
      </c>
      <c r="G1202" t="s">
        <v>2325</v>
      </c>
      <c r="H1202">
        <v>1500</v>
      </c>
      <c r="I1202" s="16" t="str">
        <f t="shared" si="18"/>
        <v>Normal</v>
      </c>
      <c r="J1202" t="s">
        <v>39</v>
      </c>
    </row>
    <row r="1203" spans="1:10">
      <c r="A1203" t="s">
        <v>3557</v>
      </c>
      <c r="B1203" t="s">
        <v>44</v>
      </c>
      <c r="C1203" t="s">
        <v>2247</v>
      </c>
      <c r="D1203" s="9">
        <v>46108</v>
      </c>
      <c r="E1203" t="s">
        <v>23</v>
      </c>
      <c r="G1203" t="s">
        <v>23</v>
      </c>
      <c r="I1203" s="16" t="str">
        <f t="shared" si="18"/>
        <v>Unknown</v>
      </c>
      <c r="J1203" t="s">
        <v>39</v>
      </c>
    </row>
    <row r="1204" spans="1:10">
      <c r="A1204" t="s">
        <v>3558</v>
      </c>
      <c r="B1204" t="s">
        <v>380</v>
      </c>
      <c r="C1204" t="s">
        <v>2249</v>
      </c>
      <c r="D1204" s="9">
        <v>45373</v>
      </c>
      <c r="E1204" t="s">
        <v>2327</v>
      </c>
      <c r="F1204" s="20">
        <v>20</v>
      </c>
      <c r="G1204" t="s">
        <v>2339</v>
      </c>
      <c r="H1204">
        <v>1018.56</v>
      </c>
      <c r="I1204" s="16" t="str">
        <f t="shared" si="18"/>
        <v>Normal</v>
      </c>
      <c r="J1204" t="s">
        <v>39</v>
      </c>
    </row>
    <row r="1205" spans="1:10">
      <c r="A1205" t="s">
        <v>3559</v>
      </c>
      <c r="B1205" t="s">
        <v>462</v>
      </c>
      <c r="C1205" t="s">
        <v>2213</v>
      </c>
      <c r="D1205" s="9">
        <v>45868</v>
      </c>
      <c r="E1205" t="s">
        <v>2324</v>
      </c>
      <c r="G1205" t="s">
        <v>2339</v>
      </c>
      <c r="H1205">
        <v>1500</v>
      </c>
      <c r="I1205" s="16" t="str">
        <f t="shared" si="18"/>
        <v>Normal</v>
      </c>
      <c r="J1205">
        <v>5</v>
      </c>
    </row>
    <row r="1206" spans="1:10">
      <c r="A1206" t="s">
        <v>3560</v>
      </c>
      <c r="B1206" t="s">
        <v>239</v>
      </c>
      <c r="C1206" t="s">
        <v>2202</v>
      </c>
      <c r="D1206" s="9">
        <v>45172</v>
      </c>
      <c r="E1206" t="s">
        <v>2324</v>
      </c>
      <c r="F1206" s="20">
        <v>10</v>
      </c>
      <c r="G1206" t="s">
        <v>2331</v>
      </c>
      <c r="H1206">
        <v>999.99</v>
      </c>
      <c r="I1206" s="16" t="str">
        <f t="shared" si="18"/>
        <v>Normal</v>
      </c>
      <c r="J1206" t="s">
        <v>39</v>
      </c>
    </row>
    <row r="1207" spans="1:10">
      <c r="A1207" t="s">
        <v>3561</v>
      </c>
      <c r="B1207" t="s">
        <v>513</v>
      </c>
      <c r="C1207" t="s">
        <v>2273</v>
      </c>
      <c r="D1207" s="9">
        <v>46053</v>
      </c>
      <c r="E1207" t="s">
        <v>2330</v>
      </c>
      <c r="F1207" s="20">
        <v>100</v>
      </c>
      <c r="G1207" t="s">
        <v>2345</v>
      </c>
      <c r="H1207">
        <v>799</v>
      </c>
      <c r="I1207" s="16" t="str">
        <f t="shared" si="18"/>
        <v>Normal</v>
      </c>
      <c r="J1207" t="s">
        <v>39</v>
      </c>
    </row>
    <row r="1208" spans="1:10">
      <c r="A1208" t="s">
        <v>3562</v>
      </c>
      <c r="B1208" t="s">
        <v>1666</v>
      </c>
      <c r="C1208" t="s">
        <v>2205</v>
      </c>
      <c r="D1208" s="9">
        <v>46159</v>
      </c>
      <c r="E1208" t="s">
        <v>2324</v>
      </c>
      <c r="F1208" s="20">
        <v>75</v>
      </c>
      <c r="G1208" t="s">
        <v>2325</v>
      </c>
      <c r="H1208">
        <v>1500</v>
      </c>
      <c r="I1208" s="16" t="str">
        <f t="shared" si="18"/>
        <v>Normal</v>
      </c>
      <c r="J1208">
        <v>5</v>
      </c>
    </row>
    <row r="1209" spans="1:10">
      <c r="A1209" t="s">
        <v>3563</v>
      </c>
      <c r="B1209" t="s">
        <v>762</v>
      </c>
      <c r="C1209" t="s">
        <v>2273</v>
      </c>
      <c r="D1209" s="9">
        <v>45179</v>
      </c>
      <c r="E1209" t="s">
        <v>2330</v>
      </c>
      <c r="F1209" s="20">
        <v>100</v>
      </c>
      <c r="G1209" t="s">
        <v>2325</v>
      </c>
      <c r="H1209">
        <v>799</v>
      </c>
      <c r="I1209" s="16" t="str">
        <f t="shared" si="18"/>
        <v>Normal</v>
      </c>
      <c r="J1209" t="s">
        <v>39</v>
      </c>
    </row>
    <row r="1210" spans="1:10">
      <c r="A1210" t="s">
        <v>3564</v>
      </c>
      <c r="B1210" t="s">
        <v>3565</v>
      </c>
      <c r="C1210" t="s">
        <v>2231</v>
      </c>
      <c r="D1210" s="9">
        <v>45994</v>
      </c>
      <c r="E1210" t="s">
        <v>2330</v>
      </c>
      <c r="F1210" s="20">
        <v>100</v>
      </c>
      <c r="G1210" t="s">
        <v>2339</v>
      </c>
      <c r="H1210">
        <v>3000</v>
      </c>
      <c r="I1210" s="16" t="str">
        <f t="shared" si="18"/>
        <v>Normal</v>
      </c>
      <c r="J1210">
        <v>5</v>
      </c>
    </row>
    <row r="1211" spans="1:10">
      <c r="A1211" t="s">
        <v>3566</v>
      </c>
      <c r="B1211" t="s">
        <v>1696</v>
      </c>
      <c r="C1211" t="s">
        <v>2251</v>
      </c>
      <c r="D1211" s="9">
        <v>46033</v>
      </c>
      <c r="E1211" t="s">
        <v>2330</v>
      </c>
      <c r="G1211" t="s">
        <v>2345</v>
      </c>
      <c r="H1211">
        <v>1014.24</v>
      </c>
      <c r="I1211" s="16" t="str">
        <f t="shared" si="18"/>
        <v>Normal</v>
      </c>
      <c r="J1211">
        <v>5</v>
      </c>
    </row>
    <row r="1212" spans="1:10">
      <c r="A1212" t="s">
        <v>3567</v>
      </c>
      <c r="B1212" t="s">
        <v>688</v>
      </c>
      <c r="C1212" t="s">
        <v>2202</v>
      </c>
      <c r="D1212" s="9">
        <v>46119</v>
      </c>
      <c r="E1212" t="s">
        <v>2330</v>
      </c>
      <c r="G1212" t="s">
        <v>2328</v>
      </c>
      <c r="H1212">
        <v>999.99</v>
      </c>
      <c r="I1212" s="16" t="str">
        <f t="shared" si="18"/>
        <v>Normal</v>
      </c>
      <c r="J1212" t="s">
        <v>39</v>
      </c>
    </row>
    <row r="1213" spans="1:10">
      <c r="A1213" t="s">
        <v>3568</v>
      </c>
      <c r="B1213" t="s">
        <v>1945</v>
      </c>
      <c r="C1213" t="s">
        <v>2205</v>
      </c>
      <c r="D1213" s="9">
        <v>45646</v>
      </c>
      <c r="E1213" t="s">
        <v>2330</v>
      </c>
      <c r="F1213" s="20">
        <v>100</v>
      </c>
      <c r="G1213" t="s">
        <v>2339</v>
      </c>
      <c r="H1213">
        <v>1500</v>
      </c>
      <c r="I1213" s="16" t="str">
        <f t="shared" si="18"/>
        <v>Normal</v>
      </c>
      <c r="J1213">
        <v>4</v>
      </c>
    </row>
    <row r="1214" spans="1:10">
      <c r="A1214" t="s">
        <v>3569</v>
      </c>
      <c r="B1214" t="s">
        <v>589</v>
      </c>
      <c r="C1214" t="s">
        <v>2249</v>
      </c>
      <c r="D1214" s="9">
        <v>45535</v>
      </c>
      <c r="E1214" t="s">
        <v>2337</v>
      </c>
      <c r="F1214" s="20">
        <v>5</v>
      </c>
      <c r="G1214" t="s">
        <v>2325</v>
      </c>
      <c r="H1214">
        <v>1500</v>
      </c>
      <c r="I1214" s="16" t="str">
        <f t="shared" si="18"/>
        <v>Normal</v>
      </c>
      <c r="J1214" t="s">
        <v>39</v>
      </c>
    </row>
    <row r="1215" spans="1:10">
      <c r="A1215" t="s">
        <v>3570</v>
      </c>
      <c r="B1215" t="s">
        <v>1377</v>
      </c>
      <c r="C1215" t="s">
        <v>2228</v>
      </c>
      <c r="D1215" s="9">
        <v>45160</v>
      </c>
      <c r="E1215" t="s">
        <v>2337</v>
      </c>
      <c r="F1215" s="20">
        <v>0</v>
      </c>
      <c r="G1215" t="s">
        <v>2325</v>
      </c>
      <c r="H1215">
        <v>799</v>
      </c>
      <c r="I1215" s="16" t="str">
        <f t="shared" si="18"/>
        <v>Normal</v>
      </c>
      <c r="J1215" t="s">
        <v>39</v>
      </c>
    </row>
    <row r="1216" spans="1:10">
      <c r="A1216" t="s">
        <v>3571</v>
      </c>
      <c r="B1216" t="s">
        <v>2101</v>
      </c>
      <c r="C1216" t="s">
        <v>2249</v>
      </c>
      <c r="D1216" s="9">
        <v>45862</v>
      </c>
      <c r="E1216" t="s">
        <v>2327</v>
      </c>
      <c r="G1216" t="s">
        <v>2331</v>
      </c>
      <c r="H1216">
        <v>1500</v>
      </c>
      <c r="I1216" s="16" t="str">
        <f t="shared" si="18"/>
        <v>Normal</v>
      </c>
      <c r="J1216">
        <v>5</v>
      </c>
    </row>
    <row r="1217" spans="1:10">
      <c r="A1217" t="s">
        <v>3572</v>
      </c>
      <c r="B1217" t="s">
        <v>878</v>
      </c>
      <c r="C1217" t="s">
        <v>2235</v>
      </c>
      <c r="D1217" s="9">
        <v>45219</v>
      </c>
      <c r="E1217" t="s">
        <v>2327</v>
      </c>
      <c r="F1217" s="20">
        <v>15</v>
      </c>
      <c r="G1217" t="s">
        <v>2331</v>
      </c>
      <c r="H1217">
        <v>3000</v>
      </c>
      <c r="I1217" s="16" t="str">
        <f t="shared" si="18"/>
        <v>Normal</v>
      </c>
      <c r="J1217">
        <v>1</v>
      </c>
    </row>
    <row r="1218" spans="1:10">
      <c r="A1218" t="s">
        <v>3573</v>
      </c>
      <c r="B1218" t="s">
        <v>2034</v>
      </c>
      <c r="C1218" t="s">
        <v>2225</v>
      </c>
      <c r="D1218" s="9">
        <v>45614</v>
      </c>
      <c r="E1218" t="s">
        <v>2324</v>
      </c>
      <c r="F1218" s="20">
        <v>55</v>
      </c>
      <c r="G1218" t="s">
        <v>2339</v>
      </c>
      <c r="I1218" s="16" t="str">
        <f t="shared" si="18"/>
        <v>Unknown</v>
      </c>
      <c r="J1218">
        <v>2</v>
      </c>
    </row>
    <row r="1219" spans="1:10">
      <c r="A1219" t="s">
        <v>3574</v>
      </c>
      <c r="B1219" t="s">
        <v>817</v>
      </c>
      <c r="C1219" t="s">
        <v>2269</v>
      </c>
      <c r="D1219" s="9">
        <v>46103</v>
      </c>
      <c r="E1219" t="s">
        <v>2330</v>
      </c>
      <c r="G1219" t="s">
        <v>2339</v>
      </c>
      <c r="H1219">
        <v>499</v>
      </c>
      <c r="I1219" s="16" t="str">
        <f t="shared" ref="I1219:I1282" si="19">IF(H1219="", "Unknown", IF(H1219=0, "Zero Amount", IF(H1219&lt;1, "Review", IF(H1219&gt;1, "Normal"))))</f>
        <v>Normal</v>
      </c>
      <c r="J1219" t="s">
        <v>39</v>
      </c>
    </row>
    <row r="1220" spans="1:10">
      <c r="A1220" t="s">
        <v>3575</v>
      </c>
      <c r="B1220" t="s">
        <v>137</v>
      </c>
      <c r="C1220" t="s">
        <v>2205</v>
      </c>
      <c r="D1220" s="9">
        <v>45386</v>
      </c>
      <c r="E1220" t="s">
        <v>2330</v>
      </c>
      <c r="F1220" s="20">
        <v>100</v>
      </c>
      <c r="G1220" t="s">
        <v>2339</v>
      </c>
      <c r="H1220">
        <v>1500</v>
      </c>
      <c r="I1220" s="16" t="str">
        <f t="shared" si="19"/>
        <v>Normal</v>
      </c>
      <c r="J1220">
        <v>4</v>
      </c>
    </row>
    <row r="1221" spans="1:10">
      <c r="A1221" t="s">
        <v>3576</v>
      </c>
      <c r="B1221" t="s">
        <v>1776</v>
      </c>
      <c r="C1221" t="s">
        <v>2216</v>
      </c>
      <c r="D1221" s="9">
        <v>45130</v>
      </c>
      <c r="E1221" t="s">
        <v>23</v>
      </c>
      <c r="G1221" t="s">
        <v>2345</v>
      </c>
      <c r="H1221">
        <v>1200</v>
      </c>
      <c r="I1221" s="16" t="str">
        <f t="shared" si="19"/>
        <v>Normal</v>
      </c>
      <c r="J1221">
        <v>2</v>
      </c>
    </row>
    <row r="1222" spans="1:10">
      <c r="A1222" t="s">
        <v>3577</v>
      </c>
      <c r="B1222" t="s">
        <v>1650</v>
      </c>
      <c r="C1222" t="s">
        <v>2259</v>
      </c>
      <c r="D1222" s="9">
        <v>45468</v>
      </c>
      <c r="E1222" t="s">
        <v>2324</v>
      </c>
      <c r="F1222" s="20">
        <v>55</v>
      </c>
      <c r="G1222" t="s">
        <v>2345</v>
      </c>
      <c r="H1222">
        <v>0</v>
      </c>
      <c r="I1222" s="16" t="str">
        <f t="shared" si="19"/>
        <v>Zero Amount</v>
      </c>
      <c r="J1222">
        <v>4</v>
      </c>
    </row>
    <row r="1223" spans="1:10">
      <c r="A1223" t="s">
        <v>3578</v>
      </c>
      <c r="B1223" t="s">
        <v>1540</v>
      </c>
      <c r="C1223" t="s">
        <v>2216</v>
      </c>
      <c r="D1223" s="9">
        <v>45383</v>
      </c>
      <c r="E1223" t="s">
        <v>2327</v>
      </c>
      <c r="F1223" s="20">
        <v>15</v>
      </c>
      <c r="G1223" t="s">
        <v>2331</v>
      </c>
      <c r="I1223" s="16" t="str">
        <f t="shared" si="19"/>
        <v>Unknown</v>
      </c>
      <c r="J1223">
        <v>5</v>
      </c>
    </row>
    <row r="1224" spans="1:10">
      <c r="A1224" t="s">
        <v>3579</v>
      </c>
      <c r="B1224" t="s">
        <v>1291</v>
      </c>
      <c r="C1224" t="s">
        <v>2225</v>
      </c>
      <c r="D1224" s="9">
        <v>45464</v>
      </c>
      <c r="E1224" t="s">
        <v>2327</v>
      </c>
      <c r="F1224" s="20">
        <v>0</v>
      </c>
      <c r="G1224" t="s">
        <v>2345</v>
      </c>
      <c r="I1224" s="16" t="str">
        <f t="shared" si="19"/>
        <v>Unknown</v>
      </c>
      <c r="J1224">
        <v>1</v>
      </c>
    </row>
    <row r="1225" spans="1:10">
      <c r="A1225" t="s">
        <v>3580</v>
      </c>
      <c r="B1225" t="s">
        <v>167</v>
      </c>
      <c r="C1225" t="s">
        <v>2216</v>
      </c>
      <c r="D1225" s="9">
        <v>45936</v>
      </c>
      <c r="E1225" t="s">
        <v>2324</v>
      </c>
      <c r="F1225" s="20">
        <v>10</v>
      </c>
      <c r="G1225" t="s">
        <v>2328</v>
      </c>
      <c r="H1225">
        <v>1200</v>
      </c>
      <c r="I1225" s="16" t="str">
        <f t="shared" si="19"/>
        <v>Normal</v>
      </c>
      <c r="J1225">
        <v>4</v>
      </c>
    </row>
    <row r="1226" spans="1:10">
      <c r="A1226" t="s">
        <v>3581</v>
      </c>
      <c r="B1226" t="s">
        <v>1842</v>
      </c>
      <c r="C1226" t="s">
        <v>2247</v>
      </c>
      <c r="D1226" s="9">
        <v>45250</v>
      </c>
      <c r="E1226" t="s">
        <v>23</v>
      </c>
      <c r="G1226" t="s">
        <v>2345</v>
      </c>
      <c r="I1226" s="16" t="str">
        <f t="shared" si="19"/>
        <v>Unknown</v>
      </c>
      <c r="J1226">
        <v>3</v>
      </c>
    </row>
    <row r="1227" spans="1:10">
      <c r="A1227" t="s">
        <v>3582</v>
      </c>
      <c r="B1227" t="s">
        <v>277</v>
      </c>
      <c r="C1227" t="s">
        <v>2228</v>
      </c>
      <c r="D1227" s="9">
        <v>45902</v>
      </c>
      <c r="E1227" t="s">
        <v>2324</v>
      </c>
      <c r="F1227" s="20">
        <v>40</v>
      </c>
      <c r="G1227" t="s">
        <v>2339</v>
      </c>
      <c r="H1227">
        <v>799</v>
      </c>
      <c r="I1227" s="16" t="str">
        <f t="shared" si="19"/>
        <v>Normal</v>
      </c>
      <c r="J1227">
        <v>2</v>
      </c>
    </row>
    <row r="1228" spans="1:10">
      <c r="A1228" t="s">
        <v>3583</v>
      </c>
      <c r="B1228" t="s">
        <v>943</v>
      </c>
      <c r="C1228" t="s">
        <v>2218</v>
      </c>
      <c r="D1228" s="9">
        <v>45697</v>
      </c>
      <c r="E1228" t="s">
        <v>2324</v>
      </c>
      <c r="F1228" s="20">
        <v>25</v>
      </c>
      <c r="G1228" t="s">
        <v>2345</v>
      </c>
      <c r="H1228">
        <v>1500</v>
      </c>
      <c r="I1228" s="16" t="str">
        <f t="shared" si="19"/>
        <v>Normal</v>
      </c>
      <c r="J1228">
        <v>2</v>
      </c>
    </row>
    <row r="1229" spans="1:10">
      <c r="A1229" t="s">
        <v>3584</v>
      </c>
      <c r="B1229" t="s">
        <v>445</v>
      </c>
      <c r="C1229" t="s">
        <v>2193</v>
      </c>
      <c r="D1229" s="9">
        <v>46110</v>
      </c>
      <c r="E1229" t="s">
        <v>2330</v>
      </c>
      <c r="F1229" s="20">
        <v>100</v>
      </c>
      <c r="G1229" t="s">
        <v>2331</v>
      </c>
      <c r="H1229">
        <v>0</v>
      </c>
      <c r="I1229" s="16" t="str">
        <f t="shared" si="19"/>
        <v>Zero Amount</v>
      </c>
      <c r="J1229" t="s">
        <v>39</v>
      </c>
    </row>
    <row r="1230" spans="1:10">
      <c r="A1230" t="s">
        <v>3585</v>
      </c>
      <c r="B1230" t="s">
        <v>188</v>
      </c>
      <c r="C1230" t="s">
        <v>2213</v>
      </c>
      <c r="D1230" s="9">
        <v>45825</v>
      </c>
      <c r="E1230" t="s">
        <v>2337</v>
      </c>
      <c r="G1230" t="s">
        <v>2328</v>
      </c>
      <c r="H1230">
        <v>-1500</v>
      </c>
      <c r="I1230" s="16" t="str">
        <f t="shared" si="19"/>
        <v>Review</v>
      </c>
      <c r="J1230">
        <v>1</v>
      </c>
    </row>
    <row r="1231" spans="1:10">
      <c r="A1231" t="s">
        <v>3586</v>
      </c>
      <c r="B1231" t="s">
        <v>1051</v>
      </c>
      <c r="C1231" t="s">
        <v>2261</v>
      </c>
      <c r="D1231" s="9">
        <v>46060</v>
      </c>
      <c r="E1231" t="s">
        <v>23</v>
      </c>
      <c r="G1231" t="s">
        <v>2345</v>
      </c>
      <c r="I1231" s="16" t="str">
        <f t="shared" si="19"/>
        <v>Unknown</v>
      </c>
      <c r="J1231" t="s">
        <v>39</v>
      </c>
    </row>
    <row r="1232" spans="1:10">
      <c r="A1232" t="s">
        <v>3587</v>
      </c>
      <c r="B1232" t="s">
        <v>2018</v>
      </c>
      <c r="C1232" t="s">
        <v>2187</v>
      </c>
      <c r="D1232" s="9">
        <v>45356</v>
      </c>
      <c r="E1232" t="s">
        <v>2324</v>
      </c>
      <c r="G1232" t="s">
        <v>2339</v>
      </c>
      <c r="H1232">
        <v>799</v>
      </c>
      <c r="I1232" s="16" t="str">
        <f t="shared" si="19"/>
        <v>Normal</v>
      </c>
      <c r="J1232">
        <v>3</v>
      </c>
    </row>
    <row r="1233" spans="1:10">
      <c r="A1233" t="s">
        <v>3588</v>
      </c>
      <c r="B1233" t="s">
        <v>1218</v>
      </c>
      <c r="C1233" t="s">
        <v>2187</v>
      </c>
      <c r="D1233" s="9">
        <v>45177</v>
      </c>
      <c r="E1233" t="s">
        <v>2324</v>
      </c>
      <c r="F1233" s="20">
        <v>40</v>
      </c>
      <c r="G1233" t="s">
        <v>2325</v>
      </c>
      <c r="H1233">
        <v>704.31</v>
      </c>
      <c r="I1233" s="16" t="str">
        <f t="shared" si="19"/>
        <v>Normal</v>
      </c>
      <c r="J1233" t="s">
        <v>39</v>
      </c>
    </row>
    <row r="1234" spans="1:10">
      <c r="A1234" t="s">
        <v>3589</v>
      </c>
      <c r="B1234" t="s">
        <v>1884</v>
      </c>
      <c r="C1234" t="s">
        <v>2193</v>
      </c>
      <c r="D1234" s="9">
        <v>46137</v>
      </c>
      <c r="E1234" t="s">
        <v>23</v>
      </c>
      <c r="G1234" t="s">
        <v>23</v>
      </c>
      <c r="I1234" s="16" t="str">
        <f t="shared" si="19"/>
        <v>Unknown</v>
      </c>
      <c r="J1234" t="s">
        <v>39</v>
      </c>
    </row>
    <row r="1235" spans="1:10">
      <c r="A1235" t="s">
        <v>3590</v>
      </c>
      <c r="B1235" t="s">
        <v>878</v>
      </c>
      <c r="C1235" t="s">
        <v>2225</v>
      </c>
      <c r="D1235" s="9">
        <v>46089</v>
      </c>
      <c r="E1235" t="s">
        <v>2330</v>
      </c>
      <c r="F1235" s="20">
        <v>100</v>
      </c>
      <c r="G1235" t="s">
        <v>2345</v>
      </c>
      <c r="I1235" s="16" t="str">
        <f t="shared" si="19"/>
        <v>Unknown</v>
      </c>
      <c r="J1235">
        <v>2</v>
      </c>
    </row>
    <row r="1236" spans="1:10">
      <c r="A1236" t="s">
        <v>3591</v>
      </c>
      <c r="B1236" t="s">
        <v>1823</v>
      </c>
      <c r="C1236" t="s">
        <v>2222</v>
      </c>
      <c r="D1236" s="9">
        <v>45868</v>
      </c>
      <c r="E1236" t="s">
        <v>2337</v>
      </c>
      <c r="F1236" s="20">
        <v>5</v>
      </c>
      <c r="G1236" t="s">
        <v>2345</v>
      </c>
      <c r="H1236">
        <v>0</v>
      </c>
      <c r="I1236" s="16" t="str">
        <f t="shared" si="19"/>
        <v>Zero Amount</v>
      </c>
      <c r="J1236" t="s">
        <v>39</v>
      </c>
    </row>
    <row r="1237" spans="1:10">
      <c r="A1237" t="s">
        <v>3592</v>
      </c>
      <c r="B1237" t="s">
        <v>99</v>
      </c>
      <c r="C1237" t="s">
        <v>2247</v>
      </c>
      <c r="D1237" s="9">
        <v>45848</v>
      </c>
      <c r="E1237" t="s">
        <v>2327</v>
      </c>
      <c r="F1237" s="20">
        <v>15</v>
      </c>
      <c r="G1237" t="s">
        <v>2331</v>
      </c>
      <c r="I1237" s="16" t="str">
        <f t="shared" si="19"/>
        <v>Unknown</v>
      </c>
      <c r="J1237">
        <v>5</v>
      </c>
    </row>
    <row r="1238" spans="1:10">
      <c r="A1238" t="s">
        <v>3593</v>
      </c>
      <c r="B1238" t="s">
        <v>1666</v>
      </c>
      <c r="C1238" t="s">
        <v>2233</v>
      </c>
      <c r="D1238" s="9">
        <v>45136</v>
      </c>
      <c r="E1238" t="s">
        <v>2337</v>
      </c>
      <c r="G1238" t="s">
        <v>2325</v>
      </c>
      <c r="H1238">
        <v>2500</v>
      </c>
      <c r="I1238" s="16" t="str">
        <f t="shared" si="19"/>
        <v>Normal</v>
      </c>
      <c r="J1238">
        <v>2</v>
      </c>
    </row>
    <row r="1239" spans="1:10">
      <c r="A1239" t="s">
        <v>3594</v>
      </c>
      <c r="B1239" t="s">
        <v>481</v>
      </c>
      <c r="C1239" t="s">
        <v>2244</v>
      </c>
      <c r="D1239" s="9">
        <v>46173</v>
      </c>
      <c r="E1239" t="s">
        <v>2324</v>
      </c>
      <c r="F1239" s="20">
        <v>25</v>
      </c>
      <c r="G1239" t="s">
        <v>2339</v>
      </c>
      <c r="H1239">
        <v>1200</v>
      </c>
      <c r="I1239" s="16" t="str">
        <f t="shared" si="19"/>
        <v>Normal</v>
      </c>
      <c r="J1239">
        <v>1</v>
      </c>
    </row>
    <row r="1240" spans="1:10">
      <c r="A1240" t="s">
        <v>3595</v>
      </c>
      <c r="B1240" t="s">
        <v>1638</v>
      </c>
      <c r="C1240" t="s">
        <v>2273</v>
      </c>
      <c r="D1240" s="9">
        <v>46139</v>
      </c>
      <c r="E1240" t="s">
        <v>2337</v>
      </c>
      <c r="F1240" s="20">
        <v>20</v>
      </c>
      <c r="G1240" t="s">
        <v>2331</v>
      </c>
      <c r="H1240">
        <v>799</v>
      </c>
      <c r="I1240" s="16" t="str">
        <f t="shared" si="19"/>
        <v>Normal</v>
      </c>
      <c r="J1240">
        <v>4</v>
      </c>
    </row>
    <row r="1241" spans="1:10">
      <c r="A1241" t="s">
        <v>3596</v>
      </c>
      <c r="B1241" t="s">
        <v>1330</v>
      </c>
      <c r="C1241" t="s">
        <v>2247</v>
      </c>
      <c r="D1241" s="9">
        <v>45753</v>
      </c>
      <c r="E1241" t="s">
        <v>2330</v>
      </c>
      <c r="F1241" s="20">
        <v>100</v>
      </c>
      <c r="G1241" t="s">
        <v>23</v>
      </c>
      <c r="I1241" s="16" t="str">
        <f t="shared" si="19"/>
        <v>Unknown</v>
      </c>
      <c r="J1241" t="s">
        <v>39</v>
      </c>
    </row>
    <row r="1242" spans="1:10">
      <c r="A1242" t="s">
        <v>3597</v>
      </c>
      <c r="B1242" t="s">
        <v>107</v>
      </c>
      <c r="C1242" t="s">
        <v>2193</v>
      </c>
      <c r="D1242" s="9">
        <v>45769</v>
      </c>
      <c r="E1242" t="s">
        <v>2330</v>
      </c>
      <c r="G1242" t="s">
        <v>2331</v>
      </c>
      <c r="H1242">
        <v>0</v>
      </c>
      <c r="I1242" s="16" t="str">
        <f t="shared" si="19"/>
        <v>Zero Amount</v>
      </c>
      <c r="J1242">
        <v>4</v>
      </c>
    </row>
    <row r="1243" spans="1:10">
      <c r="A1243" t="s">
        <v>3598</v>
      </c>
      <c r="B1243" t="s">
        <v>1181</v>
      </c>
      <c r="C1243" t="s">
        <v>2225</v>
      </c>
      <c r="D1243" s="9">
        <v>45186</v>
      </c>
      <c r="E1243" t="s">
        <v>2330</v>
      </c>
      <c r="F1243" s="20">
        <v>100</v>
      </c>
      <c r="G1243" t="s">
        <v>2345</v>
      </c>
      <c r="I1243" s="16" t="str">
        <f t="shared" si="19"/>
        <v>Unknown</v>
      </c>
      <c r="J1243" t="s">
        <v>39</v>
      </c>
    </row>
    <row r="1244" spans="1:10">
      <c r="A1244" t="s">
        <v>3599</v>
      </c>
      <c r="B1244" t="s">
        <v>1666</v>
      </c>
      <c r="C1244" t="s">
        <v>2247</v>
      </c>
      <c r="D1244" s="9">
        <v>45702</v>
      </c>
      <c r="E1244" t="s">
        <v>23</v>
      </c>
      <c r="G1244" t="s">
        <v>2345</v>
      </c>
      <c r="I1244" s="16" t="str">
        <f t="shared" si="19"/>
        <v>Unknown</v>
      </c>
      <c r="J1244" t="s">
        <v>39</v>
      </c>
    </row>
    <row r="1245" spans="1:10">
      <c r="A1245" t="s">
        <v>3600</v>
      </c>
      <c r="B1245" t="s">
        <v>112</v>
      </c>
      <c r="C1245" t="s">
        <v>2259</v>
      </c>
      <c r="D1245" s="9">
        <v>46135</v>
      </c>
      <c r="E1245" t="s">
        <v>2330</v>
      </c>
      <c r="G1245" t="s">
        <v>2331</v>
      </c>
      <c r="H1245">
        <v>0</v>
      </c>
      <c r="I1245" s="16" t="str">
        <f t="shared" si="19"/>
        <v>Zero Amount</v>
      </c>
      <c r="J1245">
        <v>4</v>
      </c>
    </row>
    <row r="1246" spans="1:10">
      <c r="A1246" t="s">
        <v>3601</v>
      </c>
      <c r="B1246" t="s">
        <v>3602</v>
      </c>
      <c r="C1246" t="s">
        <v>2261</v>
      </c>
      <c r="D1246" s="9">
        <v>45394</v>
      </c>
      <c r="E1246" t="s">
        <v>2330</v>
      </c>
      <c r="G1246" t="s">
        <v>2325</v>
      </c>
      <c r="I1246" s="16" t="str">
        <f t="shared" si="19"/>
        <v>Unknown</v>
      </c>
      <c r="J1246">
        <v>4</v>
      </c>
    </row>
    <row r="1247" spans="1:10">
      <c r="A1247" t="s">
        <v>3603</v>
      </c>
      <c r="B1247" t="s">
        <v>281</v>
      </c>
      <c r="C1247" t="s">
        <v>2225</v>
      </c>
      <c r="D1247" s="9">
        <v>45143</v>
      </c>
      <c r="E1247" t="s">
        <v>2330</v>
      </c>
      <c r="F1247" s="20">
        <v>100</v>
      </c>
      <c r="G1247" t="s">
        <v>2345</v>
      </c>
      <c r="I1247" s="16" t="str">
        <f t="shared" si="19"/>
        <v>Unknown</v>
      </c>
      <c r="J1247">
        <v>2</v>
      </c>
    </row>
    <row r="1248" spans="1:10">
      <c r="A1248" t="s">
        <v>3604</v>
      </c>
      <c r="B1248" t="s">
        <v>1544</v>
      </c>
      <c r="C1248" t="s">
        <v>2222</v>
      </c>
      <c r="D1248" s="9">
        <v>45137</v>
      </c>
      <c r="E1248" t="s">
        <v>23</v>
      </c>
      <c r="G1248" t="s">
        <v>23</v>
      </c>
      <c r="I1248" s="16" t="str">
        <f t="shared" si="19"/>
        <v>Unknown</v>
      </c>
      <c r="J1248">
        <v>4</v>
      </c>
    </row>
    <row r="1249" spans="1:10">
      <c r="A1249" t="s">
        <v>3605</v>
      </c>
      <c r="B1249" t="s">
        <v>861</v>
      </c>
      <c r="C1249" t="s">
        <v>2251</v>
      </c>
      <c r="D1249" s="9">
        <v>45654</v>
      </c>
      <c r="E1249" t="s">
        <v>2330</v>
      </c>
      <c r="F1249" s="20">
        <v>100</v>
      </c>
      <c r="G1249" t="s">
        <v>2331</v>
      </c>
      <c r="H1249">
        <v>-1500</v>
      </c>
      <c r="I1249" s="16" t="str">
        <f t="shared" si="19"/>
        <v>Review</v>
      </c>
      <c r="J1249">
        <v>5</v>
      </c>
    </row>
    <row r="1250" spans="1:10">
      <c r="A1250" t="s">
        <v>3606</v>
      </c>
      <c r="B1250" t="s">
        <v>1548</v>
      </c>
      <c r="C1250" t="s">
        <v>2231</v>
      </c>
      <c r="D1250" s="9">
        <v>45810</v>
      </c>
      <c r="E1250" t="s">
        <v>2330</v>
      </c>
      <c r="G1250" t="s">
        <v>2328</v>
      </c>
      <c r="I1250" s="16" t="str">
        <f t="shared" si="19"/>
        <v>Unknown</v>
      </c>
      <c r="J1250" t="s">
        <v>39</v>
      </c>
    </row>
    <row r="1251" spans="1:10">
      <c r="A1251" t="s">
        <v>3607</v>
      </c>
      <c r="B1251" t="s">
        <v>400</v>
      </c>
      <c r="C1251" t="s">
        <v>2205</v>
      </c>
      <c r="D1251" s="9">
        <v>45570</v>
      </c>
      <c r="E1251" t="s">
        <v>23</v>
      </c>
      <c r="G1251" t="s">
        <v>23</v>
      </c>
      <c r="H1251">
        <v>916.8</v>
      </c>
      <c r="I1251" s="16" t="str">
        <f t="shared" si="19"/>
        <v>Normal</v>
      </c>
      <c r="J1251">
        <v>2</v>
      </c>
    </row>
    <row r="1252" spans="1:10">
      <c r="A1252" t="s">
        <v>3608</v>
      </c>
      <c r="B1252" t="s">
        <v>1779</v>
      </c>
      <c r="C1252" t="s">
        <v>2247</v>
      </c>
      <c r="D1252" s="9">
        <v>45430</v>
      </c>
      <c r="E1252" t="s">
        <v>2330</v>
      </c>
      <c r="F1252" s="20">
        <v>100</v>
      </c>
      <c r="G1252" t="s">
        <v>2331</v>
      </c>
      <c r="I1252" s="16" t="str">
        <f t="shared" si="19"/>
        <v>Unknown</v>
      </c>
      <c r="J1252">
        <v>1</v>
      </c>
    </row>
    <row r="1253" spans="1:10">
      <c r="A1253" t="s">
        <v>3609</v>
      </c>
      <c r="B1253" t="s">
        <v>1627</v>
      </c>
      <c r="C1253" t="s">
        <v>2209</v>
      </c>
      <c r="D1253" s="9">
        <v>46029</v>
      </c>
      <c r="E1253" t="s">
        <v>2330</v>
      </c>
      <c r="G1253" t="s">
        <v>2331</v>
      </c>
      <c r="H1253">
        <v>259.66000000000003</v>
      </c>
      <c r="I1253" s="16" t="str">
        <f t="shared" si="19"/>
        <v>Normal</v>
      </c>
      <c r="J1253">
        <v>4</v>
      </c>
    </row>
    <row r="1254" spans="1:10">
      <c r="A1254" t="s">
        <v>3610</v>
      </c>
      <c r="B1254" t="s">
        <v>1662</v>
      </c>
      <c r="C1254" t="s">
        <v>2264</v>
      </c>
      <c r="D1254" s="9">
        <v>46162</v>
      </c>
      <c r="E1254" t="s">
        <v>2324</v>
      </c>
      <c r="F1254" s="20">
        <v>75</v>
      </c>
      <c r="G1254" t="s">
        <v>2328</v>
      </c>
      <c r="H1254">
        <v>2500</v>
      </c>
      <c r="I1254" s="16" t="str">
        <f t="shared" si="19"/>
        <v>Normal</v>
      </c>
      <c r="J1254">
        <v>2</v>
      </c>
    </row>
    <row r="1255" spans="1:10">
      <c r="A1255" t="s">
        <v>3611</v>
      </c>
      <c r="B1255" t="s">
        <v>548</v>
      </c>
      <c r="C1255" t="s">
        <v>2187</v>
      </c>
      <c r="D1255" s="9">
        <v>45121</v>
      </c>
      <c r="E1255" t="s">
        <v>23</v>
      </c>
      <c r="G1255" t="s">
        <v>2339</v>
      </c>
      <c r="H1255">
        <v>799</v>
      </c>
      <c r="I1255" s="16" t="str">
        <f t="shared" si="19"/>
        <v>Normal</v>
      </c>
      <c r="J1255" t="s">
        <v>39</v>
      </c>
    </row>
    <row r="1256" spans="1:10">
      <c r="A1256" t="s">
        <v>3612</v>
      </c>
      <c r="B1256" t="s">
        <v>426</v>
      </c>
      <c r="C1256" t="s">
        <v>2198</v>
      </c>
      <c r="D1256" s="9">
        <v>45158</v>
      </c>
      <c r="E1256" t="s">
        <v>2330</v>
      </c>
      <c r="F1256" s="20">
        <v>100</v>
      </c>
      <c r="G1256" t="s">
        <v>2345</v>
      </c>
      <c r="I1256" s="16" t="str">
        <f t="shared" si="19"/>
        <v>Unknown</v>
      </c>
      <c r="J1256" t="s">
        <v>39</v>
      </c>
    </row>
    <row r="1257" spans="1:10">
      <c r="A1257" t="s">
        <v>3613</v>
      </c>
      <c r="B1257" t="s">
        <v>989</v>
      </c>
      <c r="C1257" t="s">
        <v>2202</v>
      </c>
      <c r="D1257" s="9">
        <v>45945</v>
      </c>
      <c r="E1257" t="s">
        <v>2324</v>
      </c>
      <c r="F1257" s="20">
        <v>25</v>
      </c>
      <c r="G1257" t="s">
        <v>23</v>
      </c>
      <c r="H1257">
        <v>999.99</v>
      </c>
      <c r="I1257" s="16" t="str">
        <f t="shared" si="19"/>
        <v>Normal</v>
      </c>
      <c r="J1257">
        <v>3</v>
      </c>
    </row>
    <row r="1258" spans="1:10">
      <c r="A1258" t="s">
        <v>3614</v>
      </c>
      <c r="B1258" t="s">
        <v>578</v>
      </c>
      <c r="C1258" t="s">
        <v>2271</v>
      </c>
      <c r="D1258" s="9">
        <v>45987</v>
      </c>
      <c r="E1258" t="s">
        <v>2324</v>
      </c>
      <c r="F1258" s="20">
        <v>55</v>
      </c>
      <c r="G1258" t="s">
        <v>2345</v>
      </c>
      <c r="H1258">
        <v>1200</v>
      </c>
      <c r="I1258" s="16" t="str">
        <f t="shared" si="19"/>
        <v>Normal</v>
      </c>
      <c r="J1258" t="s">
        <v>39</v>
      </c>
    </row>
    <row r="1259" spans="1:10">
      <c r="A1259" t="s">
        <v>3615</v>
      </c>
      <c r="B1259" t="s">
        <v>1884</v>
      </c>
      <c r="C1259" t="s">
        <v>2187</v>
      </c>
      <c r="D1259" s="9">
        <v>45683</v>
      </c>
      <c r="E1259" t="s">
        <v>2337</v>
      </c>
      <c r="F1259" s="20">
        <v>15</v>
      </c>
      <c r="G1259" t="s">
        <v>2339</v>
      </c>
      <c r="H1259">
        <v>799</v>
      </c>
      <c r="I1259" s="16" t="str">
        <f t="shared" si="19"/>
        <v>Normal</v>
      </c>
      <c r="J1259">
        <v>2</v>
      </c>
    </row>
    <row r="1260" spans="1:10">
      <c r="A1260" t="s">
        <v>3616</v>
      </c>
      <c r="B1260" t="s">
        <v>481</v>
      </c>
      <c r="C1260" t="s">
        <v>2235</v>
      </c>
      <c r="D1260" s="9">
        <v>46040</v>
      </c>
      <c r="E1260" t="s">
        <v>2330</v>
      </c>
      <c r="F1260" s="20">
        <v>100</v>
      </c>
      <c r="G1260" t="s">
        <v>2331</v>
      </c>
      <c r="H1260">
        <v>3000</v>
      </c>
      <c r="I1260" s="16" t="str">
        <f t="shared" si="19"/>
        <v>Normal</v>
      </c>
      <c r="J1260">
        <v>4</v>
      </c>
    </row>
    <row r="1261" spans="1:10">
      <c r="A1261" t="s">
        <v>3617</v>
      </c>
      <c r="B1261" t="s">
        <v>3006</v>
      </c>
      <c r="C1261" t="s">
        <v>2273</v>
      </c>
      <c r="D1261" s="9">
        <v>45845</v>
      </c>
      <c r="E1261" t="s">
        <v>2327</v>
      </c>
      <c r="F1261" s="20">
        <v>0</v>
      </c>
      <c r="G1261" t="s">
        <v>2345</v>
      </c>
      <c r="H1261">
        <v>799</v>
      </c>
      <c r="I1261" s="16" t="str">
        <f t="shared" si="19"/>
        <v>Normal</v>
      </c>
      <c r="J1261" t="s">
        <v>39</v>
      </c>
    </row>
    <row r="1262" spans="1:10">
      <c r="A1262" t="s">
        <v>3618</v>
      </c>
      <c r="B1262" t="s">
        <v>1561</v>
      </c>
      <c r="C1262" t="s">
        <v>2237</v>
      </c>
      <c r="D1262" s="9">
        <v>45817</v>
      </c>
      <c r="E1262" t="s">
        <v>23</v>
      </c>
      <c r="G1262" t="s">
        <v>2339</v>
      </c>
      <c r="H1262">
        <v>1500</v>
      </c>
      <c r="I1262" s="16" t="str">
        <f t="shared" si="19"/>
        <v>Normal</v>
      </c>
      <c r="J1262" t="s">
        <v>39</v>
      </c>
    </row>
    <row r="1263" spans="1:10">
      <c r="A1263" t="s">
        <v>3619</v>
      </c>
      <c r="B1263" t="s">
        <v>732</v>
      </c>
      <c r="C1263" t="s">
        <v>2231</v>
      </c>
      <c r="D1263" s="9">
        <v>45703</v>
      </c>
      <c r="E1263" t="s">
        <v>2324</v>
      </c>
      <c r="F1263" s="20">
        <v>40</v>
      </c>
      <c r="G1263" t="s">
        <v>2331</v>
      </c>
      <c r="H1263">
        <v>3000</v>
      </c>
      <c r="I1263" s="16" t="str">
        <f t="shared" si="19"/>
        <v>Normal</v>
      </c>
      <c r="J1263">
        <v>4</v>
      </c>
    </row>
    <row r="1264" spans="1:10">
      <c r="A1264" t="s">
        <v>3620</v>
      </c>
      <c r="B1264" t="s">
        <v>618</v>
      </c>
      <c r="C1264" t="s">
        <v>2241</v>
      </c>
      <c r="D1264" s="9">
        <v>45155</v>
      </c>
      <c r="E1264" t="s">
        <v>2330</v>
      </c>
      <c r="G1264" t="s">
        <v>2328</v>
      </c>
      <c r="H1264">
        <v>2500</v>
      </c>
      <c r="I1264" s="16" t="str">
        <f t="shared" si="19"/>
        <v>Normal</v>
      </c>
      <c r="J1264" t="s">
        <v>39</v>
      </c>
    </row>
    <row r="1265" spans="1:10">
      <c r="A1265" t="s">
        <v>3621</v>
      </c>
      <c r="B1265" t="s">
        <v>2069</v>
      </c>
      <c r="C1265" t="s">
        <v>2271</v>
      </c>
      <c r="D1265" s="9">
        <v>45937</v>
      </c>
      <c r="E1265" t="s">
        <v>2327</v>
      </c>
      <c r="F1265" s="20">
        <v>20</v>
      </c>
      <c r="G1265" t="s">
        <v>23</v>
      </c>
      <c r="H1265">
        <v>1200</v>
      </c>
      <c r="I1265" s="16" t="str">
        <f t="shared" si="19"/>
        <v>Normal</v>
      </c>
      <c r="J1265">
        <v>4</v>
      </c>
    </row>
    <row r="1266" spans="1:10">
      <c r="A1266" t="s">
        <v>3622</v>
      </c>
      <c r="B1266" t="s">
        <v>231</v>
      </c>
      <c r="C1266" t="s">
        <v>2218</v>
      </c>
      <c r="D1266" s="9">
        <v>45860</v>
      </c>
      <c r="E1266" t="s">
        <v>2324</v>
      </c>
      <c r="F1266" s="20">
        <v>25</v>
      </c>
      <c r="G1266" t="s">
        <v>2331</v>
      </c>
      <c r="H1266">
        <v>1500</v>
      </c>
      <c r="I1266" s="16" t="str">
        <f t="shared" si="19"/>
        <v>Normal</v>
      </c>
      <c r="J1266" t="s">
        <v>39</v>
      </c>
    </row>
    <row r="1267" spans="1:10">
      <c r="A1267" t="s">
        <v>3623</v>
      </c>
      <c r="B1267" t="s">
        <v>2139</v>
      </c>
      <c r="C1267" t="s">
        <v>2233</v>
      </c>
      <c r="D1267" s="9">
        <v>45568</v>
      </c>
      <c r="E1267" t="s">
        <v>2324</v>
      </c>
      <c r="F1267" s="20">
        <v>55</v>
      </c>
      <c r="G1267" t="s">
        <v>2325</v>
      </c>
      <c r="H1267">
        <v>2500</v>
      </c>
      <c r="I1267" s="16" t="str">
        <f t="shared" si="19"/>
        <v>Normal</v>
      </c>
      <c r="J1267" t="s">
        <v>39</v>
      </c>
    </row>
    <row r="1268" spans="1:10">
      <c r="A1268" t="s">
        <v>3624</v>
      </c>
      <c r="B1268" t="s">
        <v>692</v>
      </c>
      <c r="C1268" t="s">
        <v>2237</v>
      </c>
      <c r="D1268" s="9">
        <v>45565</v>
      </c>
      <c r="E1268" t="s">
        <v>2330</v>
      </c>
      <c r="F1268" s="20">
        <v>100</v>
      </c>
      <c r="G1268" t="s">
        <v>2331</v>
      </c>
      <c r="H1268">
        <v>1500</v>
      </c>
      <c r="I1268" s="16" t="str">
        <f t="shared" si="19"/>
        <v>Normal</v>
      </c>
      <c r="J1268">
        <v>3</v>
      </c>
    </row>
    <row r="1269" spans="1:10">
      <c r="A1269" t="s">
        <v>3625</v>
      </c>
      <c r="B1269" t="s">
        <v>430</v>
      </c>
      <c r="C1269" t="s">
        <v>2261</v>
      </c>
      <c r="D1269" s="9">
        <v>45248</v>
      </c>
      <c r="E1269" t="s">
        <v>2337</v>
      </c>
      <c r="F1269" s="20">
        <v>5</v>
      </c>
      <c r="G1269" t="s">
        <v>2328</v>
      </c>
      <c r="I1269" s="16" t="str">
        <f t="shared" si="19"/>
        <v>Unknown</v>
      </c>
      <c r="J1269">
        <v>2</v>
      </c>
    </row>
    <row r="1270" spans="1:10">
      <c r="A1270" t="s">
        <v>3626</v>
      </c>
      <c r="B1270" t="s">
        <v>1075</v>
      </c>
      <c r="C1270" t="s">
        <v>2267</v>
      </c>
      <c r="D1270" s="9">
        <v>45577</v>
      </c>
      <c r="E1270" t="s">
        <v>2337</v>
      </c>
      <c r="F1270" s="20">
        <v>20</v>
      </c>
      <c r="G1270" t="s">
        <v>2345</v>
      </c>
      <c r="H1270">
        <v>564.41</v>
      </c>
      <c r="I1270" s="16" t="str">
        <f t="shared" si="19"/>
        <v>Normal</v>
      </c>
      <c r="J1270">
        <v>5</v>
      </c>
    </row>
    <row r="1271" spans="1:10">
      <c r="A1271" t="s">
        <v>3627</v>
      </c>
      <c r="B1271" t="s">
        <v>1599</v>
      </c>
      <c r="C1271" t="s">
        <v>2187</v>
      </c>
      <c r="D1271" s="9">
        <v>46081</v>
      </c>
      <c r="E1271" t="s">
        <v>23</v>
      </c>
      <c r="G1271" t="s">
        <v>2331</v>
      </c>
      <c r="H1271">
        <v>799</v>
      </c>
      <c r="I1271" s="16" t="str">
        <f t="shared" si="19"/>
        <v>Normal</v>
      </c>
      <c r="J1271">
        <v>5</v>
      </c>
    </row>
    <row r="1272" spans="1:10">
      <c r="A1272" t="s">
        <v>3628</v>
      </c>
      <c r="B1272" t="s">
        <v>1654</v>
      </c>
      <c r="C1272" t="s">
        <v>2187</v>
      </c>
      <c r="D1272" s="9">
        <v>46174</v>
      </c>
      <c r="E1272" t="s">
        <v>2324</v>
      </c>
      <c r="F1272" s="20">
        <v>10</v>
      </c>
      <c r="G1272" t="s">
        <v>2331</v>
      </c>
      <c r="H1272">
        <v>799</v>
      </c>
      <c r="I1272" s="16" t="str">
        <f t="shared" si="19"/>
        <v>Normal</v>
      </c>
      <c r="J1272">
        <v>4</v>
      </c>
    </row>
    <row r="1273" spans="1:10">
      <c r="A1273" t="s">
        <v>3629</v>
      </c>
      <c r="B1273" t="s">
        <v>2135</v>
      </c>
      <c r="C1273" t="s">
        <v>2261</v>
      </c>
      <c r="D1273" s="9">
        <v>45501</v>
      </c>
      <c r="E1273" t="s">
        <v>2337</v>
      </c>
      <c r="F1273" s="20">
        <v>15</v>
      </c>
      <c r="G1273" t="s">
        <v>2345</v>
      </c>
      <c r="I1273" s="16" t="str">
        <f t="shared" si="19"/>
        <v>Unknown</v>
      </c>
      <c r="J1273">
        <v>5</v>
      </c>
    </row>
    <row r="1274" spans="1:10">
      <c r="A1274" t="s">
        <v>3630</v>
      </c>
      <c r="B1274" t="s">
        <v>1864</v>
      </c>
      <c r="C1274" t="s">
        <v>2247</v>
      </c>
      <c r="D1274" s="9">
        <v>45310</v>
      </c>
      <c r="E1274" t="s">
        <v>2330</v>
      </c>
      <c r="G1274" t="s">
        <v>2325</v>
      </c>
      <c r="I1274" s="16" t="str">
        <f t="shared" si="19"/>
        <v>Unknown</v>
      </c>
      <c r="J1274">
        <v>5</v>
      </c>
    </row>
    <row r="1275" spans="1:10">
      <c r="A1275" t="s">
        <v>3631</v>
      </c>
      <c r="B1275" t="s">
        <v>200</v>
      </c>
      <c r="C1275" t="s">
        <v>2271</v>
      </c>
      <c r="D1275" s="9">
        <v>45606</v>
      </c>
      <c r="E1275" t="s">
        <v>2327</v>
      </c>
      <c r="F1275" s="20">
        <v>15</v>
      </c>
      <c r="G1275" t="s">
        <v>23</v>
      </c>
      <c r="H1275">
        <v>1200</v>
      </c>
      <c r="I1275" s="16" t="str">
        <f t="shared" si="19"/>
        <v>Normal</v>
      </c>
      <c r="J1275">
        <v>4</v>
      </c>
    </row>
    <row r="1276" spans="1:10">
      <c r="A1276" t="s">
        <v>3632</v>
      </c>
      <c r="B1276" t="s">
        <v>2122</v>
      </c>
      <c r="C1276" t="s">
        <v>2198</v>
      </c>
      <c r="D1276" s="9">
        <v>45161</v>
      </c>
      <c r="E1276" t="s">
        <v>2330</v>
      </c>
      <c r="F1276" s="20">
        <v>100</v>
      </c>
      <c r="G1276" t="s">
        <v>2331</v>
      </c>
      <c r="I1276" s="16" t="str">
        <f t="shared" si="19"/>
        <v>Unknown</v>
      </c>
      <c r="J1276">
        <v>4</v>
      </c>
    </row>
    <row r="1277" spans="1:10">
      <c r="A1277" t="s">
        <v>3633</v>
      </c>
      <c r="B1277" t="s">
        <v>1143</v>
      </c>
      <c r="C1277" t="s">
        <v>2198</v>
      </c>
      <c r="D1277" s="9">
        <v>45352</v>
      </c>
      <c r="E1277" t="s">
        <v>2324</v>
      </c>
      <c r="F1277" s="20">
        <v>60</v>
      </c>
      <c r="G1277" t="s">
        <v>2339</v>
      </c>
      <c r="I1277" s="16" t="str">
        <f t="shared" si="19"/>
        <v>Unknown</v>
      </c>
      <c r="J1277">
        <v>1</v>
      </c>
    </row>
    <row r="1278" spans="1:10">
      <c r="A1278" t="s">
        <v>3634</v>
      </c>
      <c r="B1278" t="s">
        <v>787</v>
      </c>
      <c r="C1278" t="s">
        <v>2257</v>
      </c>
      <c r="D1278" s="9">
        <v>45743</v>
      </c>
      <c r="E1278" t="s">
        <v>2324</v>
      </c>
      <c r="F1278" s="20">
        <v>25</v>
      </c>
      <c r="G1278" t="s">
        <v>2328</v>
      </c>
      <c r="I1278" s="16" t="str">
        <f t="shared" si="19"/>
        <v>Unknown</v>
      </c>
      <c r="J1278">
        <v>1</v>
      </c>
    </row>
    <row r="1279" spans="1:10">
      <c r="A1279" t="s">
        <v>3635</v>
      </c>
      <c r="B1279" t="s">
        <v>12</v>
      </c>
      <c r="C1279" t="s">
        <v>2225</v>
      </c>
      <c r="D1279" s="9">
        <v>45346</v>
      </c>
      <c r="E1279" t="s">
        <v>2330</v>
      </c>
      <c r="F1279" s="20">
        <v>100</v>
      </c>
      <c r="G1279" t="s">
        <v>2331</v>
      </c>
      <c r="I1279" s="16" t="str">
        <f t="shared" si="19"/>
        <v>Unknown</v>
      </c>
      <c r="J1279" t="s">
        <v>39</v>
      </c>
    </row>
    <row r="1280" spans="1:10">
      <c r="A1280" t="s">
        <v>3636</v>
      </c>
      <c r="B1280" t="s">
        <v>2057</v>
      </c>
      <c r="C1280" t="s">
        <v>2241</v>
      </c>
      <c r="D1280" s="9">
        <v>45917</v>
      </c>
      <c r="E1280" t="s">
        <v>2337</v>
      </c>
      <c r="F1280" s="20">
        <v>15</v>
      </c>
      <c r="G1280" t="s">
        <v>2331</v>
      </c>
      <c r="I1280" s="16" t="str">
        <f t="shared" si="19"/>
        <v>Unknown</v>
      </c>
      <c r="J1280" t="s">
        <v>39</v>
      </c>
    </row>
    <row r="1281" spans="1:10">
      <c r="A1281" t="s">
        <v>3637</v>
      </c>
      <c r="B1281" t="s">
        <v>1061</v>
      </c>
      <c r="C1281" t="s">
        <v>2261</v>
      </c>
      <c r="D1281" s="9">
        <v>46071</v>
      </c>
      <c r="E1281" t="s">
        <v>23</v>
      </c>
      <c r="G1281" t="s">
        <v>2331</v>
      </c>
      <c r="I1281" s="16" t="str">
        <f t="shared" si="19"/>
        <v>Unknown</v>
      </c>
      <c r="J1281" t="s">
        <v>39</v>
      </c>
    </row>
    <row r="1282" spans="1:10">
      <c r="A1282" t="s">
        <v>3638</v>
      </c>
      <c r="B1282" t="s">
        <v>1599</v>
      </c>
      <c r="C1282" t="s">
        <v>2225</v>
      </c>
      <c r="D1282" s="9">
        <v>45967</v>
      </c>
      <c r="E1282" t="s">
        <v>2330</v>
      </c>
      <c r="F1282" s="20">
        <v>100</v>
      </c>
      <c r="G1282" t="s">
        <v>2345</v>
      </c>
      <c r="I1282" s="16" t="str">
        <f t="shared" si="19"/>
        <v>Unknown</v>
      </c>
      <c r="J1282">
        <v>1</v>
      </c>
    </row>
    <row r="1283" spans="1:10">
      <c r="A1283" t="s">
        <v>3639</v>
      </c>
      <c r="B1283" t="s">
        <v>145</v>
      </c>
      <c r="C1283" t="s">
        <v>2264</v>
      </c>
      <c r="D1283" s="9">
        <v>45720</v>
      </c>
      <c r="E1283" t="s">
        <v>2337</v>
      </c>
      <c r="F1283" s="20">
        <v>20</v>
      </c>
      <c r="G1283" t="s">
        <v>23</v>
      </c>
      <c r="H1283">
        <v>2500</v>
      </c>
      <c r="I1283" s="16" t="str">
        <f t="shared" ref="I1283:I1346" si="20">IF(H1283="", "Unknown", IF(H1283=0, "Zero Amount", IF(H1283&lt;1, "Review", IF(H1283&gt;1, "Normal"))))</f>
        <v>Normal</v>
      </c>
      <c r="J1283" t="s">
        <v>39</v>
      </c>
    </row>
    <row r="1284" spans="1:10">
      <c r="A1284" t="s">
        <v>3640</v>
      </c>
      <c r="B1284" t="s">
        <v>277</v>
      </c>
      <c r="C1284" t="s">
        <v>2261</v>
      </c>
      <c r="D1284" s="9">
        <v>46184</v>
      </c>
      <c r="E1284" t="s">
        <v>2327</v>
      </c>
      <c r="F1284" s="20">
        <v>15</v>
      </c>
      <c r="G1284" t="s">
        <v>2345</v>
      </c>
      <c r="I1284" s="16" t="str">
        <f t="shared" si="20"/>
        <v>Unknown</v>
      </c>
      <c r="J1284">
        <v>4</v>
      </c>
    </row>
    <row r="1285" spans="1:10">
      <c r="A1285" t="s">
        <v>3641</v>
      </c>
      <c r="B1285" t="s">
        <v>2024</v>
      </c>
      <c r="C1285" t="s">
        <v>2244</v>
      </c>
      <c r="D1285" s="9">
        <v>45114</v>
      </c>
      <c r="E1285" t="s">
        <v>2330</v>
      </c>
      <c r="F1285" s="20">
        <v>100</v>
      </c>
      <c r="G1285" t="s">
        <v>2339</v>
      </c>
      <c r="H1285">
        <v>944.82</v>
      </c>
      <c r="I1285" s="16" t="str">
        <f t="shared" si="20"/>
        <v>Normal</v>
      </c>
      <c r="J1285">
        <v>4</v>
      </c>
    </row>
    <row r="1286" spans="1:10">
      <c r="A1286" t="s">
        <v>3642</v>
      </c>
      <c r="B1286" t="s">
        <v>394</v>
      </c>
      <c r="C1286" t="s">
        <v>2218</v>
      </c>
      <c r="D1286" s="9">
        <v>45886</v>
      </c>
      <c r="E1286" t="s">
        <v>23</v>
      </c>
      <c r="G1286" t="s">
        <v>2331</v>
      </c>
      <c r="H1286">
        <v>1500</v>
      </c>
      <c r="I1286" s="16" t="str">
        <f t="shared" si="20"/>
        <v>Normal</v>
      </c>
      <c r="J1286">
        <v>2</v>
      </c>
    </row>
    <row r="1287" spans="1:10">
      <c r="A1287" t="s">
        <v>3643</v>
      </c>
      <c r="B1287" t="s">
        <v>867</v>
      </c>
      <c r="C1287" t="s">
        <v>2267</v>
      </c>
      <c r="D1287" s="9">
        <v>45988</v>
      </c>
      <c r="E1287" t="s">
        <v>2327</v>
      </c>
      <c r="F1287" s="20">
        <v>20</v>
      </c>
      <c r="G1287" t="s">
        <v>2328</v>
      </c>
      <c r="H1287">
        <v>999.99</v>
      </c>
      <c r="I1287" s="16" t="str">
        <f t="shared" si="20"/>
        <v>Normal</v>
      </c>
      <c r="J1287">
        <v>4</v>
      </c>
    </row>
    <row r="1288" spans="1:10">
      <c r="A1288" t="s">
        <v>3644</v>
      </c>
      <c r="B1288" t="s">
        <v>1995</v>
      </c>
      <c r="C1288" t="s">
        <v>2249</v>
      </c>
      <c r="D1288" s="9">
        <v>45181</v>
      </c>
      <c r="E1288" t="s">
        <v>2337</v>
      </c>
      <c r="G1288" t="s">
        <v>2328</v>
      </c>
      <c r="H1288">
        <v>1500</v>
      </c>
      <c r="I1288" s="16" t="str">
        <f t="shared" si="20"/>
        <v>Normal</v>
      </c>
      <c r="J1288">
        <v>5</v>
      </c>
    </row>
    <row r="1289" spans="1:10">
      <c r="A1289" t="s">
        <v>3645</v>
      </c>
      <c r="B1289" t="s">
        <v>2094</v>
      </c>
      <c r="C1289" t="s">
        <v>2222</v>
      </c>
      <c r="D1289" s="9">
        <v>45236</v>
      </c>
      <c r="E1289" t="s">
        <v>2324</v>
      </c>
      <c r="F1289" s="20">
        <v>40</v>
      </c>
      <c r="G1289" t="s">
        <v>2331</v>
      </c>
      <c r="H1289">
        <v>0</v>
      </c>
      <c r="I1289" s="16" t="str">
        <f t="shared" si="20"/>
        <v>Zero Amount</v>
      </c>
      <c r="J1289">
        <v>3</v>
      </c>
    </row>
    <row r="1290" spans="1:10">
      <c r="A1290" t="s">
        <v>3646</v>
      </c>
      <c r="B1290" t="s">
        <v>228</v>
      </c>
      <c r="C1290" t="s">
        <v>2202</v>
      </c>
      <c r="D1290" s="9">
        <v>45295</v>
      </c>
      <c r="E1290" t="s">
        <v>2327</v>
      </c>
      <c r="G1290" t="s">
        <v>23</v>
      </c>
      <c r="H1290">
        <v>999.99</v>
      </c>
      <c r="I1290" s="16" t="str">
        <f t="shared" si="20"/>
        <v>Normal</v>
      </c>
      <c r="J1290" t="s">
        <v>39</v>
      </c>
    </row>
    <row r="1291" spans="1:10">
      <c r="A1291" t="s">
        <v>3647</v>
      </c>
      <c r="B1291" t="s">
        <v>1357</v>
      </c>
      <c r="C1291" t="s">
        <v>2216</v>
      </c>
      <c r="D1291" s="9">
        <v>45145</v>
      </c>
      <c r="E1291" t="s">
        <v>2337</v>
      </c>
      <c r="F1291" s="20">
        <v>0</v>
      </c>
      <c r="G1291" t="s">
        <v>23</v>
      </c>
      <c r="H1291">
        <v>647.39</v>
      </c>
      <c r="I1291" s="16" t="str">
        <f t="shared" si="20"/>
        <v>Normal</v>
      </c>
      <c r="J1291">
        <v>3</v>
      </c>
    </row>
    <row r="1292" spans="1:10">
      <c r="A1292" t="s">
        <v>3648</v>
      </c>
      <c r="B1292" t="s">
        <v>328</v>
      </c>
      <c r="C1292" t="s">
        <v>2233</v>
      </c>
      <c r="D1292" s="9">
        <v>45481</v>
      </c>
      <c r="E1292" t="s">
        <v>2330</v>
      </c>
      <c r="F1292" s="20">
        <v>100</v>
      </c>
      <c r="G1292" t="s">
        <v>2328</v>
      </c>
      <c r="H1292">
        <v>2500</v>
      </c>
      <c r="I1292" s="16" t="str">
        <f t="shared" si="20"/>
        <v>Normal</v>
      </c>
      <c r="J1292">
        <v>1</v>
      </c>
    </row>
    <row r="1293" spans="1:10">
      <c r="A1293" t="s">
        <v>3649</v>
      </c>
      <c r="B1293" t="s">
        <v>799</v>
      </c>
      <c r="C1293" t="s">
        <v>2233</v>
      </c>
      <c r="D1293" s="9">
        <v>45875</v>
      </c>
      <c r="E1293" t="s">
        <v>2330</v>
      </c>
      <c r="F1293" s="20">
        <v>100</v>
      </c>
      <c r="G1293" t="s">
        <v>2339</v>
      </c>
      <c r="H1293">
        <v>2500</v>
      </c>
      <c r="I1293" s="16" t="str">
        <f t="shared" si="20"/>
        <v>Normal</v>
      </c>
      <c r="J1293">
        <v>4</v>
      </c>
    </row>
    <row r="1294" spans="1:10">
      <c r="A1294" t="s">
        <v>3650</v>
      </c>
      <c r="B1294" t="s">
        <v>2401</v>
      </c>
      <c r="C1294" t="s">
        <v>2241</v>
      </c>
      <c r="D1294" s="9">
        <v>45365</v>
      </c>
      <c r="E1294" t="s">
        <v>2330</v>
      </c>
      <c r="G1294" t="s">
        <v>2345</v>
      </c>
      <c r="H1294">
        <v>2500</v>
      </c>
      <c r="I1294" s="16" t="str">
        <f t="shared" si="20"/>
        <v>Normal</v>
      </c>
      <c r="J1294">
        <v>3</v>
      </c>
    </row>
    <row r="1295" spans="1:10">
      <c r="A1295" t="s">
        <v>3651</v>
      </c>
      <c r="B1295" t="s">
        <v>1422</v>
      </c>
      <c r="C1295" t="s">
        <v>2237</v>
      </c>
      <c r="D1295" s="9">
        <v>45418</v>
      </c>
      <c r="E1295" t="s">
        <v>2330</v>
      </c>
      <c r="F1295" s="20">
        <v>100</v>
      </c>
      <c r="G1295" t="s">
        <v>2345</v>
      </c>
      <c r="H1295">
        <v>1500</v>
      </c>
      <c r="I1295" s="16" t="str">
        <f t="shared" si="20"/>
        <v>Normal</v>
      </c>
      <c r="J1295" t="s">
        <v>39</v>
      </c>
    </row>
    <row r="1296" spans="1:10">
      <c r="A1296" t="s">
        <v>3652</v>
      </c>
      <c r="B1296" t="s">
        <v>538</v>
      </c>
      <c r="C1296" t="s">
        <v>2222</v>
      </c>
      <c r="D1296" s="9">
        <v>45762</v>
      </c>
      <c r="E1296" t="s">
        <v>2330</v>
      </c>
      <c r="G1296" t="s">
        <v>2328</v>
      </c>
      <c r="H1296">
        <v>0</v>
      </c>
      <c r="I1296" s="16" t="str">
        <f t="shared" si="20"/>
        <v>Zero Amount</v>
      </c>
      <c r="J1296" t="s">
        <v>39</v>
      </c>
    </row>
    <row r="1297" spans="1:10">
      <c r="A1297" t="s">
        <v>3653</v>
      </c>
      <c r="B1297" t="s">
        <v>1407</v>
      </c>
      <c r="C1297" t="s">
        <v>2253</v>
      </c>
      <c r="D1297" s="9">
        <v>45622</v>
      </c>
      <c r="E1297" t="s">
        <v>2337</v>
      </c>
      <c r="F1297" s="20">
        <v>20</v>
      </c>
      <c r="G1297" t="s">
        <v>2331</v>
      </c>
      <c r="H1297">
        <v>1200</v>
      </c>
      <c r="I1297" s="16" t="str">
        <f t="shared" si="20"/>
        <v>Normal</v>
      </c>
      <c r="J1297">
        <v>5</v>
      </c>
    </row>
    <row r="1298" spans="1:10">
      <c r="A1298" t="s">
        <v>3654</v>
      </c>
      <c r="B1298" t="s">
        <v>1624</v>
      </c>
      <c r="C1298" t="s">
        <v>2218</v>
      </c>
      <c r="D1298" s="9">
        <v>45232</v>
      </c>
      <c r="E1298" t="s">
        <v>2330</v>
      </c>
      <c r="F1298" s="20">
        <v>100</v>
      </c>
      <c r="G1298" t="s">
        <v>2331</v>
      </c>
      <c r="H1298">
        <v>1500</v>
      </c>
      <c r="I1298" s="16" t="str">
        <f t="shared" si="20"/>
        <v>Normal</v>
      </c>
      <c r="J1298">
        <v>2</v>
      </c>
    </row>
    <row r="1299" spans="1:10">
      <c r="A1299" t="s">
        <v>3655</v>
      </c>
      <c r="B1299" t="s">
        <v>1817</v>
      </c>
      <c r="C1299" t="s">
        <v>2261</v>
      </c>
      <c r="D1299" s="9">
        <v>45182</v>
      </c>
      <c r="E1299" t="s">
        <v>2324</v>
      </c>
      <c r="F1299" s="20">
        <v>60</v>
      </c>
      <c r="G1299" t="s">
        <v>2345</v>
      </c>
      <c r="I1299" s="16" t="str">
        <f t="shared" si="20"/>
        <v>Unknown</v>
      </c>
      <c r="J1299" t="s">
        <v>39</v>
      </c>
    </row>
    <row r="1300" spans="1:10">
      <c r="A1300" t="s">
        <v>3656</v>
      </c>
      <c r="B1300" t="s">
        <v>1207</v>
      </c>
      <c r="C1300" t="s">
        <v>2216</v>
      </c>
      <c r="D1300" s="9">
        <v>45372</v>
      </c>
      <c r="E1300" t="s">
        <v>2330</v>
      </c>
      <c r="F1300" s="20">
        <v>100</v>
      </c>
      <c r="G1300" t="s">
        <v>2331</v>
      </c>
      <c r="H1300">
        <v>1200</v>
      </c>
      <c r="I1300" s="16" t="str">
        <f t="shared" si="20"/>
        <v>Normal</v>
      </c>
      <c r="J1300">
        <v>4</v>
      </c>
    </row>
    <row r="1301" spans="1:10">
      <c r="A1301" t="s">
        <v>3657</v>
      </c>
      <c r="B1301" t="s">
        <v>987</v>
      </c>
      <c r="C1301" t="s">
        <v>2264</v>
      </c>
      <c r="D1301" s="9">
        <v>45779</v>
      </c>
      <c r="E1301" t="s">
        <v>2337</v>
      </c>
      <c r="F1301" s="20">
        <v>5</v>
      </c>
      <c r="G1301" t="s">
        <v>2331</v>
      </c>
      <c r="H1301">
        <v>1613.76</v>
      </c>
      <c r="I1301" s="16" t="str">
        <f t="shared" si="20"/>
        <v>Normal</v>
      </c>
      <c r="J1301" t="s">
        <v>39</v>
      </c>
    </row>
    <row r="1302" spans="1:10">
      <c r="A1302" t="s">
        <v>3658</v>
      </c>
      <c r="B1302" t="s">
        <v>1103</v>
      </c>
      <c r="C1302" t="s">
        <v>2193</v>
      </c>
      <c r="D1302" s="9">
        <v>45640</v>
      </c>
      <c r="E1302" t="s">
        <v>2337</v>
      </c>
      <c r="F1302" s="20">
        <v>15</v>
      </c>
      <c r="G1302" t="s">
        <v>2325</v>
      </c>
      <c r="H1302">
        <v>0</v>
      </c>
      <c r="I1302" s="16" t="str">
        <f t="shared" si="20"/>
        <v>Zero Amount</v>
      </c>
      <c r="J1302">
        <v>4</v>
      </c>
    </row>
    <row r="1303" spans="1:10">
      <c r="A1303" t="s">
        <v>3659</v>
      </c>
      <c r="B1303" t="s">
        <v>239</v>
      </c>
      <c r="C1303" t="s">
        <v>2187</v>
      </c>
      <c r="D1303" s="9">
        <v>45903</v>
      </c>
      <c r="E1303" t="s">
        <v>2337</v>
      </c>
      <c r="F1303" s="20">
        <v>5</v>
      </c>
      <c r="G1303" t="s">
        <v>2339</v>
      </c>
      <c r="H1303">
        <v>799</v>
      </c>
      <c r="I1303" s="16" t="str">
        <f t="shared" si="20"/>
        <v>Normal</v>
      </c>
      <c r="J1303" t="s">
        <v>39</v>
      </c>
    </row>
    <row r="1304" spans="1:10">
      <c r="A1304" t="s">
        <v>3660</v>
      </c>
      <c r="B1304" t="s">
        <v>1122</v>
      </c>
      <c r="C1304" t="s">
        <v>2209</v>
      </c>
      <c r="D1304" s="9">
        <v>45489</v>
      </c>
      <c r="E1304" t="s">
        <v>2337</v>
      </c>
      <c r="F1304" s="20">
        <v>20</v>
      </c>
      <c r="G1304" t="s">
        <v>2339</v>
      </c>
      <c r="H1304">
        <v>499</v>
      </c>
      <c r="I1304" s="16" t="str">
        <f t="shared" si="20"/>
        <v>Normal</v>
      </c>
      <c r="J1304">
        <v>5</v>
      </c>
    </row>
    <row r="1305" spans="1:10">
      <c r="A1305" t="s">
        <v>3661</v>
      </c>
      <c r="B1305" t="s">
        <v>1196</v>
      </c>
      <c r="C1305" t="s">
        <v>2249</v>
      </c>
      <c r="D1305" s="9">
        <v>46100</v>
      </c>
      <c r="E1305" t="s">
        <v>2337</v>
      </c>
      <c r="F1305" s="20">
        <v>0</v>
      </c>
      <c r="G1305" t="s">
        <v>2345</v>
      </c>
      <c r="H1305">
        <v>1500</v>
      </c>
      <c r="I1305" s="16" t="str">
        <f t="shared" si="20"/>
        <v>Normal</v>
      </c>
      <c r="J1305" t="s">
        <v>39</v>
      </c>
    </row>
    <row r="1306" spans="1:10">
      <c r="A1306" t="s">
        <v>3662</v>
      </c>
      <c r="B1306" t="s">
        <v>2401</v>
      </c>
      <c r="C1306" t="s">
        <v>2198</v>
      </c>
      <c r="D1306" s="9">
        <v>45339</v>
      </c>
      <c r="E1306" t="s">
        <v>2330</v>
      </c>
      <c r="G1306" t="s">
        <v>2328</v>
      </c>
      <c r="I1306" s="16" t="str">
        <f t="shared" si="20"/>
        <v>Unknown</v>
      </c>
      <c r="J1306">
        <v>5</v>
      </c>
    </row>
    <row r="1307" spans="1:10">
      <c r="A1307" t="s">
        <v>3663</v>
      </c>
      <c r="B1307" t="s">
        <v>261</v>
      </c>
      <c r="C1307" t="s">
        <v>2187</v>
      </c>
      <c r="D1307" s="9">
        <v>45879</v>
      </c>
      <c r="E1307" t="s">
        <v>2330</v>
      </c>
      <c r="F1307" s="20">
        <v>100</v>
      </c>
      <c r="G1307" t="s">
        <v>2328</v>
      </c>
      <c r="H1307">
        <v>799</v>
      </c>
      <c r="I1307" s="16" t="str">
        <f t="shared" si="20"/>
        <v>Normal</v>
      </c>
      <c r="J1307" t="s">
        <v>39</v>
      </c>
    </row>
    <row r="1308" spans="1:10">
      <c r="A1308" t="s">
        <v>3664</v>
      </c>
      <c r="B1308" t="s">
        <v>1782</v>
      </c>
      <c r="C1308" t="s">
        <v>2257</v>
      </c>
      <c r="D1308" s="9">
        <v>46129</v>
      </c>
      <c r="E1308" t="s">
        <v>2327</v>
      </c>
      <c r="F1308" s="20">
        <v>5</v>
      </c>
      <c r="G1308" t="s">
        <v>2331</v>
      </c>
      <c r="I1308" s="16" t="str">
        <f t="shared" si="20"/>
        <v>Unknown</v>
      </c>
      <c r="J1308" t="s">
        <v>39</v>
      </c>
    </row>
    <row r="1309" spans="1:10">
      <c r="A1309" t="s">
        <v>3665</v>
      </c>
      <c r="B1309" t="s">
        <v>1654</v>
      </c>
      <c r="C1309" t="s">
        <v>2273</v>
      </c>
      <c r="D1309" s="9">
        <v>45953</v>
      </c>
      <c r="E1309" t="s">
        <v>2330</v>
      </c>
      <c r="G1309" t="s">
        <v>2328</v>
      </c>
      <c r="H1309">
        <v>799</v>
      </c>
      <c r="I1309" s="16" t="str">
        <f t="shared" si="20"/>
        <v>Normal</v>
      </c>
      <c r="J1309">
        <v>5</v>
      </c>
    </row>
    <row r="1310" spans="1:10">
      <c r="A1310" t="s">
        <v>3666</v>
      </c>
      <c r="B1310" t="s">
        <v>1004</v>
      </c>
      <c r="C1310" t="s">
        <v>2269</v>
      </c>
      <c r="D1310" s="9">
        <v>45418</v>
      </c>
      <c r="E1310" t="s">
        <v>2337</v>
      </c>
      <c r="F1310" s="20">
        <v>0</v>
      </c>
      <c r="G1310" t="s">
        <v>2339</v>
      </c>
      <c r="H1310">
        <v>499</v>
      </c>
      <c r="I1310" s="16" t="str">
        <f t="shared" si="20"/>
        <v>Normal</v>
      </c>
      <c r="J1310" t="s">
        <v>39</v>
      </c>
    </row>
    <row r="1311" spans="1:10">
      <c r="A1311" t="s">
        <v>3667</v>
      </c>
      <c r="B1311" t="s">
        <v>239</v>
      </c>
      <c r="C1311" t="s">
        <v>2213</v>
      </c>
      <c r="D1311" s="9">
        <v>45814</v>
      </c>
      <c r="E1311" t="s">
        <v>2330</v>
      </c>
      <c r="G1311" t="s">
        <v>23</v>
      </c>
      <c r="H1311">
        <v>1500</v>
      </c>
      <c r="I1311" s="16" t="str">
        <f t="shared" si="20"/>
        <v>Normal</v>
      </c>
      <c r="J1311">
        <v>1</v>
      </c>
    </row>
    <row r="1312" spans="1:10">
      <c r="A1312" t="s">
        <v>3668</v>
      </c>
      <c r="B1312" t="s">
        <v>1291</v>
      </c>
      <c r="C1312" t="s">
        <v>2216</v>
      </c>
      <c r="D1312" s="9">
        <v>45675</v>
      </c>
      <c r="E1312" t="s">
        <v>2324</v>
      </c>
      <c r="F1312" s="20">
        <v>75</v>
      </c>
      <c r="G1312" t="s">
        <v>2345</v>
      </c>
      <c r="H1312">
        <v>1200</v>
      </c>
      <c r="I1312" s="16" t="str">
        <f t="shared" si="20"/>
        <v>Normal</v>
      </c>
      <c r="J1312">
        <v>4</v>
      </c>
    </row>
    <row r="1313" spans="1:10">
      <c r="A1313" t="s">
        <v>3669</v>
      </c>
      <c r="B1313" t="s">
        <v>1713</v>
      </c>
      <c r="C1313" t="s">
        <v>2244</v>
      </c>
      <c r="D1313" s="9">
        <v>45539</v>
      </c>
      <c r="E1313" t="s">
        <v>2327</v>
      </c>
      <c r="F1313" s="20">
        <v>15</v>
      </c>
      <c r="G1313" t="s">
        <v>2339</v>
      </c>
      <c r="H1313">
        <v>1200</v>
      </c>
      <c r="I1313" s="16" t="str">
        <f t="shared" si="20"/>
        <v>Normal</v>
      </c>
      <c r="J1313">
        <v>2</v>
      </c>
    </row>
    <row r="1314" spans="1:10">
      <c r="A1314" t="s">
        <v>3670</v>
      </c>
      <c r="B1314" t="s">
        <v>1177</v>
      </c>
      <c r="C1314" t="s">
        <v>2205</v>
      </c>
      <c r="D1314" s="9">
        <v>45862</v>
      </c>
      <c r="E1314" t="s">
        <v>2330</v>
      </c>
      <c r="F1314" s="20">
        <v>100</v>
      </c>
      <c r="G1314" t="s">
        <v>2345</v>
      </c>
      <c r="I1314" s="16" t="str">
        <f t="shared" si="20"/>
        <v>Unknown</v>
      </c>
      <c r="J1314">
        <v>5</v>
      </c>
    </row>
    <row r="1315" spans="1:10">
      <c r="A1315" t="s">
        <v>3671</v>
      </c>
      <c r="B1315" t="s">
        <v>1360</v>
      </c>
      <c r="C1315" t="s">
        <v>2264</v>
      </c>
      <c r="D1315" s="9">
        <v>45649</v>
      </c>
      <c r="E1315" t="s">
        <v>2330</v>
      </c>
      <c r="F1315" s="20">
        <v>100</v>
      </c>
      <c r="G1315" t="s">
        <v>2328</v>
      </c>
      <c r="H1315">
        <v>2500</v>
      </c>
      <c r="I1315" s="16" t="str">
        <f t="shared" si="20"/>
        <v>Normal</v>
      </c>
      <c r="J1315" t="s">
        <v>39</v>
      </c>
    </row>
    <row r="1316" spans="1:10">
      <c r="A1316" t="s">
        <v>3672</v>
      </c>
      <c r="B1316" t="s">
        <v>972</v>
      </c>
      <c r="C1316" t="s">
        <v>2222</v>
      </c>
      <c r="D1316" s="9">
        <v>45157</v>
      </c>
      <c r="E1316" t="s">
        <v>2324</v>
      </c>
      <c r="F1316" s="20">
        <v>40</v>
      </c>
      <c r="G1316" t="s">
        <v>2339</v>
      </c>
      <c r="H1316">
        <v>0</v>
      </c>
      <c r="I1316" s="16" t="str">
        <f t="shared" si="20"/>
        <v>Zero Amount</v>
      </c>
      <c r="J1316">
        <v>5</v>
      </c>
    </row>
    <row r="1317" spans="1:10">
      <c r="A1317" t="s">
        <v>3673</v>
      </c>
      <c r="B1317" t="s">
        <v>758</v>
      </c>
      <c r="C1317" t="s">
        <v>2269</v>
      </c>
      <c r="D1317" s="9">
        <v>46084</v>
      </c>
      <c r="E1317" t="s">
        <v>2324</v>
      </c>
      <c r="F1317" s="20">
        <v>25</v>
      </c>
      <c r="G1317" t="s">
        <v>23</v>
      </c>
      <c r="H1317">
        <v>499</v>
      </c>
      <c r="I1317" s="16" t="str">
        <f t="shared" si="20"/>
        <v>Normal</v>
      </c>
      <c r="J1317">
        <v>1</v>
      </c>
    </row>
    <row r="1318" spans="1:10">
      <c r="A1318" t="s">
        <v>3674</v>
      </c>
      <c r="B1318" t="s">
        <v>1087</v>
      </c>
      <c r="C1318" t="s">
        <v>2261</v>
      </c>
      <c r="D1318" s="9">
        <v>45871</v>
      </c>
      <c r="E1318" t="s">
        <v>23</v>
      </c>
      <c r="G1318" t="s">
        <v>2331</v>
      </c>
      <c r="I1318" s="16" t="str">
        <f t="shared" si="20"/>
        <v>Unknown</v>
      </c>
      <c r="J1318">
        <v>4</v>
      </c>
    </row>
    <row r="1319" spans="1:10">
      <c r="A1319" t="s">
        <v>3675</v>
      </c>
      <c r="B1319" t="s">
        <v>1680</v>
      </c>
      <c r="C1319" t="s">
        <v>2235</v>
      </c>
      <c r="D1319" s="9">
        <v>45693</v>
      </c>
      <c r="E1319" t="s">
        <v>2330</v>
      </c>
      <c r="F1319" s="20">
        <v>100</v>
      </c>
      <c r="G1319" t="s">
        <v>2339</v>
      </c>
      <c r="H1319">
        <v>3000</v>
      </c>
      <c r="I1319" s="16" t="str">
        <f t="shared" si="20"/>
        <v>Normal</v>
      </c>
      <c r="J1319">
        <v>1</v>
      </c>
    </row>
    <row r="1320" spans="1:10">
      <c r="A1320" t="s">
        <v>3676</v>
      </c>
      <c r="B1320" t="s">
        <v>1817</v>
      </c>
      <c r="C1320" t="s">
        <v>2209</v>
      </c>
      <c r="D1320" s="9">
        <v>45404</v>
      </c>
      <c r="E1320" t="s">
        <v>2330</v>
      </c>
      <c r="F1320" s="20">
        <v>100</v>
      </c>
      <c r="G1320" t="s">
        <v>2339</v>
      </c>
      <c r="H1320">
        <v>499</v>
      </c>
      <c r="I1320" s="16" t="str">
        <f t="shared" si="20"/>
        <v>Normal</v>
      </c>
      <c r="J1320">
        <v>5</v>
      </c>
    </row>
    <row r="1321" spans="1:10">
      <c r="A1321" t="s">
        <v>3677</v>
      </c>
      <c r="B1321" t="s">
        <v>305</v>
      </c>
      <c r="C1321" t="s">
        <v>2271</v>
      </c>
      <c r="D1321" s="9">
        <v>45321</v>
      </c>
      <c r="E1321" t="s">
        <v>2324</v>
      </c>
      <c r="F1321" s="20">
        <v>75</v>
      </c>
      <c r="G1321" t="s">
        <v>2345</v>
      </c>
      <c r="I1321" s="16" t="str">
        <f t="shared" si="20"/>
        <v>Unknown</v>
      </c>
      <c r="J1321" t="s">
        <v>39</v>
      </c>
    </row>
    <row r="1322" spans="1:10">
      <c r="A1322" t="s">
        <v>3678</v>
      </c>
      <c r="B1322" t="s">
        <v>284</v>
      </c>
      <c r="C1322" t="s">
        <v>2249</v>
      </c>
      <c r="D1322" s="9">
        <v>45248</v>
      </c>
      <c r="E1322" t="s">
        <v>2330</v>
      </c>
      <c r="F1322" s="20">
        <v>100</v>
      </c>
      <c r="G1322" t="s">
        <v>2325</v>
      </c>
      <c r="H1322">
        <v>1500</v>
      </c>
      <c r="I1322" s="16" t="str">
        <f t="shared" si="20"/>
        <v>Normal</v>
      </c>
      <c r="J1322" t="s">
        <v>39</v>
      </c>
    </row>
    <row r="1323" spans="1:10">
      <c r="A1323" t="s">
        <v>3679</v>
      </c>
      <c r="B1323" t="s">
        <v>167</v>
      </c>
      <c r="C1323" t="s">
        <v>2231</v>
      </c>
      <c r="D1323" s="9">
        <v>46167</v>
      </c>
      <c r="E1323" t="s">
        <v>2330</v>
      </c>
      <c r="F1323" s="20">
        <v>100</v>
      </c>
      <c r="G1323" t="s">
        <v>2339</v>
      </c>
      <c r="H1323">
        <v>3000</v>
      </c>
      <c r="I1323" s="16" t="str">
        <f t="shared" si="20"/>
        <v>Normal</v>
      </c>
      <c r="J1323">
        <v>3</v>
      </c>
    </row>
    <row r="1324" spans="1:10">
      <c r="A1324" t="s">
        <v>3680</v>
      </c>
      <c r="B1324" t="s">
        <v>1019</v>
      </c>
      <c r="C1324" t="s">
        <v>2249</v>
      </c>
      <c r="D1324" s="9">
        <v>45350</v>
      </c>
      <c r="E1324" t="s">
        <v>2324</v>
      </c>
      <c r="G1324" t="s">
        <v>2345</v>
      </c>
      <c r="H1324">
        <v>1500</v>
      </c>
      <c r="I1324" s="16" t="str">
        <f t="shared" si="20"/>
        <v>Normal</v>
      </c>
      <c r="J1324">
        <v>1</v>
      </c>
    </row>
    <row r="1325" spans="1:10">
      <c r="A1325" t="s">
        <v>3681</v>
      </c>
      <c r="B1325" t="s">
        <v>177</v>
      </c>
      <c r="C1325" t="s">
        <v>2269</v>
      </c>
      <c r="D1325" s="9">
        <v>45911</v>
      </c>
      <c r="E1325" t="s">
        <v>2324</v>
      </c>
      <c r="F1325" s="20">
        <v>60</v>
      </c>
      <c r="G1325" t="s">
        <v>2328</v>
      </c>
      <c r="H1325">
        <v>499</v>
      </c>
      <c r="I1325" s="16" t="str">
        <f t="shared" si="20"/>
        <v>Normal</v>
      </c>
      <c r="J1325" t="s">
        <v>39</v>
      </c>
    </row>
    <row r="1326" spans="1:10">
      <c r="A1326" t="s">
        <v>3682</v>
      </c>
      <c r="B1326" t="s">
        <v>2642</v>
      </c>
      <c r="C1326" t="s">
        <v>2237</v>
      </c>
      <c r="D1326" s="9">
        <v>45329</v>
      </c>
      <c r="E1326" t="s">
        <v>2330</v>
      </c>
      <c r="G1326" t="s">
        <v>2328</v>
      </c>
      <c r="H1326">
        <v>1500</v>
      </c>
      <c r="I1326" s="16" t="str">
        <f t="shared" si="20"/>
        <v>Normal</v>
      </c>
      <c r="J1326">
        <v>5</v>
      </c>
    </row>
    <row r="1327" spans="1:10">
      <c r="A1327" t="s">
        <v>3683</v>
      </c>
      <c r="B1327" t="s">
        <v>1303</v>
      </c>
      <c r="C1327" t="s">
        <v>2209</v>
      </c>
      <c r="D1327" s="9">
        <v>45330</v>
      </c>
      <c r="E1327" t="s">
        <v>2330</v>
      </c>
      <c r="G1327" t="s">
        <v>2331</v>
      </c>
      <c r="H1327">
        <v>339.93</v>
      </c>
      <c r="I1327" s="16" t="str">
        <f t="shared" si="20"/>
        <v>Normal</v>
      </c>
      <c r="J1327">
        <v>2</v>
      </c>
    </row>
    <row r="1328" spans="1:10">
      <c r="A1328" t="s">
        <v>3684</v>
      </c>
      <c r="B1328" t="s">
        <v>997</v>
      </c>
      <c r="C1328" t="s">
        <v>2218</v>
      </c>
      <c r="D1328" s="9">
        <v>45669</v>
      </c>
      <c r="E1328" t="s">
        <v>2330</v>
      </c>
      <c r="F1328" s="20">
        <v>100</v>
      </c>
      <c r="G1328" t="s">
        <v>2331</v>
      </c>
      <c r="H1328">
        <v>1500</v>
      </c>
      <c r="I1328" s="16" t="str">
        <f t="shared" si="20"/>
        <v>Normal</v>
      </c>
      <c r="J1328">
        <v>5</v>
      </c>
    </row>
    <row r="1329" spans="1:10">
      <c r="A1329" t="s">
        <v>3685</v>
      </c>
      <c r="B1329" t="s">
        <v>281</v>
      </c>
      <c r="C1329" t="s">
        <v>2237</v>
      </c>
      <c r="D1329" s="9">
        <v>45253</v>
      </c>
      <c r="E1329" t="s">
        <v>2330</v>
      </c>
      <c r="F1329" s="20">
        <v>100</v>
      </c>
      <c r="G1329" t="s">
        <v>2331</v>
      </c>
      <c r="H1329">
        <v>1500</v>
      </c>
      <c r="I1329" s="16" t="str">
        <f t="shared" si="20"/>
        <v>Normal</v>
      </c>
      <c r="J1329">
        <v>5</v>
      </c>
    </row>
    <row r="1330" spans="1:10">
      <c r="A1330" t="s">
        <v>3686</v>
      </c>
      <c r="B1330" t="s">
        <v>90</v>
      </c>
      <c r="C1330" t="s">
        <v>2251</v>
      </c>
      <c r="D1330" s="9">
        <v>46169</v>
      </c>
      <c r="E1330" t="s">
        <v>2324</v>
      </c>
      <c r="F1330" s="20">
        <v>25</v>
      </c>
      <c r="G1330" t="s">
        <v>23</v>
      </c>
      <c r="H1330">
        <v>1500</v>
      </c>
      <c r="I1330" s="16" t="str">
        <f t="shared" si="20"/>
        <v>Normal</v>
      </c>
      <c r="J1330">
        <v>4</v>
      </c>
    </row>
    <row r="1331" spans="1:10">
      <c r="A1331" t="s">
        <v>3687</v>
      </c>
      <c r="B1331" t="s">
        <v>1864</v>
      </c>
      <c r="C1331" t="s">
        <v>2241</v>
      </c>
      <c r="D1331" s="9">
        <v>45863</v>
      </c>
      <c r="E1331" t="s">
        <v>2330</v>
      </c>
      <c r="G1331" t="s">
        <v>2328</v>
      </c>
      <c r="H1331">
        <v>2500</v>
      </c>
      <c r="I1331" s="16" t="str">
        <f t="shared" si="20"/>
        <v>Normal</v>
      </c>
      <c r="J1331">
        <v>5</v>
      </c>
    </row>
    <row r="1332" spans="1:10">
      <c r="A1332" t="s">
        <v>3688</v>
      </c>
      <c r="B1332" t="s">
        <v>1683</v>
      </c>
      <c r="C1332" t="s">
        <v>2241</v>
      </c>
      <c r="D1332" s="9">
        <v>45810</v>
      </c>
      <c r="E1332" t="s">
        <v>2327</v>
      </c>
      <c r="G1332" t="s">
        <v>2331</v>
      </c>
      <c r="H1332">
        <v>2500</v>
      </c>
      <c r="I1332" s="16" t="str">
        <f t="shared" si="20"/>
        <v>Normal</v>
      </c>
      <c r="J1332" t="s">
        <v>39</v>
      </c>
    </row>
    <row r="1333" spans="1:10">
      <c r="A1333" t="s">
        <v>3689</v>
      </c>
      <c r="B1333" t="s">
        <v>1782</v>
      </c>
      <c r="C1333" t="s">
        <v>2247</v>
      </c>
      <c r="D1333" s="9">
        <v>45595</v>
      </c>
      <c r="E1333" t="s">
        <v>2327</v>
      </c>
      <c r="F1333" s="20">
        <v>20</v>
      </c>
      <c r="G1333" t="s">
        <v>23</v>
      </c>
      <c r="I1333" s="16" t="str">
        <f t="shared" si="20"/>
        <v>Unknown</v>
      </c>
      <c r="J1333" t="s">
        <v>39</v>
      </c>
    </row>
    <row r="1334" spans="1:10">
      <c r="A1334" t="s">
        <v>3690</v>
      </c>
      <c r="B1334" t="s">
        <v>542</v>
      </c>
      <c r="C1334" t="s">
        <v>2218</v>
      </c>
      <c r="D1334" s="9">
        <v>45223</v>
      </c>
      <c r="E1334" t="s">
        <v>2330</v>
      </c>
      <c r="F1334" s="20">
        <v>100</v>
      </c>
      <c r="G1334" t="s">
        <v>2328</v>
      </c>
      <c r="H1334">
        <v>1500</v>
      </c>
      <c r="I1334" s="16" t="str">
        <f t="shared" si="20"/>
        <v>Normal</v>
      </c>
      <c r="J1334" t="s">
        <v>39</v>
      </c>
    </row>
    <row r="1335" spans="1:10">
      <c r="A1335" t="s">
        <v>3691</v>
      </c>
      <c r="B1335" t="s">
        <v>965</v>
      </c>
      <c r="C1335" t="s">
        <v>2209</v>
      </c>
      <c r="D1335" s="9">
        <v>45644</v>
      </c>
      <c r="E1335" t="s">
        <v>2327</v>
      </c>
      <c r="F1335" s="20">
        <v>5</v>
      </c>
      <c r="G1335" t="s">
        <v>23</v>
      </c>
      <c r="H1335">
        <v>499</v>
      </c>
      <c r="I1335" s="16" t="str">
        <f t="shared" si="20"/>
        <v>Normal</v>
      </c>
      <c r="J1335">
        <v>5</v>
      </c>
    </row>
    <row r="1336" spans="1:10">
      <c r="A1336" t="s">
        <v>3692</v>
      </c>
      <c r="B1336" t="s">
        <v>637</v>
      </c>
      <c r="C1336" t="s">
        <v>2241</v>
      </c>
      <c r="D1336" s="9">
        <v>45134</v>
      </c>
      <c r="E1336" t="s">
        <v>2330</v>
      </c>
      <c r="F1336" s="20">
        <v>100</v>
      </c>
      <c r="G1336" t="s">
        <v>2339</v>
      </c>
      <c r="H1336">
        <v>2500</v>
      </c>
      <c r="I1336" s="16" t="str">
        <f t="shared" si="20"/>
        <v>Normal</v>
      </c>
      <c r="J1336">
        <v>4</v>
      </c>
    </row>
    <row r="1337" spans="1:10">
      <c r="A1337" t="s">
        <v>3693</v>
      </c>
      <c r="B1337" t="s">
        <v>453</v>
      </c>
      <c r="C1337" t="s">
        <v>2251</v>
      </c>
      <c r="D1337" s="9">
        <v>45402</v>
      </c>
      <c r="E1337" t="s">
        <v>23</v>
      </c>
      <c r="G1337" t="s">
        <v>2339</v>
      </c>
      <c r="H1337">
        <v>823.6</v>
      </c>
      <c r="I1337" s="16" t="str">
        <f t="shared" si="20"/>
        <v>Normal</v>
      </c>
      <c r="J1337" t="s">
        <v>39</v>
      </c>
    </row>
    <row r="1338" spans="1:10">
      <c r="A1338" t="s">
        <v>3694</v>
      </c>
      <c r="B1338" t="s">
        <v>2094</v>
      </c>
      <c r="C1338" t="s">
        <v>2213</v>
      </c>
      <c r="D1338" s="9">
        <v>45519</v>
      </c>
      <c r="E1338" t="s">
        <v>2330</v>
      </c>
      <c r="F1338" s="20">
        <v>100</v>
      </c>
      <c r="G1338" t="s">
        <v>2325</v>
      </c>
      <c r="H1338">
        <v>1500</v>
      </c>
      <c r="I1338" s="16" t="str">
        <f t="shared" si="20"/>
        <v>Normal</v>
      </c>
      <c r="J1338">
        <v>4</v>
      </c>
    </row>
    <row r="1339" spans="1:10">
      <c r="A1339" t="s">
        <v>3695</v>
      </c>
      <c r="B1339" t="s">
        <v>3696</v>
      </c>
      <c r="C1339" t="s">
        <v>2205</v>
      </c>
      <c r="D1339" s="9">
        <v>46004</v>
      </c>
      <c r="E1339" t="s">
        <v>2330</v>
      </c>
      <c r="F1339" s="20">
        <v>100</v>
      </c>
      <c r="G1339" t="s">
        <v>2325</v>
      </c>
      <c r="H1339">
        <v>1500</v>
      </c>
      <c r="I1339" s="16" t="str">
        <f t="shared" si="20"/>
        <v>Normal</v>
      </c>
      <c r="J1339" t="s">
        <v>39</v>
      </c>
    </row>
    <row r="1340" spans="1:10">
      <c r="A1340" t="s">
        <v>3697</v>
      </c>
      <c r="B1340" t="s">
        <v>684</v>
      </c>
      <c r="C1340" t="s">
        <v>2271</v>
      </c>
      <c r="D1340" s="9">
        <v>45190</v>
      </c>
      <c r="E1340" t="s">
        <v>2330</v>
      </c>
      <c r="F1340" s="20">
        <v>100</v>
      </c>
      <c r="G1340" t="s">
        <v>2328</v>
      </c>
      <c r="H1340">
        <v>1200</v>
      </c>
      <c r="I1340" s="16" t="str">
        <f t="shared" si="20"/>
        <v>Normal</v>
      </c>
      <c r="J1340" t="s">
        <v>39</v>
      </c>
    </row>
    <row r="1341" spans="1:10">
      <c r="A1341" t="s">
        <v>3698</v>
      </c>
      <c r="B1341" t="s">
        <v>1713</v>
      </c>
      <c r="C1341" t="s">
        <v>2233</v>
      </c>
      <c r="D1341" s="9">
        <v>45403</v>
      </c>
      <c r="E1341" t="s">
        <v>2324</v>
      </c>
      <c r="F1341" s="20">
        <v>10</v>
      </c>
      <c r="G1341" t="s">
        <v>23</v>
      </c>
      <c r="H1341">
        <v>2500</v>
      </c>
      <c r="I1341" s="16" t="str">
        <f t="shared" si="20"/>
        <v>Normal</v>
      </c>
      <c r="J1341" t="s">
        <v>39</v>
      </c>
    </row>
    <row r="1342" spans="1:10">
      <c r="A1342" t="s">
        <v>3699</v>
      </c>
      <c r="B1342" t="s">
        <v>1445</v>
      </c>
      <c r="C1342" t="s">
        <v>2202</v>
      </c>
      <c r="D1342" s="9">
        <v>45766</v>
      </c>
      <c r="E1342" t="s">
        <v>2324</v>
      </c>
      <c r="G1342" t="s">
        <v>2328</v>
      </c>
      <c r="H1342">
        <v>999.99</v>
      </c>
      <c r="I1342" s="16" t="str">
        <f t="shared" si="20"/>
        <v>Normal</v>
      </c>
      <c r="J1342">
        <v>2</v>
      </c>
    </row>
    <row r="1343" spans="1:10">
      <c r="A1343" t="s">
        <v>3700</v>
      </c>
      <c r="B1343" t="s">
        <v>380</v>
      </c>
      <c r="C1343" t="s">
        <v>2222</v>
      </c>
      <c r="D1343" s="9">
        <v>45640</v>
      </c>
      <c r="E1343" t="s">
        <v>2330</v>
      </c>
      <c r="F1343" s="20">
        <v>100</v>
      </c>
      <c r="G1343" t="s">
        <v>2331</v>
      </c>
      <c r="H1343">
        <v>0</v>
      </c>
      <c r="I1343" s="16" t="str">
        <f t="shared" si="20"/>
        <v>Zero Amount</v>
      </c>
      <c r="J1343">
        <v>5</v>
      </c>
    </row>
    <row r="1344" spans="1:10">
      <c r="A1344" t="s">
        <v>3701</v>
      </c>
      <c r="B1344" t="s">
        <v>932</v>
      </c>
      <c r="C1344" t="s">
        <v>2251</v>
      </c>
      <c r="D1344" s="9">
        <v>46043</v>
      </c>
      <c r="E1344" t="s">
        <v>2330</v>
      </c>
      <c r="F1344" s="20">
        <v>100</v>
      </c>
      <c r="G1344" t="s">
        <v>2339</v>
      </c>
      <c r="H1344">
        <v>1500</v>
      </c>
      <c r="I1344" s="16" t="str">
        <f t="shared" si="20"/>
        <v>Normal</v>
      </c>
      <c r="J1344">
        <v>5</v>
      </c>
    </row>
    <row r="1345" spans="1:10">
      <c r="A1345" t="s">
        <v>3702</v>
      </c>
      <c r="B1345" t="s">
        <v>751</v>
      </c>
      <c r="C1345" t="s">
        <v>2225</v>
      </c>
      <c r="D1345" s="9">
        <v>45519</v>
      </c>
      <c r="E1345" t="s">
        <v>2337</v>
      </c>
      <c r="G1345" t="s">
        <v>2331</v>
      </c>
      <c r="I1345" s="16" t="str">
        <f t="shared" si="20"/>
        <v>Unknown</v>
      </c>
      <c r="J1345">
        <v>3</v>
      </c>
    </row>
    <row r="1346" spans="1:10">
      <c r="A1346" t="s">
        <v>3703</v>
      </c>
      <c r="B1346" t="s">
        <v>174</v>
      </c>
      <c r="C1346" t="s">
        <v>2187</v>
      </c>
      <c r="D1346" s="9">
        <v>45146</v>
      </c>
      <c r="E1346" t="s">
        <v>2330</v>
      </c>
      <c r="F1346" s="20">
        <v>100</v>
      </c>
      <c r="G1346" t="s">
        <v>2328</v>
      </c>
      <c r="H1346">
        <v>799</v>
      </c>
      <c r="I1346" s="16" t="str">
        <f t="shared" si="20"/>
        <v>Normal</v>
      </c>
      <c r="J1346">
        <v>5</v>
      </c>
    </row>
    <row r="1347" spans="1:10">
      <c r="A1347" t="s">
        <v>3704</v>
      </c>
      <c r="B1347" t="s">
        <v>707</v>
      </c>
      <c r="C1347" t="s">
        <v>2187</v>
      </c>
      <c r="D1347" s="9">
        <v>45293</v>
      </c>
      <c r="E1347" t="s">
        <v>2330</v>
      </c>
      <c r="G1347" t="s">
        <v>2328</v>
      </c>
      <c r="H1347">
        <v>659.22</v>
      </c>
      <c r="I1347" s="16" t="str">
        <f t="shared" ref="I1347:I1410" si="21">IF(H1347="", "Unknown", IF(H1347=0, "Zero Amount", IF(H1347&lt;1, "Review", IF(H1347&gt;1, "Normal"))))</f>
        <v>Normal</v>
      </c>
      <c r="J1347">
        <v>3</v>
      </c>
    </row>
    <row r="1348" spans="1:10">
      <c r="A1348" t="s">
        <v>3705</v>
      </c>
      <c r="B1348" t="s">
        <v>3006</v>
      </c>
      <c r="C1348" t="s">
        <v>2267</v>
      </c>
      <c r="D1348" s="9">
        <v>45300</v>
      </c>
      <c r="E1348" t="s">
        <v>2324</v>
      </c>
      <c r="F1348" s="20">
        <v>10</v>
      </c>
      <c r="G1348" t="s">
        <v>2328</v>
      </c>
      <c r="I1348" s="16" t="str">
        <f t="shared" si="21"/>
        <v>Unknown</v>
      </c>
      <c r="J1348" t="s">
        <v>39</v>
      </c>
    </row>
    <row r="1349" spans="1:10">
      <c r="A1349" t="s">
        <v>3706</v>
      </c>
      <c r="B1349" t="s">
        <v>1576</v>
      </c>
      <c r="C1349" t="s">
        <v>2218</v>
      </c>
      <c r="D1349" s="9">
        <v>45570</v>
      </c>
      <c r="E1349" t="s">
        <v>2324</v>
      </c>
      <c r="F1349" s="20">
        <v>10</v>
      </c>
      <c r="G1349" t="s">
        <v>2345</v>
      </c>
      <c r="H1349">
        <v>1500</v>
      </c>
      <c r="I1349" s="16" t="str">
        <f t="shared" si="21"/>
        <v>Normal</v>
      </c>
      <c r="J1349">
        <v>4</v>
      </c>
    </row>
    <row r="1350" spans="1:10">
      <c r="A1350" t="s">
        <v>3707</v>
      </c>
      <c r="B1350" t="s">
        <v>3708</v>
      </c>
      <c r="C1350" t="s">
        <v>2257</v>
      </c>
      <c r="D1350" s="9">
        <v>45155</v>
      </c>
      <c r="E1350" t="s">
        <v>2330</v>
      </c>
      <c r="F1350" s="20">
        <v>100</v>
      </c>
      <c r="G1350" t="s">
        <v>23</v>
      </c>
      <c r="I1350" s="16" t="str">
        <f t="shared" si="21"/>
        <v>Unknown</v>
      </c>
      <c r="J1350">
        <v>2</v>
      </c>
    </row>
    <row r="1351" spans="1:10">
      <c r="A1351" t="s">
        <v>3709</v>
      </c>
      <c r="B1351" t="s">
        <v>2006</v>
      </c>
      <c r="C1351" t="s">
        <v>2225</v>
      </c>
      <c r="D1351" s="9">
        <v>45432</v>
      </c>
      <c r="E1351" t="s">
        <v>2337</v>
      </c>
      <c r="G1351" t="s">
        <v>23</v>
      </c>
      <c r="I1351" s="16" t="str">
        <f t="shared" si="21"/>
        <v>Unknown</v>
      </c>
      <c r="J1351">
        <v>4</v>
      </c>
    </row>
    <row r="1352" spans="1:10">
      <c r="A1352" t="s">
        <v>3710</v>
      </c>
      <c r="B1352" t="s">
        <v>200</v>
      </c>
      <c r="C1352" t="s">
        <v>2241</v>
      </c>
      <c r="D1352" s="9">
        <v>45691</v>
      </c>
      <c r="E1352" t="s">
        <v>2330</v>
      </c>
      <c r="F1352" s="20">
        <v>100</v>
      </c>
      <c r="G1352" t="s">
        <v>2325</v>
      </c>
      <c r="H1352">
        <v>2036.63</v>
      </c>
      <c r="I1352" s="16" t="str">
        <f t="shared" si="21"/>
        <v>Normal</v>
      </c>
      <c r="J1352">
        <v>3</v>
      </c>
    </row>
    <row r="1353" spans="1:10">
      <c r="A1353" t="s">
        <v>3711</v>
      </c>
      <c r="B1353" t="s">
        <v>1602</v>
      </c>
      <c r="C1353" t="s">
        <v>2233</v>
      </c>
      <c r="D1353" s="9">
        <v>45479</v>
      </c>
      <c r="E1353" t="s">
        <v>2330</v>
      </c>
      <c r="F1353" s="20">
        <v>100</v>
      </c>
      <c r="G1353" t="s">
        <v>2328</v>
      </c>
      <c r="H1353">
        <v>2500</v>
      </c>
      <c r="I1353" s="16" t="str">
        <f t="shared" si="21"/>
        <v>Normal</v>
      </c>
      <c r="J1353">
        <v>2</v>
      </c>
    </row>
    <row r="1354" spans="1:10">
      <c r="A1354" t="s">
        <v>3712</v>
      </c>
      <c r="B1354" t="s">
        <v>1981</v>
      </c>
      <c r="C1354" t="s">
        <v>2259</v>
      </c>
      <c r="D1354" s="9">
        <v>45126</v>
      </c>
      <c r="E1354" t="s">
        <v>2337</v>
      </c>
      <c r="F1354" s="20">
        <v>5</v>
      </c>
      <c r="G1354" t="s">
        <v>2345</v>
      </c>
      <c r="H1354">
        <v>0</v>
      </c>
      <c r="I1354" s="16" t="str">
        <f t="shared" si="21"/>
        <v>Zero Amount</v>
      </c>
      <c r="J1354">
        <v>4</v>
      </c>
    </row>
    <row r="1355" spans="1:10">
      <c r="A1355" t="s">
        <v>3713</v>
      </c>
      <c r="B1355" t="s">
        <v>1956</v>
      </c>
      <c r="C1355" t="s">
        <v>2216</v>
      </c>
      <c r="D1355" s="9">
        <v>45765</v>
      </c>
      <c r="E1355" t="s">
        <v>2337</v>
      </c>
      <c r="G1355" t="s">
        <v>2331</v>
      </c>
      <c r="H1355">
        <v>1200</v>
      </c>
      <c r="I1355" s="16" t="str">
        <f t="shared" si="21"/>
        <v>Normal</v>
      </c>
      <c r="J1355">
        <v>5</v>
      </c>
    </row>
    <row r="1356" spans="1:10">
      <c r="A1356" t="s">
        <v>3714</v>
      </c>
      <c r="B1356" t="s">
        <v>1751</v>
      </c>
      <c r="C1356" t="s">
        <v>2241</v>
      </c>
      <c r="D1356" s="9">
        <v>46076</v>
      </c>
      <c r="E1356" t="s">
        <v>23</v>
      </c>
      <c r="G1356" t="s">
        <v>2345</v>
      </c>
      <c r="H1356">
        <v>2500</v>
      </c>
      <c r="I1356" s="16" t="str">
        <f t="shared" si="21"/>
        <v>Normal</v>
      </c>
      <c r="J1356">
        <v>4</v>
      </c>
    </row>
    <row r="1357" spans="1:10">
      <c r="A1357" t="s">
        <v>3715</v>
      </c>
      <c r="B1357" t="s">
        <v>1389</v>
      </c>
      <c r="C1357" t="s">
        <v>2264</v>
      </c>
      <c r="D1357" s="9">
        <v>46109</v>
      </c>
      <c r="E1357" t="s">
        <v>2337</v>
      </c>
      <c r="F1357" s="20">
        <v>5</v>
      </c>
      <c r="G1357" t="s">
        <v>2331</v>
      </c>
      <c r="H1357">
        <v>2500</v>
      </c>
      <c r="I1357" s="16" t="str">
        <f t="shared" si="21"/>
        <v>Normal</v>
      </c>
      <c r="J1357">
        <v>3</v>
      </c>
    </row>
    <row r="1358" spans="1:10">
      <c r="A1358" t="s">
        <v>3716</v>
      </c>
      <c r="B1358" t="s">
        <v>2104</v>
      </c>
      <c r="C1358" t="s">
        <v>2235</v>
      </c>
      <c r="D1358" s="9">
        <v>46329</v>
      </c>
      <c r="E1358" t="s">
        <v>2330</v>
      </c>
      <c r="F1358" s="20">
        <v>100</v>
      </c>
      <c r="G1358" t="s">
        <v>2345</v>
      </c>
      <c r="H1358">
        <v>3000</v>
      </c>
      <c r="I1358" s="16" t="str">
        <f t="shared" si="21"/>
        <v>Normal</v>
      </c>
      <c r="J1358">
        <v>4</v>
      </c>
    </row>
    <row r="1359" spans="1:10">
      <c r="A1359" t="s">
        <v>3717</v>
      </c>
      <c r="B1359" t="s">
        <v>360</v>
      </c>
      <c r="C1359" t="s">
        <v>2205</v>
      </c>
      <c r="D1359" s="9">
        <v>45986</v>
      </c>
      <c r="E1359" t="s">
        <v>2324</v>
      </c>
      <c r="F1359" s="20">
        <v>55</v>
      </c>
      <c r="G1359" t="s">
        <v>2339</v>
      </c>
      <c r="H1359">
        <v>1500</v>
      </c>
      <c r="I1359" s="16" t="str">
        <f t="shared" si="21"/>
        <v>Normal</v>
      </c>
      <c r="J1359">
        <v>5</v>
      </c>
    </row>
    <row r="1360" spans="1:10">
      <c r="A1360" t="s">
        <v>3718</v>
      </c>
      <c r="B1360" t="s">
        <v>1425</v>
      </c>
      <c r="C1360" t="s">
        <v>2187</v>
      </c>
      <c r="D1360" s="9">
        <v>45745</v>
      </c>
      <c r="E1360" t="s">
        <v>2324</v>
      </c>
      <c r="F1360" s="20">
        <v>60</v>
      </c>
      <c r="G1360" t="s">
        <v>2331</v>
      </c>
      <c r="H1360">
        <v>524.36</v>
      </c>
      <c r="I1360" s="16" t="str">
        <f t="shared" si="21"/>
        <v>Normal</v>
      </c>
      <c r="J1360" t="s">
        <v>39</v>
      </c>
    </row>
    <row r="1361" spans="1:10">
      <c r="A1361" t="s">
        <v>3719</v>
      </c>
      <c r="B1361" t="s">
        <v>548</v>
      </c>
      <c r="C1361" t="s">
        <v>2198</v>
      </c>
      <c r="D1361" s="9">
        <v>45927</v>
      </c>
      <c r="E1361" t="s">
        <v>2324</v>
      </c>
      <c r="F1361" s="20">
        <v>40</v>
      </c>
      <c r="G1361" t="s">
        <v>2331</v>
      </c>
      <c r="I1361" s="16" t="str">
        <f t="shared" si="21"/>
        <v>Unknown</v>
      </c>
      <c r="J1361">
        <v>5</v>
      </c>
    </row>
    <row r="1362" spans="1:10">
      <c r="A1362" t="s">
        <v>3720</v>
      </c>
      <c r="B1362" t="s">
        <v>1711</v>
      </c>
      <c r="C1362" t="s">
        <v>2237</v>
      </c>
      <c r="D1362" s="9">
        <v>45471</v>
      </c>
      <c r="E1362" t="s">
        <v>2330</v>
      </c>
      <c r="G1362" t="s">
        <v>2339</v>
      </c>
      <c r="H1362">
        <v>1500</v>
      </c>
      <c r="I1362" s="16" t="str">
        <f t="shared" si="21"/>
        <v>Normal</v>
      </c>
      <c r="J1362" t="s">
        <v>39</v>
      </c>
    </row>
    <row r="1363" spans="1:10">
      <c r="A1363" t="s">
        <v>3721</v>
      </c>
      <c r="B1363" t="s">
        <v>1809</v>
      </c>
      <c r="C1363" t="s">
        <v>2222</v>
      </c>
      <c r="D1363" s="9">
        <v>46006</v>
      </c>
      <c r="E1363" t="s">
        <v>2327</v>
      </c>
      <c r="F1363" s="20">
        <v>0</v>
      </c>
      <c r="G1363" t="s">
        <v>2339</v>
      </c>
      <c r="H1363">
        <v>0</v>
      </c>
      <c r="I1363" s="16" t="str">
        <f t="shared" si="21"/>
        <v>Zero Amount</v>
      </c>
      <c r="J1363" t="s">
        <v>39</v>
      </c>
    </row>
    <row r="1364" spans="1:10">
      <c r="A1364" t="s">
        <v>3722</v>
      </c>
      <c r="B1364" t="s">
        <v>1069</v>
      </c>
      <c r="C1364" t="s">
        <v>2198</v>
      </c>
      <c r="D1364" s="9">
        <v>45573</v>
      </c>
      <c r="E1364" t="s">
        <v>2337</v>
      </c>
      <c r="F1364" s="20">
        <v>5</v>
      </c>
      <c r="G1364" t="s">
        <v>2339</v>
      </c>
      <c r="I1364" s="16" t="str">
        <f t="shared" si="21"/>
        <v>Unknown</v>
      </c>
      <c r="J1364">
        <v>4</v>
      </c>
    </row>
    <row r="1365" spans="1:10">
      <c r="A1365" t="s">
        <v>3723</v>
      </c>
      <c r="B1365" t="s">
        <v>554</v>
      </c>
      <c r="C1365" t="s">
        <v>2249</v>
      </c>
      <c r="D1365" s="9">
        <v>45301</v>
      </c>
      <c r="E1365" t="s">
        <v>2324</v>
      </c>
      <c r="F1365" s="20">
        <v>60</v>
      </c>
      <c r="G1365" t="s">
        <v>2345</v>
      </c>
      <c r="H1365">
        <v>1500</v>
      </c>
      <c r="I1365" s="16" t="str">
        <f t="shared" si="21"/>
        <v>Normal</v>
      </c>
      <c r="J1365">
        <v>4</v>
      </c>
    </row>
    <row r="1366" spans="1:10">
      <c r="A1366" t="s">
        <v>3724</v>
      </c>
      <c r="B1366" t="s">
        <v>1007</v>
      </c>
      <c r="C1366" t="s">
        <v>2259</v>
      </c>
      <c r="D1366" s="9">
        <v>45897</v>
      </c>
      <c r="E1366" t="s">
        <v>2324</v>
      </c>
      <c r="F1366" s="20">
        <v>40</v>
      </c>
      <c r="G1366" t="s">
        <v>2331</v>
      </c>
      <c r="H1366">
        <v>0</v>
      </c>
      <c r="I1366" s="16" t="str">
        <f t="shared" si="21"/>
        <v>Zero Amount</v>
      </c>
      <c r="J1366" t="s">
        <v>39</v>
      </c>
    </row>
    <row r="1367" spans="1:10">
      <c r="A1367" t="s">
        <v>3725</v>
      </c>
      <c r="B1367" t="s">
        <v>1118</v>
      </c>
      <c r="C1367" t="s">
        <v>2228</v>
      </c>
      <c r="D1367" s="9">
        <v>45756</v>
      </c>
      <c r="E1367" t="s">
        <v>2330</v>
      </c>
      <c r="F1367" s="20">
        <v>100</v>
      </c>
      <c r="G1367" t="s">
        <v>2339</v>
      </c>
      <c r="H1367">
        <v>799</v>
      </c>
      <c r="I1367" s="16" t="str">
        <f t="shared" si="21"/>
        <v>Normal</v>
      </c>
      <c r="J1367">
        <v>3</v>
      </c>
    </row>
    <row r="1368" spans="1:10">
      <c r="A1368" t="s">
        <v>3726</v>
      </c>
      <c r="B1368" t="s">
        <v>28</v>
      </c>
      <c r="C1368" t="s">
        <v>2269</v>
      </c>
      <c r="D1368" s="9">
        <v>45160</v>
      </c>
      <c r="E1368" t="s">
        <v>2327</v>
      </c>
      <c r="F1368" s="20">
        <v>5</v>
      </c>
      <c r="G1368" t="s">
        <v>2345</v>
      </c>
      <c r="H1368">
        <v>499</v>
      </c>
      <c r="I1368" s="16" t="str">
        <f t="shared" si="21"/>
        <v>Normal</v>
      </c>
      <c r="J1368">
        <v>3</v>
      </c>
    </row>
    <row r="1369" spans="1:10">
      <c r="A1369" t="s">
        <v>3727</v>
      </c>
      <c r="B1369" t="s">
        <v>2119</v>
      </c>
      <c r="C1369" t="s">
        <v>2187</v>
      </c>
      <c r="D1369" s="9">
        <v>45217</v>
      </c>
      <c r="E1369" t="s">
        <v>2330</v>
      </c>
      <c r="F1369" s="20">
        <v>100</v>
      </c>
      <c r="G1369" t="s">
        <v>2325</v>
      </c>
      <c r="H1369">
        <v>799</v>
      </c>
      <c r="I1369" s="16" t="str">
        <f t="shared" si="21"/>
        <v>Normal</v>
      </c>
      <c r="J1369" t="s">
        <v>39</v>
      </c>
    </row>
    <row r="1370" spans="1:10">
      <c r="A1370" t="s">
        <v>3728</v>
      </c>
      <c r="B1370" t="s">
        <v>1291</v>
      </c>
      <c r="C1370" t="s">
        <v>2233</v>
      </c>
      <c r="D1370" s="9">
        <v>45523</v>
      </c>
      <c r="E1370" t="s">
        <v>2330</v>
      </c>
      <c r="F1370" s="20">
        <v>100</v>
      </c>
      <c r="G1370" t="s">
        <v>2339</v>
      </c>
      <c r="H1370">
        <v>2134.15</v>
      </c>
      <c r="I1370" s="16" t="str">
        <f t="shared" si="21"/>
        <v>Normal</v>
      </c>
      <c r="J1370">
        <v>5</v>
      </c>
    </row>
    <row r="1371" spans="1:10">
      <c r="A1371" t="s">
        <v>3729</v>
      </c>
      <c r="B1371" t="s">
        <v>1061</v>
      </c>
      <c r="C1371" t="s">
        <v>2269</v>
      </c>
      <c r="D1371" s="9">
        <v>45888</v>
      </c>
      <c r="E1371" t="s">
        <v>2327</v>
      </c>
      <c r="G1371" t="s">
        <v>2331</v>
      </c>
      <c r="H1371">
        <v>499</v>
      </c>
      <c r="I1371" s="16" t="str">
        <f t="shared" si="21"/>
        <v>Normal</v>
      </c>
      <c r="J1371" t="s">
        <v>39</v>
      </c>
    </row>
    <row r="1372" spans="1:10">
      <c r="A1372" t="s">
        <v>3730</v>
      </c>
      <c r="B1372" t="s">
        <v>1065</v>
      </c>
      <c r="C1372" t="s">
        <v>2187</v>
      </c>
      <c r="D1372" s="9">
        <v>45841</v>
      </c>
      <c r="E1372" t="s">
        <v>2324</v>
      </c>
      <c r="F1372" s="20">
        <v>55</v>
      </c>
      <c r="G1372" t="s">
        <v>2339</v>
      </c>
      <c r="I1372" s="16" t="str">
        <f t="shared" si="21"/>
        <v>Unknown</v>
      </c>
      <c r="J1372">
        <v>5</v>
      </c>
    </row>
    <row r="1373" spans="1:10">
      <c r="A1373" t="s">
        <v>3731</v>
      </c>
      <c r="B1373" t="s">
        <v>630</v>
      </c>
      <c r="C1373" t="s">
        <v>2257</v>
      </c>
      <c r="D1373" s="9">
        <v>46038</v>
      </c>
      <c r="E1373" t="s">
        <v>23</v>
      </c>
      <c r="G1373" t="s">
        <v>2328</v>
      </c>
      <c r="I1373" s="16" t="str">
        <f t="shared" si="21"/>
        <v>Unknown</v>
      </c>
      <c r="J1373">
        <v>1</v>
      </c>
    </row>
    <row r="1374" spans="1:10">
      <c r="A1374" t="s">
        <v>3732</v>
      </c>
      <c r="B1374" t="s">
        <v>305</v>
      </c>
      <c r="C1374" t="s">
        <v>2231</v>
      </c>
      <c r="D1374" s="9">
        <v>46126</v>
      </c>
      <c r="E1374" t="s">
        <v>2324</v>
      </c>
      <c r="F1374" s="20">
        <v>10</v>
      </c>
      <c r="G1374" t="s">
        <v>2331</v>
      </c>
      <c r="H1374">
        <v>-3000</v>
      </c>
      <c r="I1374" s="16" t="str">
        <f t="shared" si="21"/>
        <v>Review</v>
      </c>
      <c r="J1374">
        <v>5</v>
      </c>
    </row>
    <row r="1375" spans="1:10">
      <c r="A1375" t="s">
        <v>3733</v>
      </c>
      <c r="B1375" t="s">
        <v>2077</v>
      </c>
      <c r="C1375" t="s">
        <v>2251</v>
      </c>
      <c r="D1375" s="9">
        <v>45605</v>
      </c>
      <c r="E1375" t="s">
        <v>2330</v>
      </c>
      <c r="F1375" s="20">
        <v>100</v>
      </c>
      <c r="G1375" t="s">
        <v>2331</v>
      </c>
      <c r="H1375">
        <v>1500</v>
      </c>
      <c r="I1375" s="16" t="str">
        <f t="shared" si="21"/>
        <v>Normal</v>
      </c>
      <c r="J1375" t="s">
        <v>39</v>
      </c>
    </row>
    <row r="1376" spans="1:10">
      <c r="A1376" t="s">
        <v>3734</v>
      </c>
      <c r="B1376" t="s">
        <v>20</v>
      </c>
      <c r="C1376" t="s">
        <v>2249</v>
      </c>
      <c r="D1376" s="9">
        <v>45725</v>
      </c>
      <c r="E1376" t="s">
        <v>23</v>
      </c>
      <c r="G1376" t="s">
        <v>2331</v>
      </c>
      <c r="H1376">
        <v>1100.55</v>
      </c>
      <c r="I1376" s="16" t="str">
        <f t="shared" si="21"/>
        <v>Normal</v>
      </c>
      <c r="J1376" t="s">
        <v>39</v>
      </c>
    </row>
    <row r="1377" spans="1:10">
      <c r="A1377" t="s">
        <v>3735</v>
      </c>
      <c r="B1377" t="s">
        <v>1194</v>
      </c>
      <c r="C1377" t="s">
        <v>2209</v>
      </c>
      <c r="D1377" s="9">
        <v>45750</v>
      </c>
      <c r="E1377" t="s">
        <v>2324</v>
      </c>
      <c r="F1377" s="20">
        <v>75</v>
      </c>
      <c r="G1377" t="s">
        <v>2325</v>
      </c>
      <c r="H1377">
        <v>499</v>
      </c>
      <c r="I1377" s="16" t="str">
        <f t="shared" si="21"/>
        <v>Normal</v>
      </c>
      <c r="J1377" t="s">
        <v>39</v>
      </c>
    </row>
    <row r="1378" spans="1:10">
      <c r="A1378" t="s">
        <v>3736</v>
      </c>
      <c r="B1378" t="s">
        <v>2642</v>
      </c>
      <c r="C1378" t="s">
        <v>2193</v>
      </c>
      <c r="D1378" s="9">
        <v>45666</v>
      </c>
      <c r="E1378" t="s">
        <v>2327</v>
      </c>
      <c r="F1378" s="20">
        <v>5</v>
      </c>
      <c r="G1378" t="s">
        <v>2331</v>
      </c>
      <c r="I1378" s="16" t="str">
        <f t="shared" si="21"/>
        <v>Unknown</v>
      </c>
      <c r="J1378" t="s">
        <v>39</v>
      </c>
    </row>
    <row r="1379" spans="1:10">
      <c r="A1379" t="s">
        <v>3737</v>
      </c>
      <c r="B1379" t="s">
        <v>1602</v>
      </c>
      <c r="C1379" t="s">
        <v>2247</v>
      </c>
      <c r="D1379" s="9">
        <v>45276</v>
      </c>
      <c r="E1379" t="s">
        <v>2330</v>
      </c>
      <c r="F1379" s="20">
        <v>100</v>
      </c>
      <c r="G1379" t="s">
        <v>2345</v>
      </c>
      <c r="I1379" s="16" t="str">
        <f t="shared" si="21"/>
        <v>Unknown</v>
      </c>
      <c r="J1379" t="s">
        <v>39</v>
      </c>
    </row>
    <row r="1380" spans="1:10">
      <c r="A1380" t="s">
        <v>3738</v>
      </c>
      <c r="B1380" t="s">
        <v>357</v>
      </c>
      <c r="C1380" t="s">
        <v>2271</v>
      </c>
      <c r="D1380" s="9">
        <v>45515</v>
      </c>
      <c r="E1380" t="s">
        <v>2330</v>
      </c>
      <c r="G1380" t="s">
        <v>2345</v>
      </c>
      <c r="H1380">
        <v>-1200</v>
      </c>
      <c r="I1380" s="16" t="str">
        <f t="shared" si="21"/>
        <v>Review</v>
      </c>
      <c r="J1380">
        <v>5</v>
      </c>
    </row>
    <row r="1381" spans="1:10">
      <c r="A1381" t="s">
        <v>3739</v>
      </c>
      <c r="B1381" t="s">
        <v>870</v>
      </c>
      <c r="C1381" t="s">
        <v>2264</v>
      </c>
      <c r="D1381" s="9">
        <v>45915</v>
      </c>
      <c r="E1381" t="s">
        <v>2327</v>
      </c>
      <c r="G1381" t="s">
        <v>2325</v>
      </c>
      <c r="H1381">
        <v>1869.74</v>
      </c>
      <c r="I1381" s="16" t="str">
        <f t="shared" si="21"/>
        <v>Normal</v>
      </c>
      <c r="J1381">
        <v>5</v>
      </c>
    </row>
    <row r="1382" spans="1:10">
      <c r="A1382" t="s">
        <v>3740</v>
      </c>
      <c r="B1382" t="s">
        <v>1540</v>
      </c>
      <c r="C1382" t="s">
        <v>2228</v>
      </c>
      <c r="D1382" s="9">
        <v>46111</v>
      </c>
      <c r="E1382" t="s">
        <v>2330</v>
      </c>
      <c r="G1382" t="s">
        <v>2331</v>
      </c>
      <c r="H1382">
        <v>799</v>
      </c>
      <c r="I1382" s="16" t="str">
        <f t="shared" si="21"/>
        <v>Normal</v>
      </c>
      <c r="J1382">
        <v>2</v>
      </c>
    </row>
    <row r="1383" spans="1:10">
      <c r="A1383" t="s">
        <v>3741</v>
      </c>
      <c r="B1383" t="s">
        <v>1544</v>
      </c>
      <c r="C1383" t="s">
        <v>2267</v>
      </c>
      <c r="D1383" s="9">
        <v>45242</v>
      </c>
      <c r="E1383" t="s">
        <v>2324</v>
      </c>
      <c r="F1383" s="20">
        <v>60</v>
      </c>
      <c r="G1383" t="s">
        <v>23</v>
      </c>
      <c r="H1383">
        <v>999.99</v>
      </c>
      <c r="I1383" s="16" t="str">
        <f t="shared" si="21"/>
        <v>Normal</v>
      </c>
      <c r="J1383">
        <v>5</v>
      </c>
    </row>
    <row r="1384" spans="1:10">
      <c r="A1384" t="s">
        <v>3742</v>
      </c>
      <c r="B1384" t="s">
        <v>780</v>
      </c>
      <c r="C1384" t="s">
        <v>2264</v>
      </c>
      <c r="D1384" s="9">
        <v>45114</v>
      </c>
      <c r="E1384" t="s">
        <v>2324</v>
      </c>
      <c r="F1384" s="20">
        <v>25</v>
      </c>
      <c r="G1384" t="s">
        <v>2331</v>
      </c>
      <c r="H1384">
        <v>2500</v>
      </c>
      <c r="I1384" s="16" t="str">
        <f t="shared" si="21"/>
        <v>Normal</v>
      </c>
      <c r="J1384" t="s">
        <v>39</v>
      </c>
    </row>
    <row r="1385" spans="1:10">
      <c r="A1385" t="s">
        <v>3743</v>
      </c>
      <c r="B1385" t="s">
        <v>213</v>
      </c>
      <c r="C1385" t="s">
        <v>2205</v>
      </c>
      <c r="D1385" s="9">
        <v>45974</v>
      </c>
      <c r="E1385" t="s">
        <v>2337</v>
      </c>
      <c r="F1385" s="20">
        <v>5</v>
      </c>
      <c r="G1385" t="s">
        <v>2345</v>
      </c>
      <c r="H1385">
        <v>1500</v>
      </c>
      <c r="I1385" s="16" t="str">
        <f t="shared" si="21"/>
        <v>Normal</v>
      </c>
      <c r="J1385" t="s">
        <v>39</v>
      </c>
    </row>
    <row r="1386" spans="1:10">
      <c r="A1386" t="s">
        <v>3744</v>
      </c>
      <c r="B1386" t="s">
        <v>821</v>
      </c>
      <c r="C1386" t="s">
        <v>2271</v>
      </c>
      <c r="D1386" s="9">
        <v>46140</v>
      </c>
      <c r="E1386" t="s">
        <v>2324</v>
      </c>
      <c r="F1386" s="20">
        <v>55</v>
      </c>
      <c r="G1386" t="s">
        <v>2325</v>
      </c>
      <c r="H1386">
        <v>1200</v>
      </c>
      <c r="I1386" s="16" t="str">
        <f t="shared" si="21"/>
        <v>Normal</v>
      </c>
      <c r="J1386">
        <v>2</v>
      </c>
    </row>
    <row r="1387" spans="1:10">
      <c r="A1387" t="s">
        <v>3745</v>
      </c>
      <c r="B1387" t="s">
        <v>1274</v>
      </c>
      <c r="C1387" t="s">
        <v>2269</v>
      </c>
      <c r="D1387" s="9">
        <v>45191</v>
      </c>
      <c r="E1387" t="s">
        <v>2337</v>
      </c>
      <c r="G1387" t="s">
        <v>2345</v>
      </c>
      <c r="H1387">
        <v>499</v>
      </c>
      <c r="I1387" s="16" t="str">
        <f t="shared" si="21"/>
        <v>Normal</v>
      </c>
      <c r="J1387" t="s">
        <v>39</v>
      </c>
    </row>
    <row r="1388" spans="1:10">
      <c r="A1388" t="s">
        <v>3746</v>
      </c>
      <c r="B1388" t="s">
        <v>2022</v>
      </c>
      <c r="C1388" t="s">
        <v>2233</v>
      </c>
      <c r="D1388" s="9">
        <v>45371</v>
      </c>
      <c r="E1388" t="s">
        <v>2337</v>
      </c>
      <c r="F1388" s="20">
        <v>20</v>
      </c>
      <c r="G1388" t="s">
        <v>2325</v>
      </c>
      <c r="H1388">
        <v>2500</v>
      </c>
      <c r="I1388" s="16" t="str">
        <f t="shared" si="21"/>
        <v>Normal</v>
      </c>
      <c r="J1388">
        <v>1</v>
      </c>
    </row>
    <row r="1389" spans="1:10">
      <c r="A1389" t="s">
        <v>3747</v>
      </c>
      <c r="B1389" t="s">
        <v>961</v>
      </c>
      <c r="C1389" t="s">
        <v>2271</v>
      </c>
      <c r="D1389" s="9">
        <v>45749</v>
      </c>
      <c r="E1389" t="s">
        <v>2330</v>
      </c>
      <c r="F1389" s="20">
        <v>100</v>
      </c>
      <c r="G1389" t="s">
        <v>2339</v>
      </c>
      <c r="H1389">
        <v>1036.3900000000001</v>
      </c>
      <c r="I1389" s="16" t="str">
        <f t="shared" si="21"/>
        <v>Normal</v>
      </c>
      <c r="J1389">
        <v>5</v>
      </c>
    </row>
    <row r="1390" spans="1:10">
      <c r="A1390" t="s">
        <v>3748</v>
      </c>
      <c r="B1390" t="s">
        <v>1203</v>
      </c>
      <c r="C1390" t="s">
        <v>2264</v>
      </c>
      <c r="D1390" s="9">
        <v>45467</v>
      </c>
      <c r="E1390" t="s">
        <v>2337</v>
      </c>
      <c r="F1390" s="20">
        <v>15</v>
      </c>
      <c r="G1390" t="s">
        <v>2345</v>
      </c>
      <c r="H1390">
        <v>2500</v>
      </c>
      <c r="I1390" s="16" t="str">
        <f t="shared" si="21"/>
        <v>Normal</v>
      </c>
      <c r="J1390">
        <v>4</v>
      </c>
    </row>
    <row r="1391" spans="1:10">
      <c r="A1391" t="s">
        <v>3749</v>
      </c>
      <c r="B1391" t="s">
        <v>1248</v>
      </c>
      <c r="C1391" t="s">
        <v>2225</v>
      </c>
      <c r="D1391" s="9">
        <v>45530</v>
      </c>
      <c r="E1391" t="s">
        <v>23</v>
      </c>
      <c r="G1391" t="s">
        <v>2345</v>
      </c>
      <c r="I1391" s="16" t="str">
        <f t="shared" si="21"/>
        <v>Unknown</v>
      </c>
      <c r="J1391">
        <v>5</v>
      </c>
    </row>
    <row r="1392" spans="1:10">
      <c r="A1392" t="s">
        <v>3750</v>
      </c>
      <c r="B1392" t="s">
        <v>1468</v>
      </c>
      <c r="C1392" t="s">
        <v>2228</v>
      </c>
      <c r="D1392" s="9">
        <v>45772</v>
      </c>
      <c r="E1392" t="s">
        <v>2324</v>
      </c>
      <c r="F1392" s="20">
        <v>40</v>
      </c>
      <c r="G1392" t="s">
        <v>2328</v>
      </c>
      <c r="H1392">
        <v>799</v>
      </c>
      <c r="I1392" s="16" t="str">
        <f t="shared" si="21"/>
        <v>Normal</v>
      </c>
      <c r="J1392" t="s">
        <v>39</v>
      </c>
    </row>
    <row r="1393" spans="1:10">
      <c r="A1393" t="s">
        <v>3751</v>
      </c>
      <c r="B1393" t="s">
        <v>626</v>
      </c>
      <c r="C1393" t="s">
        <v>2213</v>
      </c>
      <c r="D1393" s="9">
        <v>45494</v>
      </c>
      <c r="E1393" t="s">
        <v>2327</v>
      </c>
      <c r="F1393" s="20">
        <v>0</v>
      </c>
      <c r="G1393" t="s">
        <v>2331</v>
      </c>
      <c r="H1393">
        <v>1500</v>
      </c>
      <c r="I1393" s="16" t="str">
        <f t="shared" si="21"/>
        <v>Normal</v>
      </c>
      <c r="J1393">
        <v>4</v>
      </c>
    </row>
    <row r="1394" spans="1:10">
      <c r="A1394" t="s">
        <v>3752</v>
      </c>
      <c r="B1394" t="s">
        <v>1229</v>
      </c>
      <c r="C1394" t="s">
        <v>2202</v>
      </c>
      <c r="D1394" s="9">
        <v>45820</v>
      </c>
      <c r="E1394" t="s">
        <v>23</v>
      </c>
      <c r="G1394" t="s">
        <v>2331</v>
      </c>
      <c r="H1394">
        <v>999.99</v>
      </c>
      <c r="I1394" s="16" t="str">
        <f t="shared" si="21"/>
        <v>Normal</v>
      </c>
      <c r="J1394">
        <v>2</v>
      </c>
    </row>
    <row r="1395" spans="1:10">
      <c r="A1395" t="s">
        <v>3753</v>
      </c>
      <c r="B1395" t="s">
        <v>896</v>
      </c>
      <c r="C1395" t="s">
        <v>2202</v>
      </c>
      <c r="D1395" s="9">
        <v>45955</v>
      </c>
      <c r="E1395" t="s">
        <v>2324</v>
      </c>
      <c r="F1395" s="20">
        <v>55</v>
      </c>
      <c r="G1395" t="s">
        <v>2331</v>
      </c>
      <c r="H1395">
        <v>999.99</v>
      </c>
      <c r="I1395" s="16" t="str">
        <f t="shared" si="21"/>
        <v>Normal</v>
      </c>
      <c r="J1395">
        <v>5</v>
      </c>
    </row>
    <row r="1396" spans="1:10">
      <c r="A1396" t="s">
        <v>3754</v>
      </c>
      <c r="B1396" t="s">
        <v>107</v>
      </c>
      <c r="C1396" t="s">
        <v>2205</v>
      </c>
      <c r="D1396" s="9">
        <v>45986</v>
      </c>
      <c r="E1396" t="s">
        <v>2330</v>
      </c>
      <c r="G1396" t="s">
        <v>2345</v>
      </c>
      <c r="H1396">
        <v>1500</v>
      </c>
      <c r="I1396" s="16" t="str">
        <f t="shared" si="21"/>
        <v>Normal</v>
      </c>
      <c r="J1396">
        <v>5</v>
      </c>
    </row>
    <row r="1397" spans="1:10">
      <c r="A1397" t="s">
        <v>3755</v>
      </c>
      <c r="B1397" t="s">
        <v>692</v>
      </c>
      <c r="C1397" t="s">
        <v>2209</v>
      </c>
      <c r="D1397" s="9">
        <v>45764</v>
      </c>
      <c r="E1397" t="s">
        <v>2330</v>
      </c>
      <c r="F1397" s="20">
        <v>100</v>
      </c>
      <c r="G1397" t="s">
        <v>2331</v>
      </c>
      <c r="H1397">
        <v>499</v>
      </c>
      <c r="I1397" s="16" t="str">
        <f t="shared" si="21"/>
        <v>Normal</v>
      </c>
      <c r="J1397">
        <v>4</v>
      </c>
    </row>
    <row r="1398" spans="1:10">
      <c r="A1398" t="s">
        <v>3756</v>
      </c>
      <c r="B1398" t="s">
        <v>896</v>
      </c>
      <c r="C1398" t="s">
        <v>2225</v>
      </c>
      <c r="D1398" s="9">
        <v>45027</v>
      </c>
      <c r="E1398" t="s">
        <v>2324</v>
      </c>
      <c r="F1398" s="20">
        <v>75</v>
      </c>
      <c r="G1398" t="s">
        <v>2331</v>
      </c>
      <c r="I1398" s="16" t="str">
        <f t="shared" si="21"/>
        <v>Unknown</v>
      </c>
      <c r="J1398" t="s">
        <v>39</v>
      </c>
    </row>
    <row r="1399" spans="1:10">
      <c r="A1399" t="s">
        <v>3757</v>
      </c>
      <c r="B1399" t="s">
        <v>535</v>
      </c>
      <c r="C1399" t="s">
        <v>2209</v>
      </c>
      <c r="D1399" s="9">
        <v>45780</v>
      </c>
      <c r="E1399" t="s">
        <v>2324</v>
      </c>
      <c r="G1399" t="s">
        <v>2345</v>
      </c>
      <c r="H1399">
        <v>499</v>
      </c>
      <c r="I1399" s="16" t="str">
        <f t="shared" si="21"/>
        <v>Normal</v>
      </c>
      <c r="J1399">
        <v>4</v>
      </c>
    </row>
    <row r="1400" spans="1:10">
      <c r="A1400" t="s">
        <v>3758</v>
      </c>
      <c r="B1400" t="s">
        <v>67</v>
      </c>
      <c r="C1400" t="s">
        <v>2209</v>
      </c>
      <c r="D1400" s="9">
        <v>45449</v>
      </c>
      <c r="E1400" t="s">
        <v>2330</v>
      </c>
      <c r="F1400" s="20">
        <v>100</v>
      </c>
      <c r="G1400" t="s">
        <v>2331</v>
      </c>
      <c r="H1400">
        <v>499</v>
      </c>
      <c r="I1400" s="16" t="str">
        <f t="shared" si="21"/>
        <v>Normal</v>
      </c>
      <c r="J1400" t="s">
        <v>39</v>
      </c>
    </row>
    <row r="1401" spans="1:10">
      <c r="A1401" t="s">
        <v>3759</v>
      </c>
      <c r="B1401" t="s">
        <v>824</v>
      </c>
      <c r="C1401" t="s">
        <v>2269</v>
      </c>
      <c r="D1401" s="9">
        <v>45387</v>
      </c>
      <c r="E1401" t="s">
        <v>2327</v>
      </c>
      <c r="F1401" s="20">
        <v>15</v>
      </c>
      <c r="G1401" t="s">
        <v>2331</v>
      </c>
      <c r="H1401">
        <v>499</v>
      </c>
      <c r="I1401" s="16" t="str">
        <f t="shared" si="21"/>
        <v>Normal</v>
      </c>
      <c r="J1401">
        <v>4</v>
      </c>
    </row>
    <row r="1402" spans="1:10">
      <c r="A1402" t="s">
        <v>3760</v>
      </c>
      <c r="B1402" t="s">
        <v>163</v>
      </c>
      <c r="C1402" t="s">
        <v>2235</v>
      </c>
      <c r="D1402" s="9">
        <v>45323</v>
      </c>
      <c r="E1402" t="s">
        <v>2330</v>
      </c>
      <c r="F1402" s="20">
        <v>100</v>
      </c>
      <c r="G1402" t="s">
        <v>23</v>
      </c>
      <c r="H1402">
        <v>3000</v>
      </c>
      <c r="I1402" s="16" t="str">
        <f t="shared" si="21"/>
        <v>Normal</v>
      </c>
      <c r="J1402">
        <v>5</v>
      </c>
    </row>
    <row r="1403" spans="1:10">
      <c r="A1403" t="s">
        <v>3761</v>
      </c>
      <c r="B1403" t="s">
        <v>739</v>
      </c>
      <c r="C1403" t="s">
        <v>2269</v>
      </c>
      <c r="D1403" s="9">
        <v>45605</v>
      </c>
      <c r="E1403" t="s">
        <v>23</v>
      </c>
      <c r="G1403" t="s">
        <v>2331</v>
      </c>
      <c r="H1403">
        <v>499</v>
      </c>
      <c r="I1403" s="16" t="str">
        <f t="shared" si="21"/>
        <v>Normal</v>
      </c>
      <c r="J1403">
        <v>4</v>
      </c>
    </row>
    <row r="1404" spans="1:10">
      <c r="A1404" t="s">
        <v>3762</v>
      </c>
      <c r="B1404" t="s">
        <v>729</v>
      </c>
      <c r="C1404" t="s">
        <v>2253</v>
      </c>
      <c r="D1404" s="9">
        <v>45580</v>
      </c>
      <c r="E1404" t="s">
        <v>2330</v>
      </c>
      <c r="F1404" s="20">
        <v>100</v>
      </c>
      <c r="G1404" t="s">
        <v>2331</v>
      </c>
      <c r="I1404" s="16" t="str">
        <f t="shared" si="21"/>
        <v>Unknown</v>
      </c>
      <c r="J1404">
        <v>1</v>
      </c>
    </row>
    <row r="1405" spans="1:10">
      <c r="A1405" t="s">
        <v>3763</v>
      </c>
      <c r="B1405" t="s">
        <v>224</v>
      </c>
      <c r="C1405" t="s">
        <v>2187</v>
      </c>
      <c r="D1405" s="9">
        <v>45609</v>
      </c>
      <c r="E1405" t="s">
        <v>2330</v>
      </c>
      <c r="G1405" t="s">
        <v>2345</v>
      </c>
      <c r="H1405">
        <v>799</v>
      </c>
      <c r="I1405" s="16" t="str">
        <f t="shared" si="21"/>
        <v>Normal</v>
      </c>
      <c r="J1405">
        <v>4</v>
      </c>
    </row>
    <row r="1406" spans="1:10">
      <c r="A1406" t="s">
        <v>3764</v>
      </c>
      <c r="B1406" t="s">
        <v>75</v>
      </c>
      <c r="C1406" t="s">
        <v>2213</v>
      </c>
      <c r="D1406" s="9">
        <v>46156</v>
      </c>
      <c r="E1406" t="s">
        <v>2324</v>
      </c>
      <c r="F1406" s="20">
        <v>10</v>
      </c>
      <c r="G1406" t="s">
        <v>2345</v>
      </c>
      <c r="H1406">
        <v>1500</v>
      </c>
      <c r="I1406" s="16" t="str">
        <f t="shared" si="21"/>
        <v>Normal</v>
      </c>
      <c r="J1406">
        <v>2</v>
      </c>
    </row>
    <row r="1407" spans="1:10">
      <c r="A1407" t="s">
        <v>3765</v>
      </c>
      <c r="B1407" t="s">
        <v>824</v>
      </c>
      <c r="C1407" t="s">
        <v>2233</v>
      </c>
      <c r="D1407" s="9">
        <v>45624</v>
      </c>
      <c r="E1407" t="s">
        <v>2330</v>
      </c>
      <c r="G1407" t="s">
        <v>2345</v>
      </c>
      <c r="H1407">
        <v>2500</v>
      </c>
      <c r="I1407" s="16" t="str">
        <f t="shared" si="21"/>
        <v>Normal</v>
      </c>
      <c r="J1407" t="s">
        <v>39</v>
      </c>
    </row>
    <row r="1408" spans="1:10">
      <c r="A1408" t="s">
        <v>3766</v>
      </c>
      <c r="B1408" t="s">
        <v>383</v>
      </c>
      <c r="C1408" t="s">
        <v>2216</v>
      </c>
      <c r="D1408" s="9">
        <v>46023</v>
      </c>
      <c r="E1408" t="s">
        <v>2324</v>
      </c>
      <c r="F1408" s="20">
        <v>60</v>
      </c>
      <c r="G1408" t="s">
        <v>2331</v>
      </c>
      <c r="H1408">
        <v>1200</v>
      </c>
      <c r="I1408" s="16" t="str">
        <f t="shared" si="21"/>
        <v>Normal</v>
      </c>
      <c r="J1408">
        <v>4</v>
      </c>
    </row>
    <row r="1409" spans="1:10">
      <c r="A1409" t="s">
        <v>3767</v>
      </c>
      <c r="B1409" t="s">
        <v>1306</v>
      </c>
      <c r="C1409" t="s">
        <v>2261</v>
      </c>
      <c r="D1409" s="9">
        <v>45336</v>
      </c>
      <c r="E1409" t="s">
        <v>2324</v>
      </c>
      <c r="F1409" s="20">
        <v>75</v>
      </c>
      <c r="G1409" t="s">
        <v>2345</v>
      </c>
      <c r="I1409" s="16" t="str">
        <f t="shared" si="21"/>
        <v>Unknown</v>
      </c>
      <c r="J1409">
        <v>4</v>
      </c>
    </row>
    <row r="1410" spans="1:10">
      <c r="A1410" t="s">
        <v>3768</v>
      </c>
      <c r="B1410" t="s">
        <v>1360</v>
      </c>
      <c r="C1410" t="s">
        <v>2231</v>
      </c>
      <c r="D1410" s="9">
        <v>45162</v>
      </c>
      <c r="E1410" t="s">
        <v>2330</v>
      </c>
      <c r="F1410" s="20">
        <v>100</v>
      </c>
      <c r="G1410" t="s">
        <v>23</v>
      </c>
      <c r="H1410">
        <v>2628.49</v>
      </c>
      <c r="I1410" s="16" t="str">
        <f t="shared" si="21"/>
        <v>Normal</v>
      </c>
      <c r="J1410" t="s">
        <v>39</v>
      </c>
    </row>
    <row r="1411" spans="1:10">
      <c r="A1411" t="s">
        <v>3769</v>
      </c>
      <c r="B1411" t="s">
        <v>2104</v>
      </c>
      <c r="C1411" t="s">
        <v>2247</v>
      </c>
      <c r="D1411" s="9">
        <v>46126</v>
      </c>
      <c r="E1411" t="s">
        <v>2330</v>
      </c>
      <c r="F1411" s="20">
        <v>100</v>
      </c>
      <c r="G1411" t="s">
        <v>2345</v>
      </c>
      <c r="I1411" s="16" t="str">
        <f t="shared" ref="I1411:I1474" si="22">IF(H1411="", "Unknown", IF(H1411=0, "Zero Amount", IF(H1411&lt;1, "Review", IF(H1411&gt;1, "Normal"))))</f>
        <v>Unknown</v>
      </c>
      <c r="J1411">
        <v>4</v>
      </c>
    </row>
    <row r="1412" spans="1:10">
      <c r="A1412" t="s">
        <v>3770</v>
      </c>
      <c r="B1412" t="s">
        <v>309</v>
      </c>
      <c r="C1412" t="s">
        <v>2244</v>
      </c>
      <c r="D1412" s="9">
        <v>45400</v>
      </c>
      <c r="E1412" t="s">
        <v>23</v>
      </c>
      <c r="G1412" t="s">
        <v>2325</v>
      </c>
      <c r="H1412">
        <v>1200</v>
      </c>
      <c r="I1412" s="16" t="str">
        <f t="shared" si="22"/>
        <v>Normal</v>
      </c>
      <c r="J1412">
        <v>5</v>
      </c>
    </row>
    <row r="1413" spans="1:10">
      <c r="A1413" t="s">
        <v>3771</v>
      </c>
      <c r="B1413" t="s">
        <v>1776</v>
      </c>
      <c r="C1413" t="s">
        <v>2241</v>
      </c>
      <c r="D1413" s="9">
        <v>45766</v>
      </c>
      <c r="E1413" t="s">
        <v>2327</v>
      </c>
      <c r="F1413" s="20">
        <v>5</v>
      </c>
      <c r="G1413" t="s">
        <v>2345</v>
      </c>
      <c r="H1413">
        <v>2500</v>
      </c>
      <c r="I1413" s="16" t="str">
        <f t="shared" si="22"/>
        <v>Normal</v>
      </c>
      <c r="J1413">
        <v>1</v>
      </c>
    </row>
    <row r="1414" spans="1:10">
      <c r="A1414" t="s">
        <v>3772</v>
      </c>
      <c r="B1414" t="s">
        <v>1165</v>
      </c>
      <c r="C1414" t="s">
        <v>2247</v>
      </c>
      <c r="D1414" s="9">
        <v>45442</v>
      </c>
      <c r="E1414" t="s">
        <v>2324</v>
      </c>
      <c r="G1414" t="s">
        <v>2328</v>
      </c>
      <c r="I1414" s="16" t="str">
        <f t="shared" si="22"/>
        <v>Unknown</v>
      </c>
      <c r="J1414">
        <v>1</v>
      </c>
    </row>
    <row r="1415" spans="1:10">
      <c r="A1415" t="s">
        <v>3773</v>
      </c>
      <c r="B1415" t="s">
        <v>3774</v>
      </c>
      <c r="C1415" t="s">
        <v>2235</v>
      </c>
      <c r="D1415" s="9">
        <v>45168</v>
      </c>
      <c r="E1415" t="s">
        <v>2327</v>
      </c>
      <c r="F1415" s="20">
        <v>15</v>
      </c>
      <c r="G1415" t="s">
        <v>2339</v>
      </c>
      <c r="H1415">
        <v>1831.33</v>
      </c>
      <c r="I1415" s="16" t="str">
        <f t="shared" si="22"/>
        <v>Normal</v>
      </c>
      <c r="J1415">
        <v>3</v>
      </c>
    </row>
    <row r="1416" spans="1:10">
      <c r="A1416" t="s">
        <v>3775</v>
      </c>
      <c r="B1416" t="s">
        <v>1311</v>
      </c>
      <c r="C1416" t="s">
        <v>2267</v>
      </c>
      <c r="D1416" s="9">
        <v>45295</v>
      </c>
      <c r="E1416" t="s">
        <v>2324</v>
      </c>
      <c r="F1416" s="20">
        <v>55</v>
      </c>
      <c r="G1416" t="s">
        <v>2331</v>
      </c>
      <c r="H1416">
        <v>999.99</v>
      </c>
      <c r="I1416" s="16" t="str">
        <f t="shared" si="22"/>
        <v>Normal</v>
      </c>
      <c r="J1416">
        <v>1</v>
      </c>
    </row>
    <row r="1417" spans="1:10">
      <c r="A1417" t="s">
        <v>3776</v>
      </c>
      <c r="B1417" t="s">
        <v>976</v>
      </c>
      <c r="C1417" t="s">
        <v>2205</v>
      </c>
      <c r="D1417" s="9">
        <v>45848</v>
      </c>
      <c r="E1417" t="s">
        <v>2327</v>
      </c>
      <c r="F1417" s="20">
        <v>15</v>
      </c>
      <c r="G1417" t="s">
        <v>2345</v>
      </c>
      <c r="H1417">
        <v>1500</v>
      </c>
      <c r="I1417" s="16" t="str">
        <f t="shared" si="22"/>
        <v>Normal</v>
      </c>
      <c r="J1417" t="s">
        <v>39</v>
      </c>
    </row>
    <row r="1418" spans="1:10">
      <c r="A1418" t="s">
        <v>3777</v>
      </c>
      <c r="B1418" t="s">
        <v>713</v>
      </c>
      <c r="C1418" t="s">
        <v>2247</v>
      </c>
      <c r="D1418" s="9">
        <v>45400</v>
      </c>
      <c r="E1418" t="s">
        <v>2327</v>
      </c>
      <c r="G1418" t="s">
        <v>2325</v>
      </c>
      <c r="I1418" s="16" t="str">
        <f t="shared" si="22"/>
        <v>Unknown</v>
      </c>
      <c r="J1418" t="s">
        <v>39</v>
      </c>
    </row>
    <row r="1419" spans="1:10">
      <c r="A1419" t="s">
        <v>3778</v>
      </c>
      <c r="B1419" t="s">
        <v>1169</v>
      </c>
      <c r="C1419" t="s">
        <v>2225</v>
      </c>
      <c r="D1419" s="9">
        <v>46050</v>
      </c>
      <c r="E1419" t="s">
        <v>2324</v>
      </c>
      <c r="F1419" s="20">
        <v>10</v>
      </c>
      <c r="G1419" t="s">
        <v>2328</v>
      </c>
      <c r="I1419" s="16" t="str">
        <f t="shared" si="22"/>
        <v>Unknown</v>
      </c>
      <c r="J1419" t="s">
        <v>39</v>
      </c>
    </row>
    <row r="1420" spans="1:10">
      <c r="A1420" t="s">
        <v>3779</v>
      </c>
      <c r="B1420" t="s">
        <v>217</v>
      </c>
      <c r="C1420" t="s">
        <v>2228</v>
      </c>
      <c r="D1420" s="9">
        <v>45237</v>
      </c>
      <c r="E1420" t="s">
        <v>2330</v>
      </c>
      <c r="F1420" s="20">
        <v>100</v>
      </c>
      <c r="G1420" t="s">
        <v>2328</v>
      </c>
      <c r="H1420">
        <v>799</v>
      </c>
      <c r="I1420" s="16" t="str">
        <f t="shared" si="22"/>
        <v>Normal</v>
      </c>
      <c r="J1420">
        <v>5</v>
      </c>
    </row>
    <row r="1421" spans="1:10">
      <c r="A1421" t="s">
        <v>3780</v>
      </c>
      <c r="B1421" t="s">
        <v>1890</v>
      </c>
      <c r="C1421" t="s">
        <v>2218</v>
      </c>
      <c r="D1421" s="9">
        <v>45788</v>
      </c>
      <c r="E1421" t="s">
        <v>2330</v>
      </c>
      <c r="F1421" s="20">
        <v>100</v>
      </c>
      <c r="G1421" t="s">
        <v>2331</v>
      </c>
      <c r="H1421">
        <v>1500</v>
      </c>
      <c r="I1421" s="16" t="str">
        <f t="shared" si="22"/>
        <v>Normal</v>
      </c>
      <c r="J1421" t="s">
        <v>39</v>
      </c>
    </row>
    <row r="1422" spans="1:10">
      <c r="A1422" t="s">
        <v>3781</v>
      </c>
      <c r="B1422" t="s">
        <v>362</v>
      </c>
      <c r="C1422" t="s">
        <v>2231</v>
      </c>
      <c r="D1422" s="9">
        <v>45259</v>
      </c>
      <c r="E1422" t="s">
        <v>23</v>
      </c>
      <c r="G1422" t="s">
        <v>2345</v>
      </c>
      <c r="H1422">
        <v>3000</v>
      </c>
      <c r="I1422" s="16" t="str">
        <f t="shared" si="22"/>
        <v>Normal</v>
      </c>
      <c r="J1422">
        <v>1</v>
      </c>
    </row>
    <row r="1423" spans="1:10">
      <c r="A1423" t="s">
        <v>3782</v>
      </c>
      <c r="B1423" t="s">
        <v>1072</v>
      </c>
      <c r="C1423" t="s">
        <v>2271</v>
      </c>
      <c r="D1423" s="9">
        <v>45775</v>
      </c>
      <c r="E1423" t="s">
        <v>2324</v>
      </c>
      <c r="F1423" s="20">
        <v>55</v>
      </c>
      <c r="G1423" t="s">
        <v>23</v>
      </c>
      <c r="H1423">
        <v>1200</v>
      </c>
      <c r="I1423" s="16" t="str">
        <f t="shared" si="22"/>
        <v>Normal</v>
      </c>
      <c r="J1423">
        <v>3</v>
      </c>
    </row>
    <row r="1424" spans="1:10">
      <c r="A1424" t="s">
        <v>3783</v>
      </c>
      <c r="B1424" t="s">
        <v>1225</v>
      </c>
      <c r="C1424" t="s">
        <v>2269</v>
      </c>
      <c r="D1424" s="9">
        <v>45152</v>
      </c>
      <c r="E1424" t="s">
        <v>2327</v>
      </c>
      <c r="F1424" s="20">
        <v>0</v>
      </c>
      <c r="G1424" t="s">
        <v>2328</v>
      </c>
      <c r="H1424">
        <v>499</v>
      </c>
      <c r="I1424" s="16" t="str">
        <f t="shared" si="22"/>
        <v>Normal</v>
      </c>
      <c r="J1424" t="s">
        <v>39</v>
      </c>
    </row>
    <row r="1425" spans="1:10">
      <c r="A1425" t="s">
        <v>3784</v>
      </c>
      <c r="B1425" t="s">
        <v>1184</v>
      </c>
      <c r="C1425" t="s">
        <v>2209</v>
      </c>
      <c r="D1425" s="9">
        <v>45223</v>
      </c>
      <c r="E1425" t="s">
        <v>2330</v>
      </c>
      <c r="F1425" s="20">
        <v>100</v>
      </c>
      <c r="G1425" t="s">
        <v>2325</v>
      </c>
      <c r="H1425">
        <v>499</v>
      </c>
      <c r="I1425" s="16" t="str">
        <f t="shared" si="22"/>
        <v>Normal</v>
      </c>
      <c r="J1425">
        <v>1</v>
      </c>
    </row>
    <row r="1426" spans="1:10">
      <c r="A1426" t="s">
        <v>3785</v>
      </c>
      <c r="B1426" t="s">
        <v>1565</v>
      </c>
      <c r="C1426" t="s">
        <v>2253</v>
      </c>
      <c r="D1426" s="9">
        <v>45140</v>
      </c>
      <c r="E1426" t="s">
        <v>2330</v>
      </c>
      <c r="F1426" s="20">
        <v>100</v>
      </c>
      <c r="G1426" t="s">
        <v>2331</v>
      </c>
      <c r="I1426" s="16" t="str">
        <f t="shared" si="22"/>
        <v>Unknown</v>
      </c>
      <c r="J1426" t="s">
        <v>39</v>
      </c>
    </row>
    <row r="1427" spans="1:10">
      <c r="A1427" t="s">
        <v>3786</v>
      </c>
      <c r="B1427" t="s">
        <v>1930</v>
      </c>
      <c r="C1427" t="s">
        <v>2209</v>
      </c>
      <c r="D1427" s="9">
        <v>45848</v>
      </c>
      <c r="E1427" t="s">
        <v>2330</v>
      </c>
      <c r="G1427" t="s">
        <v>2345</v>
      </c>
      <c r="H1427">
        <v>499</v>
      </c>
      <c r="I1427" s="16" t="str">
        <f t="shared" si="22"/>
        <v>Normal</v>
      </c>
      <c r="J1427">
        <v>5</v>
      </c>
    </row>
    <row r="1428" spans="1:10">
      <c r="A1428" t="s">
        <v>3787</v>
      </c>
      <c r="B1428" t="s">
        <v>1233</v>
      </c>
      <c r="C1428" t="s">
        <v>2205</v>
      </c>
      <c r="D1428" s="9">
        <v>46041</v>
      </c>
      <c r="E1428" t="s">
        <v>23</v>
      </c>
      <c r="G1428" t="s">
        <v>2331</v>
      </c>
      <c r="H1428">
        <v>1500</v>
      </c>
      <c r="I1428" s="16" t="str">
        <f t="shared" si="22"/>
        <v>Normal</v>
      </c>
      <c r="J1428" t="s">
        <v>39</v>
      </c>
    </row>
    <row r="1429" spans="1:10">
      <c r="A1429" t="s">
        <v>3788</v>
      </c>
      <c r="B1429" t="s">
        <v>634</v>
      </c>
      <c r="C1429" t="s">
        <v>2216</v>
      </c>
      <c r="D1429" s="9">
        <v>45733</v>
      </c>
      <c r="E1429" t="s">
        <v>2330</v>
      </c>
      <c r="F1429" s="20">
        <v>100</v>
      </c>
      <c r="G1429" t="s">
        <v>2339</v>
      </c>
      <c r="H1429">
        <v>1200</v>
      </c>
      <c r="I1429" s="16" t="str">
        <f t="shared" si="22"/>
        <v>Normal</v>
      </c>
      <c r="J1429" t="s">
        <v>39</v>
      </c>
    </row>
    <row r="1430" spans="1:10">
      <c r="A1430" t="s">
        <v>3789</v>
      </c>
      <c r="B1430" t="s">
        <v>400</v>
      </c>
      <c r="C1430" t="s">
        <v>2251</v>
      </c>
      <c r="D1430" s="9">
        <v>45143</v>
      </c>
      <c r="E1430" t="s">
        <v>2327</v>
      </c>
      <c r="F1430" s="20">
        <v>0</v>
      </c>
      <c r="G1430" t="s">
        <v>2331</v>
      </c>
      <c r="H1430">
        <v>1102.8</v>
      </c>
      <c r="I1430" s="16" t="str">
        <f t="shared" si="22"/>
        <v>Normal</v>
      </c>
      <c r="J1430">
        <v>3</v>
      </c>
    </row>
    <row r="1431" spans="1:10">
      <c r="A1431" t="s">
        <v>3790</v>
      </c>
      <c r="B1431" t="s">
        <v>1933</v>
      </c>
      <c r="C1431" t="s">
        <v>2247</v>
      </c>
      <c r="D1431" s="9">
        <v>45884</v>
      </c>
      <c r="E1431" t="s">
        <v>2330</v>
      </c>
      <c r="F1431" s="20">
        <v>100</v>
      </c>
      <c r="G1431" t="s">
        <v>2328</v>
      </c>
      <c r="I1431" s="16" t="str">
        <f t="shared" si="22"/>
        <v>Unknown</v>
      </c>
      <c r="J1431">
        <v>3</v>
      </c>
    </row>
    <row r="1432" spans="1:10">
      <c r="A1432" t="s">
        <v>3791</v>
      </c>
      <c r="B1432" t="s">
        <v>426</v>
      </c>
      <c r="C1432" t="s">
        <v>2261</v>
      </c>
      <c r="D1432" s="9">
        <v>45164</v>
      </c>
      <c r="E1432" t="s">
        <v>2337</v>
      </c>
      <c r="F1432" s="20">
        <v>5</v>
      </c>
      <c r="G1432" t="s">
        <v>2331</v>
      </c>
      <c r="I1432" s="16" t="str">
        <f t="shared" si="22"/>
        <v>Unknown</v>
      </c>
      <c r="J1432">
        <v>5</v>
      </c>
    </row>
    <row r="1433" spans="1:10">
      <c r="A1433" t="s">
        <v>3792</v>
      </c>
      <c r="B1433" t="s">
        <v>1907</v>
      </c>
      <c r="C1433" t="s">
        <v>2271</v>
      </c>
      <c r="D1433" s="9">
        <v>45999</v>
      </c>
      <c r="E1433" t="s">
        <v>23</v>
      </c>
      <c r="G1433" t="s">
        <v>2331</v>
      </c>
      <c r="H1433">
        <v>1200</v>
      </c>
      <c r="I1433" s="16" t="str">
        <f t="shared" si="22"/>
        <v>Normal</v>
      </c>
      <c r="J1433">
        <v>5</v>
      </c>
    </row>
    <row r="1434" spans="1:10">
      <c r="A1434" t="s">
        <v>3793</v>
      </c>
      <c r="B1434" t="s">
        <v>1428</v>
      </c>
      <c r="C1434" t="s">
        <v>2244</v>
      </c>
      <c r="D1434" s="9">
        <v>45381</v>
      </c>
      <c r="E1434" t="s">
        <v>2330</v>
      </c>
      <c r="F1434" s="20">
        <v>100</v>
      </c>
      <c r="G1434" t="s">
        <v>2331</v>
      </c>
      <c r="H1434">
        <v>1200</v>
      </c>
      <c r="I1434" s="16" t="str">
        <f t="shared" si="22"/>
        <v>Normal</v>
      </c>
      <c r="J1434" t="s">
        <v>39</v>
      </c>
    </row>
    <row r="1435" spans="1:10">
      <c r="A1435" t="s">
        <v>3794</v>
      </c>
      <c r="B1435" t="s">
        <v>907</v>
      </c>
      <c r="C1435" t="s">
        <v>2237</v>
      </c>
      <c r="D1435" s="9">
        <v>45380</v>
      </c>
      <c r="E1435" t="s">
        <v>2330</v>
      </c>
      <c r="F1435" s="20">
        <v>100</v>
      </c>
      <c r="G1435" t="s">
        <v>2328</v>
      </c>
      <c r="H1435">
        <v>1500</v>
      </c>
      <c r="I1435" s="16" t="str">
        <f t="shared" si="22"/>
        <v>Normal</v>
      </c>
      <c r="J1435" t="s">
        <v>39</v>
      </c>
    </row>
    <row r="1436" spans="1:10">
      <c r="A1436" t="s">
        <v>3795</v>
      </c>
      <c r="B1436" t="s">
        <v>607</v>
      </c>
      <c r="C1436" t="s">
        <v>2241</v>
      </c>
      <c r="D1436" s="9">
        <v>45841</v>
      </c>
      <c r="E1436" t="s">
        <v>23</v>
      </c>
      <c r="G1436" t="s">
        <v>2345</v>
      </c>
      <c r="H1436">
        <v>2500</v>
      </c>
      <c r="I1436" s="16" t="str">
        <f t="shared" si="22"/>
        <v>Normal</v>
      </c>
      <c r="J1436" t="s">
        <v>39</v>
      </c>
    </row>
    <row r="1437" spans="1:10">
      <c r="A1437" t="s">
        <v>3796</v>
      </c>
      <c r="B1437" t="s">
        <v>1251</v>
      </c>
      <c r="C1437" t="s">
        <v>2271</v>
      </c>
      <c r="D1437" s="9">
        <v>46037</v>
      </c>
      <c r="E1437" t="s">
        <v>2330</v>
      </c>
      <c r="F1437" s="20">
        <v>100</v>
      </c>
      <c r="G1437" t="s">
        <v>2339</v>
      </c>
      <c r="H1437">
        <v>1200</v>
      </c>
      <c r="I1437" s="16" t="str">
        <f t="shared" si="22"/>
        <v>Normal</v>
      </c>
      <c r="J1437" t="s">
        <v>39</v>
      </c>
    </row>
    <row r="1438" spans="1:10">
      <c r="A1438" t="s">
        <v>3797</v>
      </c>
      <c r="B1438" t="s">
        <v>660</v>
      </c>
      <c r="C1438" t="s">
        <v>2259</v>
      </c>
      <c r="D1438" s="9">
        <v>45633</v>
      </c>
      <c r="E1438" t="s">
        <v>2327</v>
      </c>
      <c r="F1438" s="20">
        <v>0</v>
      </c>
      <c r="G1438" t="s">
        <v>2325</v>
      </c>
      <c r="H1438">
        <v>0</v>
      </c>
      <c r="I1438" s="16" t="str">
        <f t="shared" si="22"/>
        <v>Zero Amount</v>
      </c>
      <c r="J1438" t="s">
        <v>39</v>
      </c>
    </row>
    <row r="1439" spans="1:10">
      <c r="A1439" t="s">
        <v>3798</v>
      </c>
      <c r="B1439" t="s">
        <v>1122</v>
      </c>
      <c r="C1439" t="s">
        <v>2244</v>
      </c>
      <c r="D1439" s="9">
        <v>45885</v>
      </c>
      <c r="E1439" t="s">
        <v>2330</v>
      </c>
      <c r="F1439" s="20">
        <v>100</v>
      </c>
      <c r="G1439" t="s">
        <v>2339</v>
      </c>
      <c r="H1439">
        <v>1200</v>
      </c>
      <c r="I1439" s="16" t="str">
        <f t="shared" si="22"/>
        <v>Normal</v>
      </c>
      <c r="J1439" t="s">
        <v>39</v>
      </c>
    </row>
    <row r="1440" spans="1:10">
      <c r="A1440" t="s">
        <v>3799</v>
      </c>
      <c r="B1440" t="s">
        <v>258</v>
      </c>
      <c r="C1440" t="s">
        <v>2218</v>
      </c>
      <c r="D1440" s="9">
        <v>45756</v>
      </c>
      <c r="E1440" t="s">
        <v>2330</v>
      </c>
      <c r="G1440" t="s">
        <v>2345</v>
      </c>
      <c r="H1440">
        <v>1500</v>
      </c>
      <c r="I1440" s="16" t="str">
        <f t="shared" si="22"/>
        <v>Normal</v>
      </c>
      <c r="J1440">
        <v>2</v>
      </c>
    </row>
    <row r="1441" spans="1:10">
      <c r="A1441" t="s">
        <v>3800</v>
      </c>
      <c r="B1441" t="s">
        <v>813</v>
      </c>
      <c r="C1441" t="s">
        <v>2259</v>
      </c>
      <c r="D1441" s="9">
        <v>45481</v>
      </c>
      <c r="E1441" t="s">
        <v>2324</v>
      </c>
      <c r="F1441" s="20">
        <v>10</v>
      </c>
      <c r="G1441" t="s">
        <v>2331</v>
      </c>
      <c r="H1441">
        <v>0</v>
      </c>
      <c r="I1441" s="16" t="str">
        <f t="shared" si="22"/>
        <v>Zero Amount</v>
      </c>
      <c r="J1441">
        <v>4</v>
      </c>
    </row>
    <row r="1442" spans="1:10">
      <c r="A1442" t="s">
        <v>3801</v>
      </c>
      <c r="B1442" t="s">
        <v>2129</v>
      </c>
      <c r="C1442" t="s">
        <v>2249</v>
      </c>
      <c r="D1442" s="9">
        <v>45182</v>
      </c>
      <c r="E1442" t="s">
        <v>2330</v>
      </c>
      <c r="F1442" s="20">
        <v>100</v>
      </c>
      <c r="G1442" t="s">
        <v>2345</v>
      </c>
      <c r="H1442">
        <v>1500</v>
      </c>
      <c r="I1442" s="16" t="str">
        <f t="shared" si="22"/>
        <v>Normal</v>
      </c>
      <c r="J1442" t="s">
        <v>39</v>
      </c>
    </row>
    <row r="1443" spans="1:10">
      <c r="A1443" t="s">
        <v>3802</v>
      </c>
      <c r="B1443" t="s">
        <v>506</v>
      </c>
      <c r="C1443" t="s">
        <v>2193</v>
      </c>
      <c r="D1443" s="9">
        <v>45584</v>
      </c>
      <c r="E1443" t="s">
        <v>2330</v>
      </c>
      <c r="F1443" s="20">
        <v>100</v>
      </c>
      <c r="G1443" t="s">
        <v>2339</v>
      </c>
      <c r="H1443">
        <v>0</v>
      </c>
      <c r="I1443" s="16" t="str">
        <f t="shared" si="22"/>
        <v>Zero Amount</v>
      </c>
      <c r="J1443" t="s">
        <v>39</v>
      </c>
    </row>
    <row r="1444" spans="1:10">
      <c r="A1444" t="s">
        <v>3803</v>
      </c>
      <c r="B1444" t="s">
        <v>842</v>
      </c>
      <c r="C1444" t="s">
        <v>2269</v>
      </c>
      <c r="D1444" s="9">
        <v>45658</v>
      </c>
      <c r="E1444" t="s">
        <v>2327</v>
      </c>
      <c r="F1444" s="20">
        <v>20</v>
      </c>
      <c r="G1444" t="s">
        <v>2339</v>
      </c>
      <c r="H1444">
        <v>499</v>
      </c>
      <c r="I1444" s="16" t="str">
        <f t="shared" si="22"/>
        <v>Normal</v>
      </c>
      <c r="J1444">
        <v>5</v>
      </c>
    </row>
    <row r="1445" spans="1:10">
      <c r="A1445" t="s">
        <v>3804</v>
      </c>
      <c r="B1445" t="s">
        <v>414</v>
      </c>
      <c r="C1445" t="s">
        <v>2216</v>
      </c>
      <c r="D1445" s="9">
        <v>45446</v>
      </c>
      <c r="E1445" t="s">
        <v>2330</v>
      </c>
      <c r="F1445" s="20">
        <v>100</v>
      </c>
      <c r="G1445" t="s">
        <v>2339</v>
      </c>
      <c r="H1445">
        <v>1200</v>
      </c>
      <c r="I1445" s="16" t="str">
        <f t="shared" si="22"/>
        <v>Normal</v>
      </c>
      <c r="J1445" t="s">
        <v>39</v>
      </c>
    </row>
    <row r="1446" spans="1:10">
      <c r="A1446" t="s">
        <v>3805</v>
      </c>
      <c r="B1446" t="s">
        <v>1867</v>
      </c>
      <c r="C1446" t="s">
        <v>2198</v>
      </c>
      <c r="D1446" s="9">
        <v>45632</v>
      </c>
      <c r="E1446" t="s">
        <v>2324</v>
      </c>
      <c r="F1446" s="20">
        <v>10</v>
      </c>
      <c r="G1446" t="s">
        <v>2325</v>
      </c>
      <c r="I1446" s="16" t="str">
        <f t="shared" si="22"/>
        <v>Unknown</v>
      </c>
      <c r="J1446">
        <v>4</v>
      </c>
    </row>
    <row r="1447" spans="1:10">
      <c r="A1447" t="s">
        <v>3806</v>
      </c>
      <c r="B1447" t="s">
        <v>28</v>
      </c>
      <c r="C1447" t="s">
        <v>2253</v>
      </c>
      <c r="D1447" s="9">
        <v>45505</v>
      </c>
      <c r="E1447" t="s">
        <v>2324</v>
      </c>
      <c r="F1447" s="20">
        <v>75</v>
      </c>
      <c r="G1447" t="s">
        <v>23</v>
      </c>
      <c r="H1447">
        <v>1200</v>
      </c>
      <c r="I1447" s="16" t="str">
        <f t="shared" si="22"/>
        <v>Normal</v>
      </c>
      <c r="J1447">
        <v>4</v>
      </c>
    </row>
    <row r="1448" spans="1:10">
      <c r="A1448" t="s">
        <v>3807</v>
      </c>
      <c r="B1448" t="s">
        <v>1700</v>
      </c>
      <c r="C1448" t="s">
        <v>2235</v>
      </c>
      <c r="D1448" s="9">
        <v>45881</v>
      </c>
      <c r="E1448" t="s">
        <v>2337</v>
      </c>
      <c r="G1448" t="s">
        <v>2325</v>
      </c>
      <c r="H1448">
        <v>3000</v>
      </c>
      <c r="I1448" s="16" t="str">
        <f t="shared" si="22"/>
        <v>Normal</v>
      </c>
      <c r="J1448" t="s">
        <v>39</v>
      </c>
    </row>
    <row r="1449" spans="1:10">
      <c r="A1449" t="s">
        <v>3808</v>
      </c>
      <c r="B1449" t="s">
        <v>3809</v>
      </c>
      <c r="C1449" t="s">
        <v>2261</v>
      </c>
      <c r="D1449" s="9">
        <v>45553</v>
      </c>
      <c r="E1449" t="s">
        <v>2330</v>
      </c>
      <c r="F1449" s="20">
        <v>100</v>
      </c>
      <c r="G1449" t="s">
        <v>2331</v>
      </c>
      <c r="I1449" s="16" t="str">
        <f t="shared" si="22"/>
        <v>Unknown</v>
      </c>
      <c r="J1449" t="s">
        <v>39</v>
      </c>
    </row>
    <row r="1450" spans="1:10">
      <c r="A1450" t="s">
        <v>3810</v>
      </c>
      <c r="B1450" t="s">
        <v>1552</v>
      </c>
      <c r="C1450" t="s">
        <v>2253</v>
      </c>
      <c r="D1450" s="9">
        <v>45801</v>
      </c>
      <c r="E1450" t="s">
        <v>2324</v>
      </c>
      <c r="F1450" s="20">
        <v>55</v>
      </c>
      <c r="G1450" t="s">
        <v>2345</v>
      </c>
      <c r="H1450">
        <v>1200</v>
      </c>
      <c r="I1450" s="16" t="str">
        <f t="shared" si="22"/>
        <v>Normal</v>
      </c>
      <c r="J1450">
        <v>2</v>
      </c>
    </row>
    <row r="1451" spans="1:10">
      <c r="A1451" t="s">
        <v>3811</v>
      </c>
      <c r="B1451" t="s">
        <v>622</v>
      </c>
      <c r="C1451" t="s">
        <v>2247</v>
      </c>
      <c r="D1451" s="9">
        <v>46057</v>
      </c>
      <c r="E1451" t="s">
        <v>2330</v>
      </c>
      <c r="F1451" s="20">
        <v>100</v>
      </c>
      <c r="G1451" t="s">
        <v>2345</v>
      </c>
      <c r="I1451" s="16" t="str">
        <f t="shared" si="22"/>
        <v>Unknown</v>
      </c>
      <c r="J1451" t="s">
        <v>39</v>
      </c>
    </row>
    <row r="1452" spans="1:10">
      <c r="A1452" t="s">
        <v>3812</v>
      </c>
      <c r="B1452" t="s">
        <v>1004</v>
      </c>
      <c r="C1452" t="s">
        <v>2216</v>
      </c>
      <c r="D1452" s="9">
        <v>45254</v>
      </c>
      <c r="E1452" t="s">
        <v>2330</v>
      </c>
      <c r="G1452" t="s">
        <v>2328</v>
      </c>
      <c r="H1452">
        <v>1200</v>
      </c>
      <c r="I1452" s="16" t="str">
        <f t="shared" si="22"/>
        <v>Normal</v>
      </c>
      <c r="J1452" t="s">
        <v>39</v>
      </c>
    </row>
    <row r="1453" spans="1:10">
      <c r="A1453" t="s">
        <v>3813</v>
      </c>
      <c r="B1453" t="s">
        <v>637</v>
      </c>
      <c r="C1453" t="s">
        <v>2205</v>
      </c>
      <c r="D1453" s="9">
        <v>45455</v>
      </c>
      <c r="E1453" t="s">
        <v>2324</v>
      </c>
      <c r="G1453" t="s">
        <v>2328</v>
      </c>
      <c r="H1453">
        <v>-1500</v>
      </c>
      <c r="I1453" s="16" t="str">
        <f t="shared" si="22"/>
        <v>Review</v>
      </c>
      <c r="J1453">
        <v>1</v>
      </c>
    </row>
    <row r="1454" spans="1:10">
      <c r="A1454" t="s">
        <v>3814</v>
      </c>
      <c r="B1454" t="s">
        <v>1806</v>
      </c>
      <c r="C1454" t="s">
        <v>2187</v>
      </c>
      <c r="D1454" s="9">
        <v>45961</v>
      </c>
      <c r="E1454" t="s">
        <v>2330</v>
      </c>
      <c r="F1454" s="20">
        <v>100</v>
      </c>
      <c r="G1454" t="s">
        <v>2331</v>
      </c>
      <c r="H1454">
        <v>799</v>
      </c>
      <c r="I1454" s="16" t="str">
        <f t="shared" si="22"/>
        <v>Normal</v>
      </c>
      <c r="J1454">
        <v>3</v>
      </c>
    </row>
    <row r="1455" spans="1:10">
      <c r="A1455" t="s">
        <v>3815</v>
      </c>
      <c r="B1455" t="s">
        <v>1558</v>
      </c>
      <c r="C1455" t="s">
        <v>2267</v>
      </c>
      <c r="D1455" s="9">
        <v>45465</v>
      </c>
      <c r="E1455" t="s">
        <v>23</v>
      </c>
      <c r="G1455" t="s">
        <v>2328</v>
      </c>
      <c r="H1455">
        <v>999.99</v>
      </c>
      <c r="I1455" s="16" t="str">
        <f t="shared" si="22"/>
        <v>Normal</v>
      </c>
      <c r="J1455" t="s">
        <v>39</v>
      </c>
    </row>
    <row r="1456" spans="1:10">
      <c r="A1456" t="s">
        <v>3816</v>
      </c>
      <c r="B1456" t="s">
        <v>600</v>
      </c>
      <c r="C1456" t="s">
        <v>2198</v>
      </c>
      <c r="D1456" s="9">
        <v>45545</v>
      </c>
      <c r="E1456" t="s">
        <v>2337</v>
      </c>
      <c r="F1456" s="20">
        <v>15</v>
      </c>
      <c r="G1456" t="s">
        <v>2345</v>
      </c>
      <c r="I1456" s="16" t="str">
        <f t="shared" si="22"/>
        <v>Unknown</v>
      </c>
      <c r="J1456">
        <v>3</v>
      </c>
    </row>
    <row r="1457" spans="1:10">
      <c r="A1457" t="s">
        <v>3817</v>
      </c>
      <c r="B1457" t="s">
        <v>972</v>
      </c>
      <c r="C1457" t="s">
        <v>2222</v>
      </c>
      <c r="D1457" s="9">
        <v>45812</v>
      </c>
      <c r="E1457" t="s">
        <v>2330</v>
      </c>
      <c r="F1457" s="20">
        <v>100</v>
      </c>
      <c r="G1457" t="s">
        <v>2328</v>
      </c>
      <c r="H1457">
        <v>0</v>
      </c>
      <c r="I1457" s="16" t="str">
        <f t="shared" si="22"/>
        <v>Zero Amount</v>
      </c>
      <c r="J1457">
        <v>5</v>
      </c>
    </row>
    <row r="1458" spans="1:10">
      <c r="A1458" t="s">
        <v>3818</v>
      </c>
      <c r="B1458" t="s">
        <v>758</v>
      </c>
      <c r="C1458" t="s">
        <v>2253</v>
      </c>
      <c r="D1458" s="9">
        <v>45613</v>
      </c>
      <c r="E1458" t="s">
        <v>2330</v>
      </c>
      <c r="F1458" s="20">
        <v>100</v>
      </c>
      <c r="G1458" t="s">
        <v>2331</v>
      </c>
      <c r="H1458">
        <v>1200</v>
      </c>
      <c r="I1458" s="16" t="str">
        <f t="shared" si="22"/>
        <v>Normal</v>
      </c>
      <c r="J1458">
        <v>1</v>
      </c>
    </row>
    <row r="1459" spans="1:10">
      <c r="A1459" t="s">
        <v>3819</v>
      </c>
      <c r="B1459" t="s">
        <v>56</v>
      </c>
      <c r="C1459" t="s">
        <v>2222</v>
      </c>
      <c r="D1459" s="9">
        <v>46164</v>
      </c>
      <c r="E1459" t="s">
        <v>2337</v>
      </c>
      <c r="F1459" s="20">
        <v>5</v>
      </c>
      <c r="G1459" t="s">
        <v>2339</v>
      </c>
      <c r="I1459" s="16" t="str">
        <f t="shared" si="22"/>
        <v>Unknown</v>
      </c>
      <c r="J1459">
        <v>5</v>
      </c>
    </row>
    <row r="1460" spans="1:10">
      <c r="A1460" t="s">
        <v>3820</v>
      </c>
      <c r="B1460" t="s">
        <v>1442</v>
      </c>
      <c r="C1460" t="s">
        <v>2205</v>
      </c>
      <c r="D1460" s="9">
        <v>45693</v>
      </c>
      <c r="E1460" t="s">
        <v>2324</v>
      </c>
      <c r="F1460" s="20">
        <v>10</v>
      </c>
      <c r="G1460" t="s">
        <v>2345</v>
      </c>
      <c r="H1460">
        <v>1500</v>
      </c>
      <c r="I1460" s="16" t="str">
        <f t="shared" si="22"/>
        <v>Normal</v>
      </c>
      <c r="J1460">
        <v>2</v>
      </c>
    </row>
    <row r="1461" spans="1:10">
      <c r="A1461" t="s">
        <v>3821</v>
      </c>
      <c r="B1461" t="s">
        <v>832</v>
      </c>
      <c r="C1461" t="s">
        <v>2264</v>
      </c>
      <c r="D1461" s="9">
        <v>45273</v>
      </c>
      <c r="E1461" t="s">
        <v>2327</v>
      </c>
      <c r="F1461" s="20">
        <v>15</v>
      </c>
      <c r="G1461" t="s">
        <v>2345</v>
      </c>
      <c r="H1461">
        <v>2500</v>
      </c>
      <c r="I1461" s="16" t="str">
        <f t="shared" si="22"/>
        <v>Normal</v>
      </c>
      <c r="J1461">
        <v>5</v>
      </c>
    </row>
    <row r="1462" spans="1:10">
      <c r="A1462" t="s">
        <v>3822</v>
      </c>
      <c r="B1462" t="s">
        <v>593</v>
      </c>
      <c r="C1462" t="s">
        <v>2202</v>
      </c>
      <c r="D1462" s="9">
        <v>45146</v>
      </c>
      <c r="E1462" t="s">
        <v>2330</v>
      </c>
      <c r="F1462" s="20">
        <v>100</v>
      </c>
      <c r="G1462" t="s">
        <v>2331</v>
      </c>
      <c r="H1462">
        <v>999.99</v>
      </c>
      <c r="I1462" s="16" t="str">
        <f t="shared" si="22"/>
        <v>Normal</v>
      </c>
      <c r="J1462">
        <v>5</v>
      </c>
    </row>
    <row r="1463" spans="1:10">
      <c r="A1463" t="s">
        <v>3823</v>
      </c>
      <c r="B1463" t="s">
        <v>1520</v>
      </c>
      <c r="C1463" t="s">
        <v>2205</v>
      </c>
      <c r="D1463" s="9">
        <v>46117</v>
      </c>
      <c r="E1463" t="s">
        <v>2330</v>
      </c>
      <c r="F1463" s="20">
        <v>100</v>
      </c>
      <c r="G1463" t="s">
        <v>2331</v>
      </c>
      <c r="H1463">
        <v>1500</v>
      </c>
      <c r="I1463" s="16" t="str">
        <f t="shared" si="22"/>
        <v>Normal</v>
      </c>
      <c r="J1463">
        <v>2</v>
      </c>
    </row>
    <row r="1464" spans="1:10">
      <c r="A1464" t="s">
        <v>3824</v>
      </c>
      <c r="B1464" t="s">
        <v>2108</v>
      </c>
      <c r="C1464" t="s">
        <v>2253</v>
      </c>
      <c r="D1464" s="9">
        <v>46097</v>
      </c>
      <c r="E1464" t="s">
        <v>2330</v>
      </c>
      <c r="G1464" t="s">
        <v>2331</v>
      </c>
      <c r="H1464">
        <v>-1200</v>
      </c>
      <c r="I1464" s="16" t="str">
        <f t="shared" si="22"/>
        <v>Review</v>
      </c>
      <c r="J1464">
        <v>1</v>
      </c>
    </row>
    <row r="1465" spans="1:10">
      <c r="A1465" t="s">
        <v>3825</v>
      </c>
      <c r="B1465" t="s">
        <v>918</v>
      </c>
      <c r="C1465" t="s">
        <v>2271</v>
      </c>
      <c r="D1465" s="9">
        <v>45125</v>
      </c>
      <c r="E1465" t="s">
        <v>2330</v>
      </c>
      <c r="G1465" t="s">
        <v>2339</v>
      </c>
      <c r="H1465">
        <v>1200</v>
      </c>
      <c r="I1465" s="16" t="str">
        <f t="shared" si="22"/>
        <v>Normal</v>
      </c>
      <c r="J1465">
        <v>5</v>
      </c>
    </row>
    <row r="1466" spans="1:10">
      <c r="A1466" t="s">
        <v>3826</v>
      </c>
      <c r="B1466" t="s">
        <v>1373</v>
      </c>
      <c r="C1466" t="s">
        <v>2253</v>
      </c>
      <c r="D1466" s="9">
        <v>45765</v>
      </c>
      <c r="E1466" t="s">
        <v>2324</v>
      </c>
      <c r="F1466" s="20">
        <v>60</v>
      </c>
      <c r="G1466" t="s">
        <v>2345</v>
      </c>
      <c r="H1466">
        <v>1200</v>
      </c>
      <c r="I1466" s="16" t="str">
        <f t="shared" si="22"/>
        <v>Normal</v>
      </c>
      <c r="J1466">
        <v>1</v>
      </c>
    </row>
    <row r="1467" spans="1:10">
      <c r="A1467" t="s">
        <v>3827</v>
      </c>
      <c r="B1467" t="s">
        <v>780</v>
      </c>
      <c r="C1467" t="s">
        <v>2267</v>
      </c>
      <c r="D1467" s="9">
        <v>45983</v>
      </c>
      <c r="E1467" t="s">
        <v>2330</v>
      </c>
      <c r="F1467" s="20">
        <v>100</v>
      </c>
      <c r="G1467" t="s">
        <v>2331</v>
      </c>
      <c r="I1467" s="16" t="str">
        <f t="shared" si="22"/>
        <v>Unknown</v>
      </c>
      <c r="J1467" t="s">
        <v>39</v>
      </c>
    </row>
    <row r="1468" spans="1:10">
      <c r="A1468" t="s">
        <v>3828</v>
      </c>
      <c r="B1468" t="s">
        <v>1960</v>
      </c>
      <c r="C1468" t="s">
        <v>2237</v>
      </c>
      <c r="D1468" s="9">
        <v>45657</v>
      </c>
      <c r="E1468" t="s">
        <v>2330</v>
      </c>
      <c r="F1468" s="20">
        <v>100</v>
      </c>
      <c r="G1468" t="s">
        <v>2345</v>
      </c>
      <c r="H1468">
        <v>1500</v>
      </c>
      <c r="I1468" s="16" t="str">
        <f t="shared" si="22"/>
        <v>Normal</v>
      </c>
      <c r="J1468">
        <v>3</v>
      </c>
    </row>
    <row r="1469" spans="1:10">
      <c r="A1469" t="s">
        <v>3829</v>
      </c>
      <c r="B1469" t="s">
        <v>1385</v>
      </c>
      <c r="C1469" t="s">
        <v>2269</v>
      </c>
      <c r="D1469" s="9">
        <v>45953</v>
      </c>
      <c r="E1469" t="s">
        <v>2337</v>
      </c>
      <c r="G1469" t="s">
        <v>23</v>
      </c>
      <c r="H1469">
        <v>405.02</v>
      </c>
      <c r="I1469" s="16" t="str">
        <f t="shared" si="22"/>
        <v>Normal</v>
      </c>
      <c r="J1469">
        <v>2</v>
      </c>
    </row>
    <row r="1470" spans="1:10">
      <c r="A1470" t="s">
        <v>3830</v>
      </c>
      <c r="B1470" t="s">
        <v>1500</v>
      </c>
      <c r="C1470" t="s">
        <v>2247</v>
      </c>
      <c r="D1470" s="9">
        <v>45654</v>
      </c>
      <c r="E1470" t="s">
        <v>2330</v>
      </c>
      <c r="G1470" t="s">
        <v>2331</v>
      </c>
      <c r="I1470" s="16" t="str">
        <f t="shared" si="22"/>
        <v>Unknown</v>
      </c>
      <c r="J1470">
        <v>3</v>
      </c>
    </row>
    <row r="1471" spans="1:10">
      <c r="A1471" t="s">
        <v>3831</v>
      </c>
      <c r="B1471" t="s">
        <v>918</v>
      </c>
      <c r="C1471" t="s">
        <v>2233</v>
      </c>
      <c r="D1471" s="9">
        <v>45735</v>
      </c>
      <c r="E1471" t="s">
        <v>23</v>
      </c>
      <c r="G1471" t="s">
        <v>2328</v>
      </c>
      <c r="H1471">
        <v>2500</v>
      </c>
      <c r="I1471" s="16" t="str">
        <f t="shared" si="22"/>
        <v>Normal</v>
      </c>
      <c r="J1471">
        <v>2</v>
      </c>
    </row>
    <row r="1472" spans="1:10">
      <c r="A1472" t="s">
        <v>3832</v>
      </c>
      <c r="B1472" t="s">
        <v>274</v>
      </c>
      <c r="C1472" t="s">
        <v>2233</v>
      </c>
      <c r="D1472" s="9">
        <v>45475</v>
      </c>
      <c r="E1472" t="s">
        <v>2330</v>
      </c>
      <c r="G1472" t="s">
        <v>2331</v>
      </c>
      <c r="H1472">
        <v>2500</v>
      </c>
      <c r="I1472" s="16" t="str">
        <f t="shared" si="22"/>
        <v>Normal</v>
      </c>
      <c r="J1472" t="s">
        <v>39</v>
      </c>
    </row>
    <row r="1473" spans="1:10">
      <c r="A1473" t="s">
        <v>3833</v>
      </c>
      <c r="B1473" t="s">
        <v>1087</v>
      </c>
      <c r="C1473" t="s">
        <v>2228</v>
      </c>
      <c r="D1473" s="9">
        <v>45333</v>
      </c>
      <c r="E1473" t="s">
        <v>2330</v>
      </c>
      <c r="F1473" s="20">
        <v>100</v>
      </c>
      <c r="G1473" t="s">
        <v>2345</v>
      </c>
      <c r="H1473">
        <v>715.66</v>
      </c>
      <c r="I1473" s="16" t="str">
        <f t="shared" si="22"/>
        <v>Normal</v>
      </c>
      <c r="J1473">
        <v>4</v>
      </c>
    </row>
    <row r="1474" spans="1:10">
      <c r="A1474" t="s">
        <v>3834</v>
      </c>
      <c r="B1474" t="s">
        <v>1884</v>
      </c>
      <c r="C1474" t="s">
        <v>2198</v>
      </c>
      <c r="D1474" s="9">
        <v>46008</v>
      </c>
      <c r="E1474" t="s">
        <v>2327</v>
      </c>
      <c r="F1474" s="20">
        <v>20</v>
      </c>
      <c r="G1474" t="s">
        <v>2331</v>
      </c>
      <c r="I1474" s="16" t="str">
        <f t="shared" si="22"/>
        <v>Unknown</v>
      </c>
      <c r="J1474">
        <v>4</v>
      </c>
    </row>
    <row r="1475" spans="1:10">
      <c r="A1475" t="s">
        <v>3835</v>
      </c>
      <c r="B1475" t="s">
        <v>2122</v>
      </c>
      <c r="C1475" t="s">
        <v>2231</v>
      </c>
      <c r="D1475" s="9">
        <v>45133</v>
      </c>
      <c r="E1475" t="s">
        <v>2330</v>
      </c>
      <c r="G1475" t="s">
        <v>2325</v>
      </c>
      <c r="H1475">
        <v>3000</v>
      </c>
      <c r="I1475" s="16" t="str">
        <f t="shared" ref="I1475:I1538" si="23">IF(H1475="", "Unknown", IF(H1475=0, "Zero Amount", IF(H1475&lt;1, "Review", IF(H1475&gt;1, "Normal"))))</f>
        <v>Normal</v>
      </c>
      <c r="J1475">
        <v>5</v>
      </c>
    </row>
    <row r="1476" spans="1:10">
      <c r="A1476" t="s">
        <v>3836</v>
      </c>
      <c r="B1476" t="s">
        <v>80</v>
      </c>
      <c r="C1476" t="s">
        <v>2235</v>
      </c>
      <c r="D1476" s="9">
        <v>45893</v>
      </c>
      <c r="E1476" t="s">
        <v>2327</v>
      </c>
      <c r="F1476" s="20">
        <v>5</v>
      </c>
      <c r="G1476" t="s">
        <v>2331</v>
      </c>
      <c r="H1476">
        <v>2466.31</v>
      </c>
      <c r="I1476" s="16" t="str">
        <f t="shared" si="23"/>
        <v>Normal</v>
      </c>
      <c r="J1476">
        <v>3</v>
      </c>
    </row>
    <row r="1477" spans="1:10">
      <c r="A1477" t="s">
        <v>3837</v>
      </c>
      <c r="B1477" t="s">
        <v>1015</v>
      </c>
      <c r="C1477" t="s">
        <v>2209</v>
      </c>
      <c r="D1477" s="9">
        <v>45604</v>
      </c>
      <c r="E1477" t="s">
        <v>2324</v>
      </c>
      <c r="G1477" t="s">
        <v>2345</v>
      </c>
      <c r="H1477">
        <v>499</v>
      </c>
      <c r="I1477" s="16" t="str">
        <f t="shared" si="23"/>
        <v>Normal</v>
      </c>
      <c r="J1477">
        <v>2</v>
      </c>
    </row>
    <row r="1478" spans="1:10">
      <c r="A1478" t="s">
        <v>3838</v>
      </c>
      <c r="B1478" t="s">
        <v>2018</v>
      </c>
      <c r="C1478" t="s">
        <v>2247</v>
      </c>
      <c r="D1478" s="9">
        <v>46191</v>
      </c>
      <c r="E1478" t="s">
        <v>2330</v>
      </c>
      <c r="F1478" s="20">
        <v>100</v>
      </c>
      <c r="G1478" t="s">
        <v>2331</v>
      </c>
      <c r="I1478" s="16" t="str">
        <f t="shared" si="23"/>
        <v>Unknown</v>
      </c>
      <c r="J1478" t="s">
        <v>39</v>
      </c>
    </row>
    <row r="1479" spans="1:10">
      <c r="A1479" t="s">
        <v>3839</v>
      </c>
      <c r="B1479" t="s">
        <v>1145</v>
      </c>
      <c r="C1479" t="s">
        <v>2261</v>
      </c>
      <c r="D1479" s="9">
        <v>45183</v>
      </c>
      <c r="E1479" t="s">
        <v>2330</v>
      </c>
      <c r="G1479" t="s">
        <v>2345</v>
      </c>
      <c r="I1479" s="16" t="str">
        <f t="shared" si="23"/>
        <v>Unknown</v>
      </c>
      <c r="J1479">
        <v>1</v>
      </c>
    </row>
    <row r="1480" spans="1:10">
      <c r="A1480" t="s">
        <v>3840</v>
      </c>
      <c r="B1480" t="s">
        <v>1686</v>
      </c>
      <c r="C1480" t="s">
        <v>2247</v>
      </c>
      <c r="D1480" s="9">
        <v>45182</v>
      </c>
      <c r="E1480" t="s">
        <v>2330</v>
      </c>
      <c r="F1480" s="20">
        <v>100</v>
      </c>
      <c r="G1480" t="s">
        <v>2345</v>
      </c>
      <c r="I1480" s="16" t="str">
        <f t="shared" si="23"/>
        <v>Unknown</v>
      </c>
      <c r="J1480">
        <v>5</v>
      </c>
    </row>
    <row r="1481" spans="1:10">
      <c r="A1481" t="s">
        <v>3841</v>
      </c>
      <c r="B1481" t="s">
        <v>155</v>
      </c>
      <c r="C1481" t="s">
        <v>2244</v>
      </c>
      <c r="D1481" s="9">
        <v>46123</v>
      </c>
      <c r="E1481" t="s">
        <v>2324</v>
      </c>
      <c r="F1481" s="20">
        <v>55</v>
      </c>
      <c r="G1481" t="s">
        <v>2339</v>
      </c>
      <c r="H1481">
        <v>1200</v>
      </c>
      <c r="I1481" s="16" t="str">
        <f t="shared" si="23"/>
        <v>Normal</v>
      </c>
      <c r="J1481">
        <v>5</v>
      </c>
    </row>
    <row r="1482" spans="1:10">
      <c r="A1482" t="s">
        <v>3842</v>
      </c>
      <c r="B1482" t="s">
        <v>558</v>
      </c>
      <c r="C1482" t="s">
        <v>2273</v>
      </c>
      <c r="D1482" s="9">
        <v>45344</v>
      </c>
      <c r="E1482" t="s">
        <v>2324</v>
      </c>
      <c r="F1482" s="20">
        <v>40</v>
      </c>
      <c r="G1482" t="s">
        <v>2345</v>
      </c>
      <c r="H1482">
        <v>799</v>
      </c>
      <c r="I1482" s="16" t="str">
        <f t="shared" si="23"/>
        <v>Normal</v>
      </c>
      <c r="J1482">
        <v>5</v>
      </c>
    </row>
    <row r="1483" spans="1:10">
      <c r="A1483" t="s">
        <v>3843</v>
      </c>
      <c r="B1483" t="s">
        <v>1203</v>
      </c>
      <c r="C1483" t="s">
        <v>2209</v>
      </c>
      <c r="D1483" s="9">
        <v>45649</v>
      </c>
      <c r="E1483" t="s">
        <v>2324</v>
      </c>
      <c r="G1483" t="s">
        <v>2339</v>
      </c>
      <c r="H1483">
        <v>499</v>
      </c>
      <c r="I1483" s="16" t="str">
        <f t="shared" si="23"/>
        <v>Normal</v>
      </c>
      <c r="J1483">
        <v>2</v>
      </c>
    </row>
    <row r="1484" spans="1:10">
      <c r="A1484" t="s">
        <v>3844</v>
      </c>
      <c r="B1484" t="s">
        <v>1614</v>
      </c>
      <c r="C1484" t="s">
        <v>2271</v>
      </c>
      <c r="D1484" s="9">
        <v>45727</v>
      </c>
      <c r="E1484" t="s">
        <v>23</v>
      </c>
      <c r="G1484" t="s">
        <v>23</v>
      </c>
      <c r="H1484">
        <v>1200</v>
      </c>
      <c r="I1484" s="16" t="str">
        <f t="shared" si="23"/>
        <v>Normal</v>
      </c>
      <c r="J1484">
        <v>2</v>
      </c>
    </row>
    <row r="1485" spans="1:10">
      <c r="A1485" t="s">
        <v>3845</v>
      </c>
      <c r="B1485" t="s">
        <v>224</v>
      </c>
      <c r="C1485" t="s">
        <v>2202</v>
      </c>
      <c r="D1485" s="9">
        <v>45932</v>
      </c>
      <c r="E1485" t="s">
        <v>2330</v>
      </c>
      <c r="F1485" s="20">
        <v>100</v>
      </c>
      <c r="G1485" t="s">
        <v>2345</v>
      </c>
      <c r="H1485">
        <v>999.99</v>
      </c>
      <c r="I1485" s="16" t="str">
        <f t="shared" si="23"/>
        <v>Normal</v>
      </c>
      <c r="J1485" t="s">
        <v>39</v>
      </c>
    </row>
    <row r="1486" spans="1:10">
      <c r="A1486" t="s">
        <v>3846</v>
      </c>
      <c r="B1486" t="s">
        <v>1960</v>
      </c>
      <c r="C1486" t="s">
        <v>2233</v>
      </c>
      <c r="D1486" s="9">
        <v>45556</v>
      </c>
      <c r="E1486" t="s">
        <v>2327</v>
      </c>
      <c r="F1486" s="20">
        <v>5</v>
      </c>
      <c r="G1486" t="s">
        <v>2339</v>
      </c>
      <c r="H1486">
        <v>2500</v>
      </c>
      <c r="I1486" s="16" t="str">
        <f t="shared" si="23"/>
        <v>Normal</v>
      </c>
      <c r="J1486">
        <v>5</v>
      </c>
    </row>
    <row r="1487" spans="1:10">
      <c r="A1487" t="s">
        <v>3847</v>
      </c>
      <c r="B1487" t="s">
        <v>2129</v>
      </c>
      <c r="C1487" t="s">
        <v>2233</v>
      </c>
      <c r="D1487" s="9">
        <v>45666</v>
      </c>
      <c r="E1487" t="s">
        <v>2324</v>
      </c>
      <c r="F1487" s="20">
        <v>55</v>
      </c>
      <c r="G1487" t="s">
        <v>2345</v>
      </c>
      <c r="H1487">
        <v>2500</v>
      </c>
      <c r="I1487" s="16" t="str">
        <f t="shared" si="23"/>
        <v>Normal</v>
      </c>
      <c r="J1487">
        <v>1</v>
      </c>
    </row>
    <row r="1488" spans="1:10">
      <c r="A1488" t="s">
        <v>3848</v>
      </c>
      <c r="B1488" t="s">
        <v>449</v>
      </c>
      <c r="C1488" t="s">
        <v>2218</v>
      </c>
      <c r="D1488" s="9">
        <v>46026</v>
      </c>
      <c r="E1488" t="s">
        <v>2330</v>
      </c>
      <c r="F1488" s="20">
        <v>100</v>
      </c>
      <c r="G1488" t="s">
        <v>23</v>
      </c>
      <c r="I1488" s="16" t="str">
        <f t="shared" si="23"/>
        <v>Unknown</v>
      </c>
      <c r="J1488">
        <v>3</v>
      </c>
    </row>
    <row r="1489" spans="1:10">
      <c r="A1489" t="s">
        <v>3849</v>
      </c>
      <c r="B1489" t="s">
        <v>1988</v>
      </c>
      <c r="C1489" t="s">
        <v>2198</v>
      </c>
      <c r="D1489" s="9">
        <v>45676</v>
      </c>
      <c r="E1489" t="s">
        <v>2324</v>
      </c>
      <c r="F1489" s="20">
        <v>40</v>
      </c>
      <c r="G1489" t="s">
        <v>2345</v>
      </c>
      <c r="I1489" s="16" t="str">
        <f t="shared" si="23"/>
        <v>Unknown</v>
      </c>
      <c r="J1489">
        <v>5</v>
      </c>
    </row>
    <row r="1490" spans="1:10">
      <c r="A1490" t="s">
        <v>3850</v>
      </c>
      <c r="B1490" t="s">
        <v>181</v>
      </c>
      <c r="C1490" t="s">
        <v>2187</v>
      </c>
      <c r="D1490" s="9">
        <v>45154</v>
      </c>
      <c r="E1490" t="s">
        <v>23</v>
      </c>
      <c r="G1490" t="s">
        <v>2331</v>
      </c>
      <c r="H1490">
        <v>799</v>
      </c>
      <c r="I1490" s="16" t="str">
        <f t="shared" si="23"/>
        <v>Normal</v>
      </c>
      <c r="J1490" t="s">
        <v>39</v>
      </c>
    </row>
    <row r="1491" spans="1:10">
      <c r="A1491" t="s">
        <v>3851</v>
      </c>
      <c r="B1491" t="s">
        <v>1173</v>
      </c>
      <c r="C1491" t="s">
        <v>2209</v>
      </c>
      <c r="D1491" s="9">
        <v>45615</v>
      </c>
      <c r="E1491" t="s">
        <v>23</v>
      </c>
      <c r="G1491" t="s">
        <v>2345</v>
      </c>
      <c r="H1491">
        <v>499</v>
      </c>
      <c r="I1491" s="16" t="str">
        <f t="shared" si="23"/>
        <v>Normal</v>
      </c>
      <c r="J1491">
        <v>1</v>
      </c>
    </row>
    <row r="1492" spans="1:10">
      <c r="A1492" t="s">
        <v>3852</v>
      </c>
      <c r="B1492" t="s">
        <v>1145</v>
      </c>
      <c r="C1492" t="s">
        <v>2216</v>
      </c>
      <c r="D1492" s="9">
        <v>45672</v>
      </c>
      <c r="E1492" t="s">
        <v>2324</v>
      </c>
      <c r="G1492" t="s">
        <v>2331</v>
      </c>
      <c r="H1492">
        <v>1200</v>
      </c>
      <c r="I1492" s="16" t="str">
        <f t="shared" si="23"/>
        <v>Normal</v>
      </c>
      <c r="J1492">
        <v>1</v>
      </c>
    </row>
    <row r="1493" spans="1:10">
      <c r="A1493" t="s">
        <v>3853</v>
      </c>
      <c r="B1493" t="s">
        <v>1835</v>
      </c>
      <c r="C1493" t="s">
        <v>2209</v>
      </c>
      <c r="D1493" s="9">
        <v>45581</v>
      </c>
      <c r="E1493" t="s">
        <v>2330</v>
      </c>
      <c r="F1493" s="20">
        <v>100</v>
      </c>
      <c r="G1493" t="s">
        <v>2331</v>
      </c>
      <c r="H1493">
        <v>499</v>
      </c>
      <c r="I1493" s="16" t="str">
        <f t="shared" si="23"/>
        <v>Normal</v>
      </c>
      <c r="J1493" t="s">
        <v>39</v>
      </c>
    </row>
    <row r="1494" spans="1:10">
      <c r="A1494" t="s">
        <v>3854</v>
      </c>
      <c r="B1494" t="s">
        <v>1323</v>
      </c>
      <c r="C1494" t="s">
        <v>2257</v>
      </c>
      <c r="D1494" s="9">
        <v>45393</v>
      </c>
      <c r="E1494" t="s">
        <v>2337</v>
      </c>
      <c r="F1494" s="20">
        <v>5</v>
      </c>
      <c r="G1494" t="s">
        <v>2339</v>
      </c>
      <c r="I1494" s="16" t="str">
        <f t="shared" si="23"/>
        <v>Unknown</v>
      </c>
      <c r="J1494" t="s">
        <v>39</v>
      </c>
    </row>
    <row r="1495" spans="1:10">
      <c r="A1495" t="s">
        <v>3855</v>
      </c>
      <c r="B1495" t="s">
        <v>2122</v>
      </c>
      <c r="C1495" t="s">
        <v>2259</v>
      </c>
      <c r="D1495" s="9">
        <v>46014</v>
      </c>
      <c r="E1495" t="s">
        <v>23</v>
      </c>
      <c r="G1495" t="s">
        <v>2331</v>
      </c>
      <c r="H1495">
        <v>0</v>
      </c>
      <c r="I1495" s="16" t="str">
        <f t="shared" si="23"/>
        <v>Zero Amount</v>
      </c>
      <c r="J1495">
        <v>1</v>
      </c>
    </row>
    <row r="1496" spans="1:10">
      <c r="A1496" t="s">
        <v>3856</v>
      </c>
      <c r="B1496" t="s">
        <v>1327</v>
      </c>
      <c r="C1496" t="s">
        <v>2267</v>
      </c>
      <c r="D1496" s="9">
        <v>45419</v>
      </c>
      <c r="E1496" t="s">
        <v>2330</v>
      </c>
      <c r="F1496" s="20">
        <v>100</v>
      </c>
      <c r="G1496" t="s">
        <v>2339</v>
      </c>
      <c r="H1496">
        <v>999.99</v>
      </c>
      <c r="I1496" s="16" t="str">
        <f t="shared" si="23"/>
        <v>Normal</v>
      </c>
      <c r="J1496">
        <v>1</v>
      </c>
    </row>
    <row r="1497" spans="1:10">
      <c r="A1497" t="s">
        <v>3857</v>
      </c>
      <c r="B1497" t="s">
        <v>1650</v>
      </c>
      <c r="C1497" t="s">
        <v>2216</v>
      </c>
      <c r="D1497" s="9">
        <v>45365</v>
      </c>
      <c r="E1497" t="s">
        <v>2330</v>
      </c>
      <c r="F1497" s="20">
        <v>100</v>
      </c>
      <c r="G1497" t="s">
        <v>2339</v>
      </c>
      <c r="H1497">
        <v>1200</v>
      </c>
      <c r="I1497" s="16" t="str">
        <f t="shared" si="23"/>
        <v>Normal</v>
      </c>
      <c r="J1497">
        <v>5</v>
      </c>
    </row>
    <row r="1498" spans="1:10">
      <c r="A1498" t="s">
        <v>3858</v>
      </c>
      <c r="B1498" t="s">
        <v>20</v>
      </c>
      <c r="C1498" t="s">
        <v>2222</v>
      </c>
      <c r="D1498" s="9">
        <v>45364</v>
      </c>
      <c r="E1498" t="s">
        <v>23</v>
      </c>
      <c r="G1498" t="s">
        <v>2325</v>
      </c>
      <c r="H1498">
        <v>0</v>
      </c>
      <c r="I1498" s="16" t="str">
        <f t="shared" si="23"/>
        <v>Zero Amount</v>
      </c>
      <c r="J1498">
        <v>1</v>
      </c>
    </row>
    <row r="1499" spans="1:10">
      <c r="A1499" t="s">
        <v>3859</v>
      </c>
      <c r="B1499" t="s">
        <v>513</v>
      </c>
      <c r="C1499" t="s">
        <v>2216</v>
      </c>
      <c r="D1499" s="9">
        <v>45910</v>
      </c>
      <c r="E1499" t="s">
        <v>2337</v>
      </c>
      <c r="F1499" s="20">
        <v>0</v>
      </c>
      <c r="G1499" t="s">
        <v>2345</v>
      </c>
      <c r="H1499">
        <v>1200</v>
      </c>
      <c r="I1499" s="16" t="str">
        <f t="shared" si="23"/>
        <v>Normal</v>
      </c>
      <c r="J1499">
        <v>5</v>
      </c>
    </row>
    <row r="1500" spans="1:10">
      <c r="A1500" t="s">
        <v>3860</v>
      </c>
      <c r="B1500" t="s">
        <v>1740</v>
      </c>
      <c r="C1500" t="s">
        <v>2231</v>
      </c>
      <c r="D1500" s="9">
        <v>45494</v>
      </c>
      <c r="E1500" t="s">
        <v>2330</v>
      </c>
      <c r="F1500" s="20">
        <v>100</v>
      </c>
      <c r="G1500" t="s">
        <v>2345</v>
      </c>
      <c r="H1500">
        <v>3000</v>
      </c>
      <c r="I1500" s="16" t="str">
        <f t="shared" si="23"/>
        <v>Normal</v>
      </c>
      <c r="J1500">
        <v>5</v>
      </c>
    </row>
    <row r="1501" spans="1:10">
      <c r="A1501" t="s">
        <v>3861</v>
      </c>
      <c r="B1501" t="s">
        <v>1894</v>
      </c>
      <c r="C1501" t="s">
        <v>2209</v>
      </c>
      <c r="D1501" s="9">
        <v>45302</v>
      </c>
      <c r="E1501" t="s">
        <v>23</v>
      </c>
      <c r="G1501" t="s">
        <v>2339</v>
      </c>
      <c r="H1501">
        <v>385.63</v>
      </c>
      <c r="I1501" s="16" t="str">
        <f t="shared" si="23"/>
        <v>Normal</v>
      </c>
      <c r="J1501" t="s">
        <v>39</v>
      </c>
    </row>
    <row r="1502" spans="1:10">
      <c r="A1502" t="s">
        <v>3862</v>
      </c>
      <c r="B1502" t="s">
        <v>769</v>
      </c>
      <c r="C1502" t="s">
        <v>2231</v>
      </c>
      <c r="D1502" s="9">
        <v>45918</v>
      </c>
      <c r="E1502" t="s">
        <v>2324</v>
      </c>
      <c r="F1502" s="20">
        <v>10</v>
      </c>
      <c r="G1502" t="s">
        <v>2328</v>
      </c>
      <c r="H1502">
        <v>3000</v>
      </c>
      <c r="I1502" s="16" t="str">
        <f t="shared" si="23"/>
        <v>Normal</v>
      </c>
      <c r="J1502">
        <v>5</v>
      </c>
    </row>
    <row r="1503" spans="1:10">
      <c r="A1503" t="s">
        <v>3863</v>
      </c>
      <c r="B1503" t="s">
        <v>2401</v>
      </c>
      <c r="C1503" t="s">
        <v>2228</v>
      </c>
      <c r="D1503" s="9">
        <v>45224</v>
      </c>
      <c r="E1503" t="s">
        <v>2330</v>
      </c>
      <c r="F1503" s="20">
        <v>100</v>
      </c>
      <c r="G1503" t="s">
        <v>2339</v>
      </c>
      <c r="H1503">
        <v>799</v>
      </c>
      <c r="I1503" s="16" t="str">
        <f t="shared" si="23"/>
        <v>Normal</v>
      </c>
      <c r="J1503">
        <v>5</v>
      </c>
    </row>
    <row r="1504" spans="1:10">
      <c r="A1504" t="s">
        <v>3864</v>
      </c>
      <c r="B1504" t="s">
        <v>366</v>
      </c>
      <c r="C1504" t="s">
        <v>2269</v>
      </c>
      <c r="D1504" s="9">
        <v>45599</v>
      </c>
      <c r="E1504" t="s">
        <v>2337</v>
      </c>
      <c r="F1504" s="20">
        <v>15</v>
      </c>
      <c r="G1504" t="s">
        <v>2328</v>
      </c>
      <c r="H1504">
        <v>499</v>
      </c>
      <c r="I1504" s="16" t="str">
        <f t="shared" si="23"/>
        <v>Normal</v>
      </c>
      <c r="J1504">
        <v>5</v>
      </c>
    </row>
    <row r="1505" spans="1:10">
      <c r="A1505" t="s">
        <v>3865</v>
      </c>
      <c r="B1505" t="s">
        <v>1773</v>
      </c>
      <c r="C1505" t="s">
        <v>2213</v>
      </c>
      <c r="D1505" s="9">
        <v>45666</v>
      </c>
      <c r="E1505" t="s">
        <v>23</v>
      </c>
      <c r="G1505" t="s">
        <v>2325</v>
      </c>
      <c r="H1505">
        <v>1500</v>
      </c>
      <c r="I1505" s="16" t="str">
        <f t="shared" si="23"/>
        <v>Normal</v>
      </c>
      <c r="J1505">
        <v>2</v>
      </c>
    </row>
    <row r="1506" spans="1:10">
      <c r="A1506" t="s">
        <v>3866</v>
      </c>
      <c r="B1506" t="s">
        <v>3867</v>
      </c>
      <c r="C1506" t="s">
        <v>2257</v>
      </c>
      <c r="D1506" s="9">
        <v>46062</v>
      </c>
      <c r="E1506" t="s">
        <v>2327</v>
      </c>
      <c r="F1506" s="20">
        <v>5</v>
      </c>
      <c r="G1506" t="s">
        <v>2331</v>
      </c>
      <c r="I1506" s="16" t="str">
        <f t="shared" si="23"/>
        <v>Unknown</v>
      </c>
      <c r="J1506">
        <v>5</v>
      </c>
    </row>
    <row r="1507" spans="1:10">
      <c r="A1507" t="s">
        <v>3868</v>
      </c>
      <c r="B1507" t="s">
        <v>1114</v>
      </c>
      <c r="C1507" t="s">
        <v>2218</v>
      </c>
      <c r="D1507" s="9">
        <v>45494</v>
      </c>
      <c r="E1507" t="s">
        <v>2324</v>
      </c>
      <c r="F1507" s="20">
        <v>60</v>
      </c>
      <c r="G1507" t="s">
        <v>2339</v>
      </c>
      <c r="H1507">
        <v>1500</v>
      </c>
      <c r="I1507" s="16" t="str">
        <f t="shared" si="23"/>
        <v>Normal</v>
      </c>
      <c r="J1507">
        <v>4</v>
      </c>
    </row>
    <row r="1508" spans="1:10">
      <c r="A1508" t="s">
        <v>3869</v>
      </c>
      <c r="B1508" t="s">
        <v>695</v>
      </c>
      <c r="C1508" t="s">
        <v>2259</v>
      </c>
      <c r="D1508" s="9">
        <v>45572</v>
      </c>
      <c r="E1508" t="s">
        <v>2337</v>
      </c>
      <c r="F1508" s="20">
        <v>0</v>
      </c>
      <c r="G1508" t="s">
        <v>2331</v>
      </c>
      <c r="H1508">
        <v>0</v>
      </c>
      <c r="I1508" s="16" t="str">
        <f t="shared" si="23"/>
        <v>Zero Amount</v>
      </c>
      <c r="J1508">
        <v>4</v>
      </c>
    </row>
    <row r="1509" spans="1:10">
      <c r="A1509" t="s">
        <v>3870</v>
      </c>
      <c r="B1509" t="s">
        <v>813</v>
      </c>
      <c r="C1509" t="s">
        <v>2228</v>
      </c>
      <c r="D1509" s="9">
        <v>45652</v>
      </c>
      <c r="E1509" t="s">
        <v>2330</v>
      </c>
      <c r="F1509" s="20">
        <v>100</v>
      </c>
      <c r="G1509" t="s">
        <v>23</v>
      </c>
      <c r="H1509">
        <v>799</v>
      </c>
      <c r="I1509" s="16" t="str">
        <f t="shared" si="23"/>
        <v>Normal</v>
      </c>
      <c r="J1509">
        <v>4</v>
      </c>
    </row>
    <row r="1510" spans="1:10">
      <c r="A1510" t="s">
        <v>3871</v>
      </c>
      <c r="B1510" t="s">
        <v>936</v>
      </c>
      <c r="C1510" t="s">
        <v>2198</v>
      </c>
      <c r="D1510" s="9">
        <v>46100</v>
      </c>
      <c r="E1510" t="s">
        <v>2324</v>
      </c>
      <c r="F1510" s="20">
        <v>60</v>
      </c>
      <c r="G1510" t="s">
        <v>23</v>
      </c>
      <c r="I1510" s="16" t="str">
        <f t="shared" si="23"/>
        <v>Unknown</v>
      </c>
      <c r="J1510" t="s">
        <v>39</v>
      </c>
    </row>
    <row r="1511" spans="1:10">
      <c r="A1511" t="s">
        <v>3872</v>
      </c>
      <c r="B1511" t="s">
        <v>1051</v>
      </c>
      <c r="C1511" t="s">
        <v>2202</v>
      </c>
      <c r="D1511" s="9">
        <v>45814</v>
      </c>
      <c r="E1511" t="s">
        <v>2330</v>
      </c>
      <c r="F1511" s="20">
        <v>100</v>
      </c>
      <c r="G1511" t="s">
        <v>2325</v>
      </c>
      <c r="H1511">
        <v>999.99</v>
      </c>
      <c r="I1511" s="16" t="str">
        <f t="shared" si="23"/>
        <v>Normal</v>
      </c>
      <c r="J1511">
        <v>5</v>
      </c>
    </row>
    <row r="1512" spans="1:10">
      <c r="A1512" t="s">
        <v>3873</v>
      </c>
      <c r="B1512" t="s">
        <v>2066</v>
      </c>
      <c r="C1512" t="s">
        <v>2222</v>
      </c>
      <c r="D1512" s="9">
        <v>45761</v>
      </c>
      <c r="E1512" t="s">
        <v>2324</v>
      </c>
      <c r="F1512" s="20">
        <v>25</v>
      </c>
      <c r="G1512" t="s">
        <v>2331</v>
      </c>
      <c r="H1512">
        <v>0</v>
      </c>
      <c r="I1512" s="16" t="str">
        <f t="shared" si="23"/>
        <v>Zero Amount</v>
      </c>
      <c r="J1512" t="s">
        <v>39</v>
      </c>
    </row>
    <row r="1513" spans="1:10">
      <c r="A1513" t="s">
        <v>3874</v>
      </c>
      <c r="B1513" t="s">
        <v>846</v>
      </c>
      <c r="C1513" t="s">
        <v>2261</v>
      </c>
      <c r="D1513" s="9">
        <v>45590</v>
      </c>
      <c r="E1513" t="s">
        <v>2327</v>
      </c>
      <c r="F1513" s="20">
        <v>20</v>
      </c>
      <c r="G1513" t="s">
        <v>2345</v>
      </c>
      <c r="I1513" s="16" t="str">
        <f t="shared" si="23"/>
        <v>Unknown</v>
      </c>
      <c r="J1513" t="s">
        <v>39</v>
      </c>
    </row>
    <row r="1514" spans="1:10">
      <c r="A1514" t="s">
        <v>3875</v>
      </c>
      <c r="B1514" t="s">
        <v>1489</v>
      </c>
      <c r="C1514" t="s">
        <v>2216</v>
      </c>
      <c r="D1514" s="9">
        <v>45557</v>
      </c>
      <c r="E1514" t="s">
        <v>23</v>
      </c>
      <c r="G1514" t="s">
        <v>2331</v>
      </c>
      <c r="H1514">
        <v>1200</v>
      </c>
      <c r="I1514" s="16" t="str">
        <f t="shared" si="23"/>
        <v>Normal</v>
      </c>
      <c r="J1514">
        <v>3</v>
      </c>
    </row>
    <row r="1515" spans="1:10">
      <c r="A1515" t="s">
        <v>3876</v>
      </c>
      <c r="B1515" t="s">
        <v>1054</v>
      </c>
      <c r="C1515" t="s">
        <v>2264</v>
      </c>
      <c r="D1515" s="9">
        <v>45780</v>
      </c>
      <c r="E1515" t="s">
        <v>2330</v>
      </c>
      <c r="F1515" s="20">
        <v>100</v>
      </c>
      <c r="G1515" t="s">
        <v>2331</v>
      </c>
      <c r="H1515">
        <v>2500</v>
      </c>
      <c r="I1515" s="16" t="str">
        <f t="shared" si="23"/>
        <v>Normal</v>
      </c>
      <c r="J1515">
        <v>3</v>
      </c>
    </row>
    <row r="1516" spans="1:10">
      <c r="A1516" t="s">
        <v>3877</v>
      </c>
      <c r="B1516" t="s">
        <v>682</v>
      </c>
      <c r="C1516" t="s">
        <v>2273</v>
      </c>
      <c r="D1516" s="9">
        <v>46004</v>
      </c>
      <c r="E1516" t="s">
        <v>2324</v>
      </c>
      <c r="F1516" s="20">
        <v>40</v>
      </c>
      <c r="G1516" t="s">
        <v>2345</v>
      </c>
      <c r="H1516">
        <v>799</v>
      </c>
      <c r="I1516" s="16" t="str">
        <f t="shared" si="23"/>
        <v>Normal</v>
      </c>
      <c r="J1516" t="s">
        <v>39</v>
      </c>
    </row>
    <row r="1517" spans="1:10">
      <c r="A1517" t="s">
        <v>3878</v>
      </c>
      <c r="B1517" t="s">
        <v>302</v>
      </c>
      <c r="C1517" t="s">
        <v>2198</v>
      </c>
      <c r="D1517" s="9">
        <v>45235</v>
      </c>
      <c r="E1517" t="s">
        <v>2324</v>
      </c>
      <c r="F1517" s="20">
        <v>40</v>
      </c>
      <c r="G1517" t="s">
        <v>2331</v>
      </c>
      <c r="I1517" s="16" t="str">
        <f t="shared" si="23"/>
        <v>Unknown</v>
      </c>
      <c r="J1517">
        <v>4</v>
      </c>
    </row>
    <row r="1518" spans="1:10">
      <c r="A1518" t="s">
        <v>3879</v>
      </c>
      <c r="B1518" t="s">
        <v>2126</v>
      </c>
      <c r="C1518" t="s">
        <v>2259</v>
      </c>
      <c r="D1518" s="9">
        <v>45687</v>
      </c>
      <c r="E1518" t="s">
        <v>2330</v>
      </c>
      <c r="F1518" s="20">
        <v>100</v>
      </c>
      <c r="G1518" t="s">
        <v>23</v>
      </c>
      <c r="H1518">
        <v>0</v>
      </c>
      <c r="I1518" s="16" t="str">
        <f t="shared" si="23"/>
        <v>Zero Amount</v>
      </c>
      <c r="J1518">
        <v>4</v>
      </c>
    </row>
    <row r="1519" spans="1:10">
      <c r="A1519" t="s">
        <v>3880</v>
      </c>
      <c r="B1519" t="s">
        <v>1347</v>
      </c>
      <c r="C1519" t="s">
        <v>2264</v>
      </c>
      <c r="D1519" s="9">
        <v>45948</v>
      </c>
      <c r="E1519" t="s">
        <v>2330</v>
      </c>
      <c r="F1519" s="20">
        <v>100</v>
      </c>
      <c r="G1519" t="s">
        <v>2339</v>
      </c>
      <c r="H1519">
        <v>1917.22</v>
      </c>
      <c r="I1519" s="16" t="str">
        <f t="shared" si="23"/>
        <v>Normal</v>
      </c>
      <c r="J1519">
        <v>5</v>
      </c>
    </row>
    <row r="1520" spans="1:10">
      <c r="A1520" t="s">
        <v>3881</v>
      </c>
      <c r="B1520" t="s">
        <v>103</v>
      </c>
      <c r="C1520" t="s">
        <v>2218</v>
      </c>
      <c r="D1520" s="9">
        <v>45544</v>
      </c>
      <c r="E1520" t="s">
        <v>2337</v>
      </c>
      <c r="F1520" s="20">
        <v>5</v>
      </c>
      <c r="G1520" t="s">
        <v>23</v>
      </c>
      <c r="H1520">
        <v>1500</v>
      </c>
      <c r="I1520" s="16" t="str">
        <f t="shared" si="23"/>
        <v>Normal</v>
      </c>
      <c r="J1520" t="s">
        <v>39</v>
      </c>
    </row>
    <row r="1521" spans="1:10">
      <c r="A1521" t="s">
        <v>3882</v>
      </c>
      <c r="B1521" t="s">
        <v>390</v>
      </c>
      <c r="C1521" t="s">
        <v>2205</v>
      </c>
      <c r="D1521" s="9">
        <v>45738</v>
      </c>
      <c r="E1521" t="s">
        <v>2324</v>
      </c>
      <c r="F1521" s="20">
        <v>25</v>
      </c>
      <c r="G1521" t="s">
        <v>2325</v>
      </c>
      <c r="H1521">
        <v>1500</v>
      </c>
      <c r="I1521" s="16" t="str">
        <f t="shared" si="23"/>
        <v>Normal</v>
      </c>
      <c r="J1521">
        <v>2</v>
      </c>
    </row>
    <row r="1522" spans="1:10">
      <c r="A1522" t="s">
        <v>3883</v>
      </c>
      <c r="B1522" t="s">
        <v>2111</v>
      </c>
      <c r="C1522" t="s">
        <v>2216</v>
      </c>
      <c r="D1522" s="9">
        <v>45249</v>
      </c>
      <c r="E1522" t="s">
        <v>2337</v>
      </c>
      <c r="G1522" t="s">
        <v>23</v>
      </c>
      <c r="H1522">
        <v>1200</v>
      </c>
      <c r="I1522" s="16" t="str">
        <f t="shared" si="23"/>
        <v>Normal</v>
      </c>
      <c r="J1522">
        <v>4</v>
      </c>
    </row>
    <row r="1523" spans="1:10">
      <c r="A1523" t="s">
        <v>3884</v>
      </c>
      <c r="B1523" t="s">
        <v>1515</v>
      </c>
      <c r="C1523" t="s">
        <v>2193</v>
      </c>
      <c r="D1523" s="9">
        <v>45383</v>
      </c>
      <c r="E1523" t="s">
        <v>23</v>
      </c>
      <c r="G1523" t="s">
        <v>2328</v>
      </c>
      <c r="H1523">
        <v>0</v>
      </c>
      <c r="I1523" s="16" t="str">
        <f t="shared" si="23"/>
        <v>Zero Amount</v>
      </c>
      <c r="J1523">
        <v>1</v>
      </c>
    </row>
    <row r="1524" spans="1:10">
      <c r="A1524" t="s">
        <v>3885</v>
      </c>
      <c r="B1524" t="s">
        <v>1820</v>
      </c>
      <c r="C1524" t="s">
        <v>2271</v>
      </c>
      <c r="D1524" s="9">
        <v>45412</v>
      </c>
      <c r="E1524" t="s">
        <v>2330</v>
      </c>
      <c r="F1524" s="20">
        <v>100</v>
      </c>
      <c r="G1524" t="s">
        <v>2339</v>
      </c>
      <c r="H1524">
        <v>1200</v>
      </c>
      <c r="I1524" s="16" t="str">
        <f t="shared" si="23"/>
        <v>Normal</v>
      </c>
      <c r="J1524" t="s">
        <v>39</v>
      </c>
    </row>
    <row r="1525" spans="1:10">
      <c r="A1525" t="s">
        <v>3886</v>
      </c>
      <c r="B1525" t="s">
        <v>3809</v>
      </c>
      <c r="C1525" t="s">
        <v>2235</v>
      </c>
      <c r="D1525" s="9">
        <v>45441</v>
      </c>
      <c r="E1525" t="s">
        <v>2337</v>
      </c>
      <c r="F1525" s="20">
        <v>0</v>
      </c>
      <c r="G1525" t="s">
        <v>23</v>
      </c>
      <c r="H1525">
        <v>3000</v>
      </c>
      <c r="I1525" s="16" t="str">
        <f t="shared" si="23"/>
        <v>Normal</v>
      </c>
      <c r="J1525">
        <v>5</v>
      </c>
    </row>
    <row r="1526" spans="1:10">
      <c r="A1526" t="s">
        <v>3887</v>
      </c>
      <c r="B1526" t="s">
        <v>2018</v>
      </c>
      <c r="C1526" t="s">
        <v>2233</v>
      </c>
      <c r="D1526" s="9">
        <v>45187</v>
      </c>
      <c r="E1526" t="s">
        <v>2330</v>
      </c>
      <c r="F1526" s="20">
        <v>100</v>
      </c>
      <c r="G1526" t="s">
        <v>2345</v>
      </c>
      <c r="H1526">
        <v>2500</v>
      </c>
      <c r="I1526" s="16" t="str">
        <f t="shared" si="23"/>
        <v>Normal</v>
      </c>
      <c r="J1526">
        <v>1</v>
      </c>
    </row>
    <row r="1527" spans="1:10">
      <c r="A1527" t="s">
        <v>3888</v>
      </c>
      <c r="B1527" t="s">
        <v>780</v>
      </c>
      <c r="C1527" t="s">
        <v>2202</v>
      </c>
      <c r="D1527" s="9">
        <v>45559</v>
      </c>
      <c r="E1527" t="s">
        <v>2324</v>
      </c>
      <c r="F1527" s="20">
        <v>75</v>
      </c>
      <c r="G1527" t="s">
        <v>2325</v>
      </c>
      <c r="H1527">
        <v>769.37</v>
      </c>
      <c r="I1527" s="16" t="str">
        <f t="shared" si="23"/>
        <v>Normal</v>
      </c>
      <c r="J1527">
        <v>4</v>
      </c>
    </row>
    <row r="1528" spans="1:10">
      <c r="A1528" t="s">
        <v>3889</v>
      </c>
      <c r="B1528" t="s">
        <v>159</v>
      </c>
      <c r="C1528" t="s">
        <v>2241</v>
      </c>
      <c r="D1528" s="9">
        <v>46175</v>
      </c>
      <c r="E1528" t="s">
        <v>2324</v>
      </c>
      <c r="F1528" s="20">
        <v>25</v>
      </c>
      <c r="G1528" t="s">
        <v>2345</v>
      </c>
      <c r="H1528">
        <v>1635.56</v>
      </c>
      <c r="I1528" s="16" t="str">
        <f t="shared" si="23"/>
        <v>Normal</v>
      </c>
      <c r="J1528">
        <v>1</v>
      </c>
    </row>
    <row r="1529" spans="1:10">
      <c r="A1529" t="s">
        <v>3890</v>
      </c>
      <c r="B1529" t="s">
        <v>622</v>
      </c>
      <c r="C1529" t="s">
        <v>2202</v>
      </c>
      <c r="D1529" s="9">
        <v>45729</v>
      </c>
      <c r="E1529" t="s">
        <v>2324</v>
      </c>
      <c r="F1529" s="20">
        <v>40</v>
      </c>
      <c r="G1529" t="s">
        <v>23</v>
      </c>
      <c r="H1529">
        <v>999.99</v>
      </c>
      <c r="I1529" s="16" t="str">
        <f t="shared" si="23"/>
        <v>Normal</v>
      </c>
      <c r="J1529" t="s">
        <v>39</v>
      </c>
    </row>
    <row r="1530" spans="1:10">
      <c r="A1530" t="s">
        <v>3891</v>
      </c>
      <c r="B1530" t="s">
        <v>1418</v>
      </c>
      <c r="C1530" t="s">
        <v>2218</v>
      </c>
      <c r="D1530" s="9">
        <v>45791</v>
      </c>
      <c r="E1530" t="s">
        <v>23</v>
      </c>
      <c r="G1530" t="s">
        <v>2345</v>
      </c>
      <c r="I1530" s="16" t="str">
        <f t="shared" si="23"/>
        <v>Unknown</v>
      </c>
      <c r="J1530">
        <v>2</v>
      </c>
    </row>
    <row r="1531" spans="1:10">
      <c r="A1531" t="s">
        <v>3892</v>
      </c>
      <c r="B1531" t="s">
        <v>20</v>
      </c>
      <c r="C1531" t="s">
        <v>2205</v>
      </c>
      <c r="D1531" s="9">
        <v>45944</v>
      </c>
      <c r="E1531" t="s">
        <v>23</v>
      </c>
      <c r="G1531" t="s">
        <v>2328</v>
      </c>
      <c r="H1531">
        <v>1500</v>
      </c>
      <c r="I1531" s="16" t="str">
        <f t="shared" si="23"/>
        <v>Normal</v>
      </c>
      <c r="J1531">
        <v>4</v>
      </c>
    </row>
    <row r="1532" spans="1:10">
      <c r="A1532" t="s">
        <v>3893</v>
      </c>
      <c r="B1532" t="s">
        <v>1842</v>
      </c>
      <c r="C1532" t="s">
        <v>2231</v>
      </c>
      <c r="D1532" s="9">
        <v>46084</v>
      </c>
      <c r="E1532" t="s">
        <v>23</v>
      </c>
      <c r="G1532" t="s">
        <v>2345</v>
      </c>
      <c r="H1532">
        <v>3000</v>
      </c>
      <c r="I1532" s="16" t="str">
        <f t="shared" si="23"/>
        <v>Normal</v>
      </c>
      <c r="J1532">
        <v>4</v>
      </c>
    </row>
    <row r="1533" spans="1:10">
      <c r="A1533" t="s">
        <v>3894</v>
      </c>
      <c r="B1533" t="s">
        <v>366</v>
      </c>
      <c r="C1533" t="s">
        <v>2233</v>
      </c>
      <c r="D1533" s="9">
        <v>46058</v>
      </c>
      <c r="E1533" t="s">
        <v>2337</v>
      </c>
      <c r="F1533" s="20">
        <v>15</v>
      </c>
      <c r="G1533" t="s">
        <v>2345</v>
      </c>
      <c r="H1533">
        <v>2500</v>
      </c>
      <c r="I1533" s="16" t="str">
        <f t="shared" si="23"/>
        <v>Normal</v>
      </c>
      <c r="J1533">
        <v>4</v>
      </c>
    </row>
    <row r="1534" spans="1:10">
      <c r="A1534" t="s">
        <v>3895</v>
      </c>
      <c r="B1534" t="s">
        <v>983</v>
      </c>
      <c r="C1534" t="s">
        <v>2269</v>
      </c>
      <c r="D1534" s="9">
        <v>45145</v>
      </c>
      <c r="E1534" t="s">
        <v>2330</v>
      </c>
      <c r="F1534" s="20">
        <v>100</v>
      </c>
      <c r="G1534" t="s">
        <v>2331</v>
      </c>
      <c r="H1534">
        <v>359.94</v>
      </c>
      <c r="I1534" s="16" t="str">
        <f t="shared" si="23"/>
        <v>Normal</v>
      </c>
      <c r="J1534" t="s">
        <v>39</v>
      </c>
    </row>
    <row r="1535" spans="1:10">
      <c r="A1535" t="s">
        <v>3896</v>
      </c>
      <c r="B1535" t="s">
        <v>1194</v>
      </c>
      <c r="C1535" t="s">
        <v>2257</v>
      </c>
      <c r="D1535" s="9">
        <v>45230</v>
      </c>
      <c r="E1535" t="s">
        <v>23</v>
      </c>
      <c r="G1535" t="s">
        <v>2328</v>
      </c>
      <c r="I1535" s="16" t="str">
        <f t="shared" si="23"/>
        <v>Unknown</v>
      </c>
      <c r="J1535">
        <v>1</v>
      </c>
    </row>
    <row r="1536" spans="1:10">
      <c r="A1536" t="s">
        <v>3897</v>
      </c>
      <c r="B1536" t="s">
        <v>2929</v>
      </c>
      <c r="C1536" t="s">
        <v>2247</v>
      </c>
      <c r="D1536" s="9">
        <v>45386</v>
      </c>
      <c r="E1536" t="s">
        <v>2327</v>
      </c>
      <c r="F1536" s="20">
        <v>20</v>
      </c>
      <c r="G1536" t="s">
        <v>2331</v>
      </c>
      <c r="I1536" s="16" t="str">
        <f t="shared" si="23"/>
        <v>Unknown</v>
      </c>
      <c r="J1536">
        <v>5</v>
      </c>
    </row>
    <row r="1537" spans="1:10">
      <c r="A1537" t="s">
        <v>3898</v>
      </c>
      <c r="B1537" t="s">
        <v>542</v>
      </c>
      <c r="C1537" t="s">
        <v>2247</v>
      </c>
      <c r="D1537" s="9">
        <v>45705</v>
      </c>
      <c r="E1537" t="s">
        <v>2337</v>
      </c>
      <c r="F1537" s="20">
        <v>5</v>
      </c>
      <c r="G1537" t="s">
        <v>2331</v>
      </c>
      <c r="I1537" s="16" t="str">
        <f t="shared" si="23"/>
        <v>Unknown</v>
      </c>
      <c r="J1537">
        <v>3</v>
      </c>
    </row>
    <row r="1538" spans="1:10">
      <c r="A1538" t="s">
        <v>3899</v>
      </c>
      <c r="B1538" t="s">
        <v>99</v>
      </c>
      <c r="C1538" t="s">
        <v>2235</v>
      </c>
      <c r="D1538" s="9">
        <v>46117</v>
      </c>
      <c r="E1538" t="s">
        <v>2330</v>
      </c>
      <c r="F1538" s="20">
        <v>100</v>
      </c>
      <c r="G1538" t="s">
        <v>2331</v>
      </c>
      <c r="H1538">
        <v>3000</v>
      </c>
      <c r="I1538" s="16" t="str">
        <f t="shared" si="23"/>
        <v>Normal</v>
      </c>
      <c r="J1538" t="s">
        <v>39</v>
      </c>
    </row>
    <row r="1539" spans="1:10">
      <c r="A1539" t="s">
        <v>3900</v>
      </c>
      <c r="B1539" t="s">
        <v>634</v>
      </c>
      <c r="C1539" t="s">
        <v>2241</v>
      </c>
      <c r="D1539" s="9">
        <v>45912</v>
      </c>
      <c r="E1539" t="s">
        <v>23</v>
      </c>
      <c r="G1539" t="s">
        <v>2328</v>
      </c>
      <c r="H1539">
        <v>2500</v>
      </c>
      <c r="I1539" s="16" t="str">
        <f t="shared" ref="I1539:I1602" si="24">IF(H1539="", "Unknown", IF(H1539=0, "Zero Amount", IF(H1539&lt;1, "Review", IF(H1539&gt;1, "Normal"))))</f>
        <v>Normal</v>
      </c>
      <c r="J1539">
        <v>4</v>
      </c>
    </row>
    <row r="1540" spans="1:10">
      <c r="A1540" t="s">
        <v>3901</v>
      </c>
      <c r="B1540" t="s">
        <v>1140</v>
      </c>
      <c r="C1540" t="s">
        <v>2216</v>
      </c>
      <c r="D1540" s="9">
        <v>45236</v>
      </c>
      <c r="E1540" t="s">
        <v>2324</v>
      </c>
      <c r="F1540" s="20">
        <v>60</v>
      </c>
      <c r="G1540" t="s">
        <v>2331</v>
      </c>
      <c r="H1540">
        <v>1200</v>
      </c>
      <c r="I1540" s="16" t="str">
        <f t="shared" si="24"/>
        <v>Normal</v>
      </c>
      <c r="J1540">
        <v>2</v>
      </c>
    </row>
    <row r="1541" spans="1:10">
      <c r="A1541" t="s">
        <v>3902</v>
      </c>
      <c r="B1541" t="s">
        <v>1468</v>
      </c>
      <c r="C1541" t="s">
        <v>2228</v>
      </c>
      <c r="D1541" s="9">
        <v>45135</v>
      </c>
      <c r="E1541" t="s">
        <v>2337</v>
      </c>
      <c r="F1541" s="20">
        <v>20</v>
      </c>
      <c r="G1541" t="s">
        <v>2331</v>
      </c>
      <c r="H1541">
        <v>-799</v>
      </c>
      <c r="I1541" s="16" t="str">
        <f t="shared" si="24"/>
        <v>Review</v>
      </c>
      <c r="J1541">
        <v>1</v>
      </c>
    </row>
    <row r="1542" spans="1:10">
      <c r="A1542" t="s">
        <v>3903</v>
      </c>
      <c r="B1542" t="s">
        <v>1001</v>
      </c>
      <c r="C1542" t="s">
        <v>2269</v>
      </c>
      <c r="D1542" s="9">
        <v>45422</v>
      </c>
      <c r="E1542" t="s">
        <v>2330</v>
      </c>
      <c r="F1542" s="20">
        <v>100</v>
      </c>
      <c r="G1542" t="s">
        <v>2331</v>
      </c>
      <c r="H1542">
        <v>499</v>
      </c>
      <c r="I1542" s="16" t="str">
        <f t="shared" si="24"/>
        <v>Normal</v>
      </c>
      <c r="J1542">
        <v>2</v>
      </c>
    </row>
    <row r="1543" spans="1:10">
      <c r="A1543" t="s">
        <v>3904</v>
      </c>
      <c r="B1543" t="s">
        <v>1158</v>
      </c>
      <c r="C1543" t="s">
        <v>2249</v>
      </c>
      <c r="D1543" s="9">
        <v>45854</v>
      </c>
      <c r="E1543" t="s">
        <v>2337</v>
      </c>
      <c r="G1543" t="s">
        <v>2325</v>
      </c>
      <c r="H1543">
        <v>1500</v>
      </c>
      <c r="I1543" s="16" t="str">
        <f t="shared" si="24"/>
        <v>Normal</v>
      </c>
      <c r="J1543">
        <v>4</v>
      </c>
    </row>
    <row r="1544" spans="1:10">
      <c r="A1544" t="s">
        <v>3905</v>
      </c>
      <c r="B1544" t="s">
        <v>987</v>
      </c>
      <c r="C1544" t="s">
        <v>2218</v>
      </c>
      <c r="D1544" s="9">
        <v>46182</v>
      </c>
      <c r="E1544" t="s">
        <v>23</v>
      </c>
      <c r="G1544" t="s">
        <v>2345</v>
      </c>
      <c r="H1544">
        <v>753.42</v>
      </c>
      <c r="I1544" s="16" t="str">
        <f t="shared" si="24"/>
        <v>Normal</v>
      </c>
      <c r="J1544">
        <v>2</v>
      </c>
    </row>
    <row r="1545" spans="1:10">
      <c r="A1545" t="s">
        <v>3906</v>
      </c>
      <c r="B1545" t="s">
        <v>1528</v>
      </c>
      <c r="C1545" t="s">
        <v>2218</v>
      </c>
      <c r="D1545" s="9">
        <v>45243</v>
      </c>
      <c r="E1545" t="s">
        <v>2327</v>
      </c>
      <c r="F1545" s="20">
        <v>5</v>
      </c>
      <c r="G1545" t="s">
        <v>2331</v>
      </c>
      <c r="H1545">
        <v>1500</v>
      </c>
      <c r="I1545" s="16" t="str">
        <f t="shared" si="24"/>
        <v>Normal</v>
      </c>
      <c r="J1545">
        <v>1</v>
      </c>
    </row>
    <row r="1546" spans="1:10">
      <c r="A1546" t="s">
        <v>3907</v>
      </c>
      <c r="B1546" t="s">
        <v>1857</v>
      </c>
      <c r="C1546" t="s">
        <v>2233</v>
      </c>
      <c r="D1546" s="9">
        <v>46048</v>
      </c>
      <c r="E1546" t="s">
        <v>23</v>
      </c>
      <c r="G1546" t="s">
        <v>2345</v>
      </c>
      <c r="H1546">
        <v>2500</v>
      </c>
      <c r="I1546" s="16" t="str">
        <f t="shared" si="24"/>
        <v>Normal</v>
      </c>
      <c r="J1546">
        <v>1</v>
      </c>
    </row>
    <row r="1547" spans="1:10">
      <c r="A1547" t="s">
        <v>3908</v>
      </c>
      <c r="B1547" t="s">
        <v>2401</v>
      </c>
      <c r="C1547" t="s">
        <v>2216</v>
      </c>
      <c r="D1547" s="9">
        <v>46104</v>
      </c>
      <c r="E1547" t="s">
        <v>2324</v>
      </c>
      <c r="F1547" s="20">
        <v>10</v>
      </c>
      <c r="G1547" t="s">
        <v>2345</v>
      </c>
      <c r="H1547">
        <v>1200</v>
      </c>
      <c r="I1547" s="16" t="str">
        <f t="shared" si="24"/>
        <v>Normal</v>
      </c>
      <c r="J1547">
        <v>4</v>
      </c>
    </row>
    <row r="1548" spans="1:10">
      <c r="A1548" t="s">
        <v>3909</v>
      </c>
      <c r="B1548" t="s">
        <v>678</v>
      </c>
      <c r="C1548" t="s">
        <v>2202</v>
      </c>
      <c r="D1548" s="9">
        <v>46237</v>
      </c>
      <c r="E1548" t="s">
        <v>2330</v>
      </c>
      <c r="F1548" s="20">
        <v>100</v>
      </c>
      <c r="G1548" t="s">
        <v>2331</v>
      </c>
      <c r="H1548">
        <v>999.99</v>
      </c>
      <c r="I1548" s="16" t="str">
        <f t="shared" si="24"/>
        <v>Normal</v>
      </c>
      <c r="J1548">
        <v>5</v>
      </c>
    </row>
    <row r="1549" spans="1:10">
      <c r="A1549" t="s">
        <v>3910</v>
      </c>
      <c r="B1549" t="s">
        <v>745</v>
      </c>
      <c r="C1549" t="s">
        <v>2222</v>
      </c>
      <c r="D1549" s="9">
        <v>45486</v>
      </c>
      <c r="E1549" t="s">
        <v>2337</v>
      </c>
      <c r="F1549" s="20">
        <v>15</v>
      </c>
      <c r="G1549" t="s">
        <v>2339</v>
      </c>
      <c r="H1549">
        <v>0</v>
      </c>
      <c r="I1549" s="16" t="str">
        <f t="shared" si="24"/>
        <v>Zero Amount</v>
      </c>
      <c r="J1549">
        <v>3</v>
      </c>
    </row>
    <row r="1550" spans="1:10">
      <c r="A1550" t="s">
        <v>3911</v>
      </c>
      <c r="B1550" t="s">
        <v>498</v>
      </c>
      <c r="C1550" t="s">
        <v>2193</v>
      </c>
      <c r="D1550" s="9">
        <v>45538</v>
      </c>
      <c r="E1550" t="s">
        <v>2330</v>
      </c>
      <c r="F1550" s="20">
        <v>100</v>
      </c>
      <c r="G1550" t="s">
        <v>2328</v>
      </c>
      <c r="H1550">
        <v>0</v>
      </c>
      <c r="I1550" s="16" t="str">
        <f t="shared" si="24"/>
        <v>Zero Amount</v>
      </c>
      <c r="J1550" t="s">
        <v>39</v>
      </c>
    </row>
    <row r="1551" spans="1:10">
      <c r="A1551" t="s">
        <v>3912</v>
      </c>
      <c r="B1551" t="s">
        <v>1155</v>
      </c>
      <c r="C1551" t="s">
        <v>2231</v>
      </c>
      <c r="D1551" s="9">
        <v>45708</v>
      </c>
      <c r="E1551" t="s">
        <v>2327</v>
      </c>
      <c r="G1551" t="s">
        <v>2345</v>
      </c>
      <c r="H1551">
        <v>3000</v>
      </c>
      <c r="I1551" s="16" t="str">
        <f t="shared" si="24"/>
        <v>Normal</v>
      </c>
      <c r="J1551">
        <v>1</v>
      </c>
    </row>
    <row r="1552" spans="1:10">
      <c r="A1552" t="s">
        <v>3913</v>
      </c>
      <c r="B1552" t="s">
        <v>554</v>
      </c>
      <c r="C1552" t="s">
        <v>2271</v>
      </c>
      <c r="D1552" s="9">
        <v>45878</v>
      </c>
      <c r="E1552" t="s">
        <v>2324</v>
      </c>
      <c r="F1552" s="20">
        <v>10</v>
      </c>
      <c r="G1552" t="s">
        <v>2325</v>
      </c>
      <c r="H1552">
        <v>1200</v>
      </c>
      <c r="I1552" s="16" t="str">
        <f t="shared" si="24"/>
        <v>Normal</v>
      </c>
      <c r="J1552" t="s">
        <v>39</v>
      </c>
    </row>
    <row r="1553" spans="1:10">
      <c r="A1553" t="s">
        <v>3914</v>
      </c>
      <c r="B1553" t="s">
        <v>1713</v>
      </c>
      <c r="C1553" t="s">
        <v>2225</v>
      </c>
      <c r="D1553" s="9">
        <v>45228</v>
      </c>
      <c r="E1553" t="s">
        <v>2324</v>
      </c>
      <c r="F1553" s="20">
        <v>60</v>
      </c>
      <c r="G1553" t="s">
        <v>2331</v>
      </c>
      <c r="I1553" s="16" t="str">
        <f t="shared" si="24"/>
        <v>Unknown</v>
      </c>
      <c r="J1553">
        <v>4</v>
      </c>
    </row>
    <row r="1554" spans="1:10">
      <c r="A1554" t="s">
        <v>3915</v>
      </c>
      <c r="B1554" t="s">
        <v>2147</v>
      </c>
      <c r="C1554" t="s">
        <v>2225</v>
      </c>
      <c r="D1554" s="9">
        <v>46081</v>
      </c>
      <c r="E1554" t="s">
        <v>23</v>
      </c>
      <c r="G1554" t="s">
        <v>2328</v>
      </c>
      <c r="I1554" s="16" t="str">
        <f t="shared" si="24"/>
        <v>Unknown</v>
      </c>
      <c r="J1554" t="s">
        <v>39</v>
      </c>
    </row>
    <row r="1555" spans="1:10">
      <c r="A1555" t="s">
        <v>3916</v>
      </c>
      <c r="B1555" t="s">
        <v>328</v>
      </c>
      <c r="C1555" t="s">
        <v>2273</v>
      </c>
      <c r="D1555" s="9">
        <v>46082</v>
      </c>
      <c r="E1555" t="s">
        <v>2330</v>
      </c>
      <c r="F1555" s="20">
        <v>100</v>
      </c>
      <c r="G1555" t="s">
        <v>2331</v>
      </c>
      <c r="H1555">
        <v>799</v>
      </c>
      <c r="I1555" s="16" t="str">
        <f t="shared" si="24"/>
        <v>Normal</v>
      </c>
      <c r="J1555" t="s">
        <v>39</v>
      </c>
    </row>
    <row r="1556" spans="1:10">
      <c r="A1556" t="s">
        <v>3917</v>
      </c>
      <c r="B1556" t="s">
        <v>2045</v>
      </c>
      <c r="C1556" t="s">
        <v>2222</v>
      </c>
      <c r="D1556" s="9">
        <v>45746</v>
      </c>
      <c r="E1556" t="s">
        <v>2330</v>
      </c>
      <c r="G1556" t="s">
        <v>2325</v>
      </c>
      <c r="H1556">
        <v>0</v>
      </c>
      <c r="I1556" s="16" t="str">
        <f t="shared" si="24"/>
        <v>Zero Amount</v>
      </c>
      <c r="J1556">
        <v>3</v>
      </c>
    </row>
    <row r="1557" spans="1:10">
      <c r="A1557" t="s">
        <v>3918</v>
      </c>
      <c r="B1557" t="s">
        <v>350</v>
      </c>
      <c r="C1557" t="s">
        <v>2198</v>
      </c>
      <c r="D1557" s="9">
        <v>45773</v>
      </c>
      <c r="E1557" t="s">
        <v>2324</v>
      </c>
      <c r="F1557" s="20">
        <v>10</v>
      </c>
      <c r="G1557" t="s">
        <v>2339</v>
      </c>
      <c r="I1557" s="16" t="str">
        <f t="shared" si="24"/>
        <v>Unknown</v>
      </c>
      <c r="J1557">
        <v>1</v>
      </c>
    </row>
    <row r="1558" spans="1:10">
      <c r="A1558" t="s">
        <v>3919</v>
      </c>
      <c r="B1558" t="s">
        <v>739</v>
      </c>
      <c r="C1558" t="s">
        <v>2267</v>
      </c>
      <c r="D1558" s="9">
        <v>46187</v>
      </c>
      <c r="E1558" t="s">
        <v>2327</v>
      </c>
      <c r="F1558" s="20">
        <v>5</v>
      </c>
      <c r="G1558" t="s">
        <v>2325</v>
      </c>
      <c r="H1558">
        <v>999.99</v>
      </c>
      <c r="I1558" s="16" t="str">
        <f t="shared" si="24"/>
        <v>Normal</v>
      </c>
      <c r="J1558" t="s">
        <v>39</v>
      </c>
    </row>
    <row r="1559" spans="1:10">
      <c r="A1559" t="s">
        <v>3920</v>
      </c>
      <c r="B1559" t="s">
        <v>1177</v>
      </c>
      <c r="C1559" t="s">
        <v>2235</v>
      </c>
      <c r="D1559" s="9">
        <v>45177</v>
      </c>
      <c r="E1559" t="s">
        <v>2327</v>
      </c>
      <c r="F1559" s="20">
        <v>15</v>
      </c>
      <c r="G1559" t="s">
        <v>2331</v>
      </c>
      <c r="H1559">
        <v>3000</v>
      </c>
      <c r="I1559" s="16" t="str">
        <f t="shared" si="24"/>
        <v>Normal</v>
      </c>
      <c r="J1559">
        <v>4</v>
      </c>
    </row>
    <row r="1560" spans="1:10">
      <c r="A1560" t="s">
        <v>3921</v>
      </c>
      <c r="B1560" t="s">
        <v>107</v>
      </c>
      <c r="C1560" t="s">
        <v>2222</v>
      </c>
      <c r="D1560" s="9">
        <v>45907</v>
      </c>
      <c r="E1560" t="s">
        <v>23</v>
      </c>
      <c r="G1560" t="s">
        <v>2328</v>
      </c>
      <c r="H1560">
        <v>0</v>
      </c>
      <c r="I1560" s="16" t="str">
        <f t="shared" si="24"/>
        <v>Zero Amount</v>
      </c>
      <c r="J1560">
        <v>4</v>
      </c>
    </row>
    <row r="1561" spans="1:10">
      <c r="A1561" t="s">
        <v>3922</v>
      </c>
      <c r="B1561" t="s">
        <v>2003</v>
      </c>
      <c r="C1561" t="s">
        <v>2267</v>
      </c>
      <c r="D1561" s="9">
        <v>45487</v>
      </c>
      <c r="E1561" t="s">
        <v>2330</v>
      </c>
      <c r="F1561" s="20">
        <v>100</v>
      </c>
      <c r="G1561" t="s">
        <v>2331</v>
      </c>
      <c r="H1561">
        <v>999.99</v>
      </c>
      <c r="I1561" s="16" t="str">
        <f t="shared" si="24"/>
        <v>Normal</v>
      </c>
      <c r="J1561">
        <v>5</v>
      </c>
    </row>
    <row r="1562" spans="1:10">
      <c r="A1562" t="s">
        <v>3923</v>
      </c>
      <c r="B1562" t="s">
        <v>554</v>
      </c>
      <c r="C1562" t="s">
        <v>2247</v>
      </c>
      <c r="D1562" s="9">
        <v>45589</v>
      </c>
      <c r="E1562" t="s">
        <v>2337</v>
      </c>
      <c r="G1562" t="s">
        <v>2331</v>
      </c>
      <c r="I1562" s="16" t="str">
        <f t="shared" si="24"/>
        <v>Unknown</v>
      </c>
      <c r="J1562" t="s">
        <v>39</v>
      </c>
    </row>
    <row r="1563" spans="1:10">
      <c r="A1563" t="s">
        <v>3924</v>
      </c>
      <c r="B1563" t="s">
        <v>1806</v>
      </c>
      <c r="C1563" t="s">
        <v>2235</v>
      </c>
      <c r="D1563" s="9">
        <v>45605</v>
      </c>
      <c r="E1563" t="s">
        <v>2324</v>
      </c>
      <c r="F1563" s="20">
        <v>55</v>
      </c>
      <c r="G1563" t="s">
        <v>2345</v>
      </c>
      <c r="H1563">
        <v>3000</v>
      </c>
      <c r="I1563" s="16" t="str">
        <f t="shared" si="24"/>
        <v>Normal</v>
      </c>
      <c r="J1563">
        <v>2</v>
      </c>
    </row>
    <row r="1564" spans="1:10">
      <c r="A1564" t="s">
        <v>3925</v>
      </c>
      <c r="B1564" t="s">
        <v>1149</v>
      </c>
      <c r="C1564" t="s">
        <v>2213</v>
      </c>
      <c r="D1564" s="9">
        <v>45590</v>
      </c>
      <c r="E1564" t="s">
        <v>2330</v>
      </c>
      <c r="F1564" s="20">
        <v>100</v>
      </c>
      <c r="G1564" t="s">
        <v>2331</v>
      </c>
      <c r="H1564">
        <v>1500</v>
      </c>
      <c r="I1564" s="16" t="str">
        <f t="shared" si="24"/>
        <v>Normal</v>
      </c>
      <c r="J1564" t="s">
        <v>39</v>
      </c>
    </row>
    <row r="1565" spans="1:10">
      <c r="A1565" t="s">
        <v>3926</v>
      </c>
      <c r="B1565" t="s">
        <v>221</v>
      </c>
      <c r="C1565" t="s">
        <v>2209</v>
      </c>
      <c r="D1565" s="9">
        <v>46012</v>
      </c>
      <c r="E1565" t="s">
        <v>2330</v>
      </c>
      <c r="G1565" t="s">
        <v>2339</v>
      </c>
      <c r="H1565">
        <v>-499</v>
      </c>
      <c r="I1565" s="16" t="str">
        <f t="shared" si="24"/>
        <v>Review</v>
      </c>
      <c r="J1565">
        <v>4</v>
      </c>
    </row>
    <row r="1566" spans="1:10">
      <c r="A1566" t="s">
        <v>3927</v>
      </c>
      <c r="B1566" t="s">
        <v>1674</v>
      </c>
      <c r="C1566" t="s">
        <v>2261</v>
      </c>
      <c r="D1566" s="9">
        <v>45356</v>
      </c>
      <c r="E1566" t="s">
        <v>2327</v>
      </c>
      <c r="F1566" s="20">
        <v>5</v>
      </c>
      <c r="G1566" t="s">
        <v>2339</v>
      </c>
      <c r="I1566" s="16" t="str">
        <f t="shared" si="24"/>
        <v>Unknown</v>
      </c>
      <c r="J1566">
        <v>1</v>
      </c>
    </row>
    <row r="1567" spans="1:10">
      <c r="A1567" t="s">
        <v>3928</v>
      </c>
      <c r="B1567" t="s">
        <v>896</v>
      </c>
      <c r="C1567" t="s">
        <v>2187</v>
      </c>
      <c r="D1567" s="9">
        <v>45620</v>
      </c>
      <c r="E1567" t="s">
        <v>2330</v>
      </c>
      <c r="F1567" s="20">
        <v>100</v>
      </c>
      <c r="G1567" t="s">
        <v>2331</v>
      </c>
      <c r="H1567">
        <v>799</v>
      </c>
      <c r="I1567" s="16" t="str">
        <f t="shared" si="24"/>
        <v>Normal</v>
      </c>
      <c r="J1567" t="s">
        <v>39</v>
      </c>
    </row>
    <row r="1568" spans="1:10">
      <c r="A1568" t="s">
        <v>3929</v>
      </c>
      <c r="B1568" t="s">
        <v>828</v>
      </c>
      <c r="C1568" t="s">
        <v>2213</v>
      </c>
      <c r="D1568" s="9">
        <v>45245</v>
      </c>
      <c r="E1568" t="s">
        <v>2330</v>
      </c>
      <c r="F1568" s="20">
        <v>100</v>
      </c>
      <c r="G1568" t="s">
        <v>2345</v>
      </c>
      <c r="H1568">
        <v>1500</v>
      </c>
      <c r="I1568" s="16" t="str">
        <f t="shared" si="24"/>
        <v>Normal</v>
      </c>
      <c r="J1568" t="s">
        <v>39</v>
      </c>
    </row>
    <row r="1569" spans="1:10">
      <c r="A1569" t="s">
        <v>3930</v>
      </c>
      <c r="B1569" t="s">
        <v>1524</v>
      </c>
      <c r="C1569" t="s">
        <v>2235</v>
      </c>
      <c r="D1569" s="9">
        <v>45505</v>
      </c>
      <c r="E1569" t="s">
        <v>2324</v>
      </c>
      <c r="F1569" s="20">
        <v>75</v>
      </c>
      <c r="G1569" t="s">
        <v>2328</v>
      </c>
      <c r="H1569">
        <v>3000</v>
      </c>
      <c r="I1569" s="16" t="str">
        <f t="shared" si="24"/>
        <v>Normal</v>
      </c>
      <c r="J1569" t="s">
        <v>39</v>
      </c>
    </row>
    <row r="1570" spans="1:10">
      <c r="A1570" t="s">
        <v>3931</v>
      </c>
      <c r="B1570" t="s">
        <v>1700</v>
      </c>
      <c r="C1570" t="s">
        <v>2228</v>
      </c>
      <c r="D1570" s="9">
        <v>45937</v>
      </c>
      <c r="E1570" t="s">
        <v>23</v>
      </c>
      <c r="G1570" t="s">
        <v>23</v>
      </c>
      <c r="H1570">
        <v>799</v>
      </c>
      <c r="I1570" s="16" t="str">
        <f t="shared" si="24"/>
        <v>Normal</v>
      </c>
      <c r="J1570">
        <v>4</v>
      </c>
    </row>
    <row r="1571" spans="1:10">
      <c r="A1571" t="s">
        <v>3932</v>
      </c>
      <c r="B1571" t="s">
        <v>1308</v>
      </c>
      <c r="C1571" t="s">
        <v>2261</v>
      </c>
      <c r="D1571" s="9">
        <v>46102</v>
      </c>
      <c r="E1571" t="s">
        <v>2330</v>
      </c>
      <c r="F1571" s="20">
        <v>100</v>
      </c>
      <c r="G1571" t="s">
        <v>2331</v>
      </c>
      <c r="I1571" s="16" t="str">
        <f t="shared" si="24"/>
        <v>Unknown</v>
      </c>
      <c r="J1571" t="s">
        <v>39</v>
      </c>
    </row>
    <row r="1572" spans="1:10">
      <c r="A1572" t="s">
        <v>3933</v>
      </c>
      <c r="B1572" t="s">
        <v>809</v>
      </c>
      <c r="C1572" t="s">
        <v>2193</v>
      </c>
      <c r="D1572" s="9">
        <v>46124</v>
      </c>
      <c r="E1572" t="s">
        <v>2327</v>
      </c>
      <c r="F1572" s="20">
        <v>5</v>
      </c>
      <c r="G1572" t="s">
        <v>2345</v>
      </c>
      <c r="H1572">
        <v>0</v>
      </c>
      <c r="I1572" s="16" t="str">
        <f t="shared" si="24"/>
        <v>Zero Amount</v>
      </c>
      <c r="J1572">
        <v>4</v>
      </c>
    </row>
    <row r="1573" spans="1:10">
      <c r="A1573" t="s">
        <v>3934</v>
      </c>
      <c r="B1573" t="s">
        <v>1809</v>
      </c>
      <c r="C1573" t="s">
        <v>2209</v>
      </c>
      <c r="D1573" s="9">
        <v>45189</v>
      </c>
      <c r="E1573" t="s">
        <v>2330</v>
      </c>
      <c r="F1573" s="20">
        <v>100</v>
      </c>
      <c r="G1573" t="s">
        <v>2339</v>
      </c>
      <c r="H1573">
        <v>342.78</v>
      </c>
      <c r="I1573" s="16" t="str">
        <f t="shared" si="24"/>
        <v>Normal</v>
      </c>
      <c r="J1573">
        <v>1</v>
      </c>
    </row>
    <row r="1574" spans="1:10">
      <c r="A1574" t="s">
        <v>3935</v>
      </c>
      <c r="B1574" t="s">
        <v>217</v>
      </c>
      <c r="C1574" t="s">
        <v>2205</v>
      </c>
      <c r="D1574" s="9">
        <v>46079</v>
      </c>
      <c r="E1574" t="s">
        <v>2330</v>
      </c>
      <c r="G1574" t="s">
        <v>2345</v>
      </c>
      <c r="H1574">
        <v>1500</v>
      </c>
      <c r="I1574" s="16" t="str">
        <f t="shared" si="24"/>
        <v>Normal</v>
      </c>
      <c r="J1574">
        <v>5</v>
      </c>
    </row>
    <row r="1575" spans="1:10">
      <c r="A1575" t="s">
        <v>3936</v>
      </c>
      <c r="B1575" t="s">
        <v>374</v>
      </c>
      <c r="C1575" t="s">
        <v>2235</v>
      </c>
      <c r="D1575" s="9">
        <v>45748</v>
      </c>
      <c r="E1575" t="s">
        <v>2327</v>
      </c>
      <c r="F1575" s="20">
        <v>5</v>
      </c>
      <c r="G1575" t="s">
        <v>2331</v>
      </c>
      <c r="H1575">
        <v>3000</v>
      </c>
      <c r="I1575" s="16" t="str">
        <f t="shared" si="24"/>
        <v>Normal</v>
      </c>
      <c r="J1575" t="s">
        <v>39</v>
      </c>
    </row>
    <row r="1576" spans="1:10">
      <c r="A1576" t="s">
        <v>3937</v>
      </c>
      <c r="B1576" t="s">
        <v>256</v>
      </c>
      <c r="C1576" t="s">
        <v>2235</v>
      </c>
      <c r="D1576" s="9">
        <v>45503</v>
      </c>
      <c r="E1576" t="s">
        <v>2337</v>
      </c>
      <c r="F1576" s="20">
        <v>15</v>
      </c>
      <c r="G1576" t="s">
        <v>2331</v>
      </c>
      <c r="H1576">
        <v>-3000</v>
      </c>
      <c r="I1576" s="16" t="str">
        <f t="shared" si="24"/>
        <v>Review</v>
      </c>
      <c r="J1576">
        <v>5</v>
      </c>
    </row>
    <row r="1577" spans="1:10">
      <c r="A1577" t="s">
        <v>3938</v>
      </c>
      <c r="B1577" t="s">
        <v>2583</v>
      </c>
      <c r="C1577" t="s">
        <v>2251</v>
      </c>
      <c r="D1577" s="9">
        <v>45809</v>
      </c>
      <c r="E1577" t="s">
        <v>23</v>
      </c>
      <c r="G1577" t="s">
        <v>2328</v>
      </c>
      <c r="H1577">
        <v>1500</v>
      </c>
      <c r="I1577" s="16" t="str">
        <f t="shared" si="24"/>
        <v>Normal</v>
      </c>
      <c r="J1577">
        <v>3</v>
      </c>
    </row>
    <row r="1578" spans="1:10">
      <c r="A1578" t="s">
        <v>3939</v>
      </c>
      <c r="B1578" t="s">
        <v>426</v>
      </c>
      <c r="C1578" t="s">
        <v>2249</v>
      </c>
      <c r="D1578" s="9">
        <v>45513</v>
      </c>
      <c r="E1578" t="s">
        <v>2327</v>
      </c>
      <c r="F1578" s="20">
        <v>15</v>
      </c>
      <c r="G1578" t="s">
        <v>2325</v>
      </c>
      <c r="H1578">
        <v>1500</v>
      </c>
      <c r="I1578" s="16" t="str">
        <f t="shared" si="24"/>
        <v>Normal</v>
      </c>
      <c r="J1578" t="s">
        <v>39</v>
      </c>
    </row>
    <row r="1579" spans="1:10">
      <c r="A1579" t="s">
        <v>3940</v>
      </c>
      <c r="B1579" t="s">
        <v>1988</v>
      </c>
      <c r="C1579" t="s">
        <v>2269</v>
      </c>
      <c r="D1579" s="9">
        <v>45578</v>
      </c>
      <c r="E1579" t="s">
        <v>2327</v>
      </c>
      <c r="F1579" s="20">
        <v>20</v>
      </c>
      <c r="G1579" t="s">
        <v>2331</v>
      </c>
      <c r="H1579">
        <v>499</v>
      </c>
      <c r="I1579" s="16" t="str">
        <f t="shared" si="24"/>
        <v>Normal</v>
      </c>
      <c r="J1579" t="s">
        <v>39</v>
      </c>
    </row>
    <row r="1580" spans="1:10">
      <c r="A1580" t="s">
        <v>3941</v>
      </c>
      <c r="B1580" t="s">
        <v>701</v>
      </c>
      <c r="C1580" t="s">
        <v>2205</v>
      </c>
      <c r="D1580" s="9">
        <v>45655</v>
      </c>
      <c r="E1580" t="s">
        <v>2330</v>
      </c>
      <c r="F1580" s="20">
        <v>100</v>
      </c>
      <c r="G1580" t="s">
        <v>2331</v>
      </c>
      <c r="H1580">
        <v>941.92</v>
      </c>
      <c r="I1580" s="16" t="str">
        <f t="shared" si="24"/>
        <v>Normal</v>
      </c>
      <c r="J1580">
        <v>4</v>
      </c>
    </row>
    <row r="1581" spans="1:10">
      <c r="A1581" t="s">
        <v>3942</v>
      </c>
      <c r="B1581" t="s">
        <v>1442</v>
      </c>
      <c r="C1581" t="s">
        <v>2231</v>
      </c>
      <c r="D1581" s="9">
        <v>45742</v>
      </c>
      <c r="E1581" t="s">
        <v>2330</v>
      </c>
      <c r="G1581" t="s">
        <v>2339</v>
      </c>
      <c r="H1581">
        <v>3000</v>
      </c>
      <c r="I1581" s="16" t="str">
        <f t="shared" si="24"/>
        <v>Normal</v>
      </c>
      <c r="J1581">
        <v>2</v>
      </c>
    </row>
    <row r="1582" spans="1:10">
      <c r="A1582" t="s">
        <v>3943</v>
      </c>
      <c r="B1582" t="s">
        <v>946</v>
      </c>
      <c r="C1582" t="s">
        <v>2237</v>
      </c>
      <c r="D1582" s="9">
        <v>46133</v>
      </c>
      <c r="E1582" t="s">
        <v>2330</v>
      </c>
      <c r="F1582" s="20">
        <v>100</v>
      </c>
      <c r="G1582" t="s">
        <v>2331</v>
      </c>
      <c r="H1582">
        <v>1500</v>
      </c>
      <c r="I1582" s="16" t="str">
        <f t="shared" si="24"/>
        <v>Normal</v>
      </c>
      <c r="J1582">
        <v>5</v>
      </c>
    </row>
    <row r="1583" spans="1:10">
      <c r="A1583" t="s">
        <v>3944</v>
      </c>
      <c r="B1583" t="s">
        <v>721</v>
      </c>
      <c r="C1583" t="s">
        <v>2202</v>
      </c>
      <c r="D1583" s="9">
        <v>45204</v>
      </c>
      <c r="E1583" t="s">
        <v>2324</v>
      </c>
      <c r="F1583" s="20">
        <v>10</v>
      </c>
      <c r="G1583" t="s">
        <v>23</v>
      </c>
      <c r="I1583" s="16" t="str">
        <f t="shared" si="24"/>
        <v>Unknown</v>
      </c>
      <c r="J1583" t="s">
        <v>39</v>
      </c>
    </row>
    <row r="1584" spans="1:10">
      <c r="A1584" t="s">
        <v>3945</v>
      </c>
      <c r="B1584" t="s">
        <v>1902</v>
      </c>
      <c r="C1584" t="s">
        <v>2193</v>
      </c>
      <c r="D1584" s="9">
        <v>45423</v>
      </c>
      <c r="E1584" t="s">
        <v>2324</v>
      </c>
      <c r="F1584" s="20">
        <v>75</v>
      </c>
      <c r="G1584" t="s">
        <v>2345</v>
      </c>
      <c r="H1584">
        <v>0</v>
      </c>
      <c r="I1584" s="16" t="str">
        <f t="shared" si="24"/>
        <v>Zero Amount</v>
      </c>
      <c r="J1584">
        <v>5</v>
      </c>
    </row>
    <row r="1585" spans="1:10">
      <c r="A1585" t="s">
        <v>3946</v>
      </c>
      <c r="B1585" t="s">
        <v>309</v>
      </c>
      <c r="C1585" t="s">
        <v>2235</v>
      </c>
      <c r="D1585" s="9">
        <v>45471</v>
      </c>
      <c r="E1585" t="s">
        <v>23</v>
      </c>
      <c r="G1585" t="s">
        <v>2325</v>
      </c>
      <c r="H1585">
        <v>3000</v>
      </c>
      <c r="I1585" s="16" t="str">
        <f t="shared" si="24"/>
        <v>Normal</v>
      </c>
      <c r="J1585">
        <v>2</v>
      </c>
    </row>
    <row r="1586" spans="1:10">
      <c r="A1586" t="s">
        <v>3947</v>
      </c>
      <c r="B1586" t="s">
        <v>896</v>
      </c>
      <c r="C1586" t="s">
        <v>2205</v>
      </c>
      <c r="D1586" s="9">
        <v>45716</v>
      </c>
      <c r="E1586" t="s">
        <v>2324</v>
      </c>
      <c r="F1586" s="20">
        <v>60</v>
      </c>
      <c r="G1586" t="s">
        <v>2331</v>
      </c>
      <c r="H1586">
        <v>1500</v>
      </c>
      <c r="I1586" s="16" t="str">
        <f t="shared" si="24"/>
        <v>Normal</v>
      </c>
      <c r="J1586">
        <v>4</v>
      </c>
    </row>
    <row r="1587" spans="1:10">
      <c r="A1587" t="s">
        <v>3948</v>
      </c>
      <c r="B1587" t="s">
        <v>695</v>
      </c>
      <c r="C1587" t="s">
        <v>2249</v>
      </c>
      <c r="D1587" s="9">
        <v>46081</v>
      </c>
      <c r="E1587" t="s">
        <v>2324</v>
      </c>
      <c r="F1587" s="20">
        <v>55</v>
      </c>
      <c r="G1587" t="s">
        <v>2339</v>
      </c>
      <c r="H1587">
        <v>1500</v>
      </c>
      <c r="I1587" s="16" t="str">
        <f t="shared" si="24"/>
        <v>Normal</v>
      </c>
      <c r="J1587" t="s">
        <v>39</v>
      </c>
    </row>
    <row r="1588" spans="1:10">
      <c r="A1588" t="s">
        <v>3949</v>
      </c>
      <c r="B1588" t="s">
        <v>1827</v>
      </c>
      <c r="C1588" t="s">
        <v>2231</v>
      </c>
      <c r="D1588" s="9">
        <v>45733</v>
      </c>
      <c r="E1588" t="s">
        <v>2330</v>
      </c>
      <c r="G1588" t="s">
        <v>23</v>
      </c>
      <c r="H1588">
        <v>2297.69</v>
      </c>
      <c r="I1588" s="16" t="str">
        <f t="shared" si="24"/>
        <v>Normal</v>
      </c>
      <c r="J1588">
        <v>1</v>
      </c>
    </row>
    <row r="1589" spans="1:10">
      <c r="A1589" t="s">
        <v>3950</v>
      </c>
      <c r="B1589" t="s">
        <v>707</v>
      </c>
      <c r="C1589" t="s">
        <v>2209</v>
      </c>
      <c r="D1589" s="9">
        <v>46023</v>
      </c>
      <c r="E1589" t="s">
        <v>2324</v>
      </c>
      <c r="G1589" t="s">
        <v>2331</v>
      </c>
      <c r="I1589" s="16" t="str">
        <f t="shared" si="24"/>
        <v>Unknown</v>
      </c>
      <c r="J1589">
        <v>2</v>
      </c>
    </row>
    <row r="1590" spans="1:10">
      <c r="A1590" t="s">
        <v>3951</v>
      </c>
      <c r="B1590" t="s">
        <v>1407</v>
      </c>
      <c r="C1590" t="s">
        <v>2209</v>
      </c>
      <c r="D1590" s="9">
        <v>45565</v>
      </c>
      <c r="E1590" t="s">
        <v>2324</v>
      </c>
      <c r="F1590" s="20">
        <v>75</v>
      </c>
      <c r="G1590" t="s">
        <v>2328</v>
      </c>
      <c r="H1590">
        <v>499</v>
      </c>
      <c r="I1590" s="16" t="str">
        <f t="shared" si="24"/>
        <v>Normal</v>
      </c>
      <c r="J1590">
        <v>2</v>
      </c>
    </row>
    <row r="1591" spans="1:10">
      <c r="A1591" t="s">
        <v>3952</v>
      </c>
      <c r="B1591" t="s">
        <v>742</v>
      </c>
      <c r="C1591" t="s">
        <v>2273</v>
      </c>
      <c r="D1591" s="9">
        <v>45451</v>
      </c>
      <c r="E1591" t="s">
        <v>2330</v>
      </c>
      <c r="F1591" s="20">
        <v>100</v>
      </c>
      <c r="G1591" t="s">
        <v>2325</v>
      </c>
      <c r="H1591">
        <v>799</v>
      </c>
      <c r="I1591" s="16" t="str">
        <f t="shared" si="24"/>
        <v>Normal</v>
      </c>
      <c r="J1591">
        <v>5</v>
      </c>
    </row>
    <row r="1592" spans="1:10">
      <c r="A1592" t="s">
        <v>3953</v>
      </c>
      <c r="B1592" t="s">
        <v>1103</v>
      </c>
      <c r="C1592" t="s">
        <v>2222</v>
      </c>
      <c r="D1592" s="9">
        <v>45388</v>
      </c>
      <c r="E1592" t="s">
        <v>23</v>
      </c>
      <c r="G1592" t="s">
        <v>23</v>
      </c>
      <c r="H1592">
        <v>0</v>
      </c>
      <c r="I1592" s="16" t="str">
        <f t="shared" si="24"/>
        <v>Zero Amount</v>
      </c>
      <c r="J1592" t="s">
        <v>39</v>
      </c>
    </row>
    <row r="1593" spans="1:10">
      <c r="A1593" t="s">
        <v>3954</v>
      </c>
      <c r="B1593" t="s">
        <v>1884</v>
      </c>
      <c r="C1593" t="s">
        <v>2249</v>
      </c>
      <c r="D1593" s="9">
        <v>45293</v>
      </c>
      <c r="E1593" t="s">
        <v>2324</v>
      </c>
      <c r="F1593" s="20">
        <v>10</v>
      </c>
      <c r="G1593" t="s">
        <v>2339</v>
      </c>
      <c r="H1593">
        <v>1500</v>
      </c>
      <c r="I1593" s="16" t="str">
        <f t="shared" si="24"/>
        <v>Normal</v>
      </c>
      <c r="J1593">
        <v>2</v>
      </c>
    </row>
    <row r="1594" spans="1:10">
      <c r="A1594" t="s">
        <v>3955</v>
      </c>
      <c r="B1594" t="s">
        <v>67</v>
      </c>
      <c r="C1594" t="s">
        <v>2269</v>
      </c>
      <c r="D1594" s="9">
        <v>45254</v>
      </c>
      <c r="E1594" t="s">
        <v>2337</v>
      </c>
      <c r="G1594" t="s">
        <v>2331</v>
      </c>
      <c r="H1594">
        <v>499</v>
      </c>
      <c r="I1594" s="16" t="str">
        <f t="shared" si="24"/>
        <v>Normal</v>
      </c>
      <c r="J1594">
        <v>3</v>
      </c>
    </row>
    <row r="1595" spans="1:10">
      <c r="A1595" t="s">
        <v>3956</v>
      </c>
      <c r="B1595" t="s">
        <v>735</v>
      </c>
      <c r="C1595" t="s">
        <v>2264</v>
      </c>
      <c r="D1595" s="9">
        <v>45990</v>
      </c>
      <c r="E1595" t="s">
        <v>23</v>
      </c>
      <c r="G1595" t="s">
        <v>2339</v>
      </c>
      <c r="H1595">
        <v>2500</v>
      </c>
      <c r="I1595" s="16" t="str">
        <f t="shared" si="24"/>
        <v>Normal</v>
      </c>
      <c r="J1595">
        <v>5</v>
      </c>
    </row>
    <row r="1596" spans="1:10">
      <c r="A1596" t="s">
        <v>3957</v>
      </c>
      <c r="B1596" t="s">
        <v>1483</v>
      </c>
      <c r="C1596" t="s">
        <v>2233</v>
      </c>
      <c r="D1596" s="9">
        <v>45903</v>
      </c>
      <c r="E1596" t="s">
        <v>2330</v>
      </c>
      <c r="F1596" s="20">
        <v>100</v>
      </c>
      <c r="G1596" t="s">
        <v>2331</v>
      </c>
      <c r="H1596">
        <v>2500</v>
      </c>
      <c r="I1596" s="16" t="str">
        <f t="shared" si="24"/>
        <v>Normal</v>
      </c>
      <c r="J1596" t="s">
        <v>39</v>
      </c>
    </row>
    <row r="1597" spans="1:10">
      <c r="A1597" t="s">
        <v>3958</v>
      </c>
      <c r="B1597" t="s">
        <v>1548</v>
      </c>
      <c r="C1597" t="s">
        <v>2216</v>
      </c>
      <c r="D1597" s="9">
        <v>46271</v>
      </c>
      <c r="E1597" t="s">
        <v>2327</v>
      </c>
      <c r="F1597" s="20">
        <v>20</v>
      </c>
      <c r="G1597" t="s">
        <v>2339</v>
      </c>
      <c r="H1597">
        <v>1200</v>
      </c>
      <c r="I1597" s="16" t="str">
        <f t="shared" si="24"/>
        <v>Normal</v>
      </c>
      <c r="J1597">
        <v>5</v>
      </c>
    </row>
    <row r="1598" spans="1:10">
      <c r="A1598" t="s">
        <v>3959</v>
      </c>
      <c r="B1598" t="s">
        <v>626</v>
      </c>
      <c r="C1598" t="s">
        <v>2273</v>
      </c>
      <c r="D1598" s="9">
        <v>45445</v>
      </c>
      <c r="E1598" t="s">
        <v>2327</v>
      </c>
      <c r="F1598" s="20">
        <v>0</v>
      </c>
      <c r="G1598" t="s">
        <v>2328</v>
      </c>
      <c r="H1598">
        <v>-799</v>
      </c>
      <c r="I1598" s="16" t="str">
        <f t="shared" si="24"/>
        <v>Review</v>
      </c>
      <c r="J1598">
        <v>4</v>
      </c>
    </row>
    <row r="1599" spans="1:10">
      <c r="A1599" t="s">
        <v>3960</v>
      </c>
      <c r="B1599" t="s">
        <v>1315</v>
      </c>
      <c r="C1599" t="s">
        <v>2244</v>
      </c>
      <c r="D1599" s="9">
        <v>45666</v>
      </c>
      <c r="E1599" t="s">
        <v>2327</v>
      </c>
      <c r="G1599" t="s">
        <v>2331</v>
      </c>
      <c r="H1599">
        <v>1200</v>
      </c>
      <c r="I1599" s="16" t="str">
        <f t="shared" si="24"/>
        <v>Normal</v>
      </c>
      <c r="J1599" t="s">
        <v>39</v>
      </c>
    </row>
    <row r="1600" spans="1:10">
      <c r="A1600" t="s">
        <v>3961</v>
      </c>
      <c r="B1600" t="s">
        <v>2113</v>
      </c>
      <c r="C1600" t="s">
        <v>2259</v>
      </c>
      <c r="D1600" s="9">
        <v>45728</v>
      </c>
      <c r="E1600" t="s">
        <v>2327</v>
      </c>
      <c r="G1600" t="s">
        <v>2331</v>
      </c>
      <c r="H1600">
        <v>0</v>
      </c>
      <c r="I1600" s="16" t="str">
        <f t="shared" si="24"/>
        <v>Zero Amount</v>
      </c>
      <c r="J1600">
        <v>2</v>
      </c>
    </row>
    <row r="1601" spans="1:10">
      <c r="A1601" t="s">
        <v>3962</v>
      </c>
      <c r="B1601" t="s">
        <v>1532</v>
      </c>
      <c r="C1601" t="s">
        <v>2213</v>
      </c>
      <c r="D1601" s="9">
        <v>45772</v>
      </c>
      <c r="E1601" t="s">
        <v>2327</v>
      </c>
      <c r="G1601" t="s">
        <v>2328</v>
      </c>
      <c r="H1601">
        <v>1500</v>
      </c>
      <c r="I1601" s="16" t="str">
        <f t="shared" si="24"/>
        <v>Normal</v>
      </c>
      <c r="J1601">
        <v>3</v>
      </c>
    </row>
    <row r="1602" spans="1:10">
      <c r="A1602" t="s">
        <v>3963</v>
      </c>
      <c r="B1602" t="s">
        <v>894</v>
      </c>
      <c r="C1602" t="s">
        <v>2233</v>
      </c>
      <c r="D1602" s="9">
        <v>45207</v>
      </c>
      <c r="E1602" t="s">
        <v>23</v>
      </c>
      <c r="G1602" t="s">
        <v>2339</v>
      </c>
      <c r="H1602">
        <v>2500</v>
      </c>
      <c r="I1602" s="16" t="str">
        <f t="shared" si="24"/>
        <v>Normal</v>
      </c>
      <c r="J1602" t="s">
        <v>39</v>
      </c>
    </row>
    <row r="1603" spans="1:10">
      <c r="A1603" t="s">
        <v>3964</v>
      </c>
      <c r="B1603" t="s">
        <v>1129</v>
      </c>
      <c r="C1603" t="s">
        <v>2253</v>
      </c>
      <c r="D1603" s="9">
        <v>45410</v>
      </c>
      <c r="E1603" t="s">
        <v>2330</v>
      </c>
      <c r="F1603" s="20">
        <v>100</v>
      </c>
      <c r="G1603" t="s">
        <v>2331</v>
      </c>
      <c r="H1603">
        <v>675.67</v>
      </c>
      <c r="I1603" s="16" t="str">
        <f t="shared" ref="I1603:I1666" si="25">IF(H1603="", "Unknown", IF(H1603=0, "Zero Amount", IF(H1603&lt;1, "Review", IF(H1603&gt;1, "Normal"))))</f>
        <v>Normal</v>
      </c>
      <c r="J1603">
        <v>4</v>
      </c>
    </row>
    <row r="1604" spans="1:10">
      <c r="A1604" t="s">
        <v>3965</v>
      </c>
      <c r="B1604" t="s">
        <v>989</v>
      </c>
      <c r="C1604" t="s">
        <v>2249</v>
      </c>
      <c r="D1604" s="9">
        <v>45227</v>
      </c>
      <c r="E1604" t="s">
        <v>2330</v>
      </c>
      <c r="F1604" s="20">
        <v>100</v>
      </c>
      <c r="G1604" t="s">
        <v>2325</v>
      </c>
      <c r="H1604">
        <v>1500</v>
      </c>
      <c r="I1604" s="16" t="str">
        <f t="shared" si="25"/>
        <v>Normal</v>
      </c>
      <c r="J1604">
        <v>5</v>
      </c>
    </row>
    <row r="1605" spans="1:10">
      <c r="A1605" t="s">
        <v>3966</v>
      </c>
      <c r="B1605" t="s">
        <v>787</v>
      </c>
      <c r="C1605" t="s">
        <v>2259</v>
      </c>
      <c r="D1605" s="9">
        <v>45398</v>
      </c>
      <c r="E1605" t="s">
        <v>2330</v>
      </c>
      <c r="F1605" s="20">
        <v>100</v>
      </c>
      <c r="G1605" t="s">
        <v>2345</v>
      </c>
      <c r="H1605">
        <v>0</v>
      </c>
      <c r="I1605" s="16" t="str">
        <f t="shared" si="25"/>
        <v>Zero Amount</v>
      </c>
      <c r="J1605">
        <v>5</v>
      </c>
    </row>
    <row r="1606" spans="1:10">
      <c r="A1606" t="s">
        <v>3967</v>
      </c>
      <c r="B1606" t="s">
        <v>206</v>
      </c>
      <c r="C1606" t="s">
        <v>2218</v>
      </c>
      <c r="D1606" s="9">
        <v>45579</v>
      </c>
      <c r="E1606" t="s">
        <v>2330</v>
      </c>
      <c r="F1606" s="20">
        <v>100</v>
      </c>
      <c r="G1606" t="s">
        <v>2331</v>
      </c>
      <c r="H1606">
        <v>1500</v>
      </c>
      <c r="I1606" s="16" t="str">
        <f t="shared" si="25"/>
        <v>Normal</v>
      </c>
      <c r="J1606" t="s">
        <v>39</v>
      </c>
    </row>
    <row r="1607" spans="1:10">
      <c r="A1607" t="s">
        <v>3968</v>
      </c>
      <c r="B1607" t="s">
        <v>692</v>
      </c>
      <c r="C1607" t="s">
        <v>2269</v>
      </c>
      <c r="D1607" s="9">
        <v>46068</v>
      </c>
      <c r="E1607" t="s">
        <v>2324</v>
      </c>
      <c r="G1607" t="s">
        <v>2331</v>
      </c>
      <c r="I1607" s="16" t="str">
        <f t="shared" si="25"/>
        <v>Unknown</v>
      </c>
      <c r="J1607" t="s">
        <v>39</v>
      </c>
    </row>
    <row r="1608" spans="1:10">
      <c r="A1608" t="s">
        <v>3969</v>
      </c>
      <c r="B1608" t="s">
        <v>1129</v>
      </c>
      <c r="C1608" t="s">
        <v>2241</v>
      </c>
      <c r="D1608" s="9">
        <v>45414</v>
      </c>
      <c r="E1608" t="s">
        <v>2324</v>
      </c>
      <c r="F1608" s="20">
        <v>75</v>
      </c>
      <c r="G1608" t="s">
        <v>2328</v>
      </c>
      <c r="H1608">
        <v>2500</v>
      </c>
      <c r="I1608" s="16" t="str">
        <f t="shared" si="25"/>
        <v>Normal</v>
      </c>
      <c r="J1608">
        <v>3</v>
      </c>
    </row>
    <row r="1609" spans="1:10">
      <c r="A1609" t="s">
        <v>3970</v>
      </c>
      <c r="B1609" t="s">
        <v>2014</v>
      </c>
      <c r="C1609" t="s">
        <v>2233</v>
      </c>
      <c r="D1609" s="9">
        <v>46103</v>
      </c>
      <c r="E1609" t="s">
        <v>23</v>
      </c>
      <c r="G1609" t="s">
        <v>2345</v>
      </c>
      <c r="H1609">
        <v>2500</v>
      </c>
      <c r="I1609" s="16" t="str">
        <f t="shared" si="25"/>
        <v>Normal</v>
      </c>
      <c r="J1609">
        <v>4</v>
      </c>
    </row>
    <row r="1610" spans="1:10">
      <c r="A1610" t="s">
        <v>3971</v>
      </c>
      <c r="B1610" t="s">
        <v>418</v>
      </c>
      <c r="C1610" t="s">
        <v>2261</v>
      </c>
      <c r="D1610" s="9">
        <v>46181</v>
      </c>
      <c r="E1610" t="s">
        <v>2324</v>
      </c>
      <c r="F1610" s="20">
        <v>60</v>
      </c>
      <c r="G1610" t="s">
        <v>2345</v>
      </c>
      <c r="I1610" s="16" t="str">
        <f t="shared" si="25"/>
        <v>Unknown</v>
      </c>
      <c r="J1610">
        <v>3</v>
      </c>
    </row>
    <row r="1611" spans="1:10">
      <c r="A1611" t="s">
        <v>3972</v>
      </c>
      <c r="B1611" t="s">
        <v>1454</v>
      </c>
      <c r="C1611" t="s">
        <v>2222</v>
      </c>
      <c r="D1611" s="9">
        <v>45923</v>
      </c>
      <c r="E1611" t="s">
        <v>2327</v>
      </c>
      <c r="F1611" s="20">
        <v>0</v>
      </c>
      <c r="G1611" t="s">
        <v>2339</v>
      </c>
      <c r="H1611">
        <v>0</v>
      </c>
      <c r="I1611" s="16" t="str">
        <f t="shared" si="25"/>
        <v>Zero Amount</v>
      </c>
      <c r="J1611" t="s">
        <v>39</v>
      </c>
    </row>
    <row r="1612" spans="1:10">
      <c r="A1612" t="s">
        <v>3973</v>
      </c>
      <c r="B1612" t="s">
        <v>2104</v>
      </c>
      <c r="C1612" t="s">
        <v>2273</v>
      </c>
      <c r="D1612" s="9">
        <v>46111</v>
      </c>
      <c r="E1612" t="s">
        <v>23</v>
      </c>
      <c r="G1612" t="s">
        <v>23</v>
      </c>
      <c r="H1612">
        <v>799</v>
      </c>
      <c r="I1612" s="16" t="str">
        <f t="shared" si="25"/>
        <v>Normal</v>
      </c>
      <c r="J1612">
        <v>5</v>
      </c>
    </row>
    <row r="1613" spans="1:10">
      <c r="A1613" t="s">
        <v>3974</v>
      </c>
      <c r="B1613" t="s">
        <v>936</v>
      </c>
      <c r="C1613" t="s">
        <v>2267</v>
      </c>
      <c r="D1613" s="9">
        <v>45828</v>
      </c>
      <c r="E1613" t="s">
        <v>2324</v>
      </c>
      <c r="G1613" t="s">
        <v>2345</v>
      </c>
      <c r="H1613">
        <v>999.99</v>
      </c>
      <c r="I1613" s="16" t="str">
        <f t="shared" si="25"/>
        <v>Normal</v>
      </c>
      <c r="J1613">
        <v>4</v>
      </c>
    </row>
    <row r="1614" spans="1:10">
      <c r="A1614" t="s">
        <v>3975</v>
      </c>
      <c r="B1614" t="s">
        <v>1489</v>
      </c>
      <c r="C1614" t="s">
        <v>2259</v>
      </c>
      <c r="D1614" s="9">
        <v>45252</v>
      </c>
      <c r="E1614" t="s">
        <v>2324</v>
      </c>
      <c r="F1614" s="20">
        <v>60</v>
      </c>
      <c r="G1614" t="s">
        <v>2325</v>
      </c>
      <c r="H1614">
        <v>0</v>
      </c>
      <c r="I1614" s="16" t="str">
        <f t="shared" si="25"/>
        <v>Zero Amount</v>
      </c>
      <c r="J1614">
        <v>4</v>
      </c>
    </row>
    <row r="1615" spans="1:10">
      <c r="A1615" t="s">
        <v>3976</v>
      </c>
      <c r="B1615" t="s">
        <v>1129</v>
      </c>
      <c r="C1615" t="s">
        <v>2253</v>
      </c>
      <c r="D1615" s="9">
        <v>45324</v>
      </c>
      <c r="E1615" t="s">
        <v>2324</v>
      </c>
      <c r="F1615" s="20">
        <v>60</v>
      </c>
      <c r="G1615" t="s">
        <v>2328</v>
      </c>
      <c r="H1615">
        <v>1200</v>
      </c>
      <c r="I1615" s="16" t="str">
        <f t="shared" si="25"/>
        <v>Normal</v>
      </c>
      <c r="J1615" t="s">
        <v>39</v>
      </c>
    </row>
    <row r="1616" spans="1:10">
      <c r="A1616" t="s">
        <v>3977</v>
      </c>
      <c r="B1616" t="s">
        <v>3978</v>
      </c>
      <c r="C1616" t="s">
        <v>2209</v>
      </c>
      <c r="D1616" s="9">
        <v>46017</v>
      </c>
      <c r="E1616" t="s">
        <v>2330</v>
      </c>
      <c r="F1616" s="20">
        <v>100</v>
      </c>
      <c r="G1616" t="s">
        <v>2331</v>
      </c>
      <c r="H1616">
        <v>499</v>
      </c>
      <c r="I1616" s="16" t="str">
        <f t="shared" si="25"/>
        <v>Normal</v>
      </c>
      <c r="J1616" t="s">
        <v>39</v>
      </c>
    </row>
    <row r="1617" spans="1:10">
      <c r="A1617" t="s">
        <v>3979</v>
      </c>
      <c r="B1617" t="s">
        <v>213</v>
      </c>
      <c r="C1617" t="s">
        <v>2222</v>
      </c>
      <c r="D1617" s="9">
        <v>45925</v>
      </c>
      <c r="E1617" t="s">
        <v>2330</v>
      </c>
      <c r="G1617" t="s">
        <v>2331</v>
      </c>
      <c r="H1617">
        <v>0</v>
      </c>
      <c r="I1617" s="16" t="str">
        <f t="shared" si="25"/>
        <v>Zero Amount</v>
      </c>
      <c r="J1617">
        <v>5</v>
      </c>
    </row>
    <row r="1618" spans="1:10">
      <c r="A1618" t="s">
        <v>3980</v>
      </c>
      <c r="B1618" t="s">
        <v>1072</v>
      </c>
      <c r="C1618" t="s">
        <v>2259</v>
      </c>
      <c r="D1618" s="9">
        <v>45127</v>
      </c>
      <c r="E1618" t="s">
        <v>2324</v>
      </c>
      <c r="F1618" s="20">
        <v>10</v>
      </c>
      <c r="G1618" t="s">
        <v>23</v>
      </c>
      <c r="H1618">
        <v>0</v>
      </c>
      <c r="I1618" s="16" t="str">
        <f t="shared" si="25"/>
        <v>Zero Amount</v>
      </c>
      <c r="J1618">
        <v>5</v>
      </c>
    </row>
    <row r="1619" spans="1:10">
      <c r="A1619" t="s">
        <v>3981</v>
      </c>
      <c r="B1619" t="s">
        <v>2769</v>
      </c>
      <c r="C1619" t="s">
        <v>2267</v>
      </c>
      <c r="D1619" s="9">
        <v>46176</v>
      </c>
      <c r="E1619" t="s">
        <v>2330</v>
      </c>
      <c r="G1619" t="s">
        <v>2331</v>
      </c>
      <c r="H1619">
        <v>999.99</v>
      </c>
      <c r="I1619" s="16" t="str">
        <f t="shared" si="25"/>
        <v>Normal</v>
      </c>
      <c r="J1619">
        <v>4</v>
      </c>
    </row>
    <row r="1620" spans="1:10">
      <c r="A1620" t="s">
        <v>3982</v>
      </c>
      <c r="B1620" t="s">
        <v>630</v>
      </c>
      <c r="C1620" t="s">
        <v>2241</v>
      </c>
      <c r="D1620" s="9">
        <v>46150</v>
      </c>
      <c r="E1620" t="s">
        <v>2330</v>
      </c>
      <c r="F1620" s="20">
        <v>100</v>
      </c>
      <c r="G1620" t="s">
        <v>2345</v>
      </c>
      <c r="H1620">
        <v>2500</v>
      </c>
      <c r="I1620" s="16" t="str">
        <f t="shared" si="25"/>
        <v>Normal</v>
      </c>
      <c r="J1620" t="s">
        <v>39</v>
      </c>
    </row>
    <row r="1621" spans="1:10">
      <c r="A1621" t="s">
        <v>3983</v>
      </c>
      <c r="B1621" t="s">
        <v>253</v>
      </c>
      <c r="C1621" t="s">
        <v>2216</v>
      </c>
      <c r="D1621" s="9">
        <v>45659</v>
      </c>
      <c r="E1621" t="s">
        <v>2337</v>
      </c>
      <c r="F1621" s="20">
        <v>20</v>
      </c>
      <c r="G1621" t="s">
        <v>2339</v>
      </c>
      <c r="H1621">
        <v>1200</v>
      </c>
      <c r="I1621" s="16" t="str">
        <f t="shared" si="25"/>
        <v>Normal</v>
      </c>
      <c r="J1621" t="s">
        <v>39</v>
      </c>
    </row>
    <row r="1622" spans="1:10">
      <c r="A1622" t="s">
        <v>3984</v>
      </c>
      <c r="B1622" t="s">
        <v>28</v>
      </c>
      <c r="C1622" t="s">
        <v>2193</v>
      </c>
      <c r="D1622" s="9">
        <v>45973</v>
      </c>
      <c r="E1622" t="s">
        <v>2324</v>
      </c>
      <c r="F1622" s="20">
        <v>25</v>
      </c>
      <c r="G1622" t="s">
        <v>2325</v>
      </c>
      <c r="H1622">
        <v>0</v>
      </c>
      <c r="I1622" s="16" t="str">
        <f t="shared" si="25"/>
        <v>Zero Amount</v>
      </c>
      <c r="J1622" t="s">
        <v>39</v>
      </c>
    </row>
    <row r="1623" spans="1:10">
      <c r="A1623" t="s">
        <v>3985</v>
      </c>
      <c r="B1623" t="s">
        <v>2018</v>
      </c>
      <c r="C1623" t="s">
        <v>2231</v>
      </c>
      <c r="D1623" s="9">
        <v>45105</v>
      </c>
      <c r="E1623" t="s">
        <v>2324</v>
      </c>
      <c r="F1623" s="20">
        <v>10</v>
      </c>
      <c r="G1623" t="s">
        <v>2331</v>
      </c>
      <c r="H1623">
        <v>3000</v>
      </c>
      <c r="I1623" s="16" t="str">
        <f t="shared" si="25"/>
        <v>Normal</v>
      </c>
      <c r="J1623">
        <v>3</v>
      </c>
    </row>
    <row r="1624" spans="1:10">
      <c r="A1624" t="s">
        <v>3986</v>
      </c>
      <c r="B1624" t="s">
        <v>697</v>
      </c>
      <c r="C1624" t="s">
        <v>2218</v>
      </c>
      <c r="D1624" s="9">
        <v>46010</v>
      </c>
      <c r="E1624" t="s">
        <v>2330</v>
      </c>
      <c r="F1624" s="20">
        <v>100</v>
      </c>
      <c r="G1624" t="s">
        <v>2331</v>
      </c>
      <c r="H1624">
        <v>1500</v>
      </c>
      <c r="I1624" s="16" t="str">
        <f t="shared" si="25"/>
        <v>Normal</v>
      </c>
      <c r="J1624">
        <v>5</v>
      </c>
    </row>
    <row r="1625" spans="1:10">
      <c r="A1625" t="s">
        <v>3987</v>
      </c>
      <c r="B1625" t="s">
        <v>2047</v>
      </c>
      <c r="C1625" t="s">
        <v>2257</v>
      </c>
      <c r="D1625" s="9">
        <v>45126</v>
      </c>
      <c r="E1625" t="s">
        <v>2337</v>
      </c>
      <c r="G1625" t="s">
        <v>2345</v>
      </c>
      <c r="I1625" s="16" t="str">
        <f t="shared" si="25"/>
        <v>Unknown</v>
      </c>
      <c r="J1625" t="s">
        <v>39</v>
      </c>
    </row>
    <row r="1626" spans="1:10">
      <c r="A1626" t="s">
        <v>3988</v>
      </c>
      <c r="B1626" t="s">
        <v>261</v>
      </c>
      <c r="C1626" t="s">
        <v>2235</v>
      </c>
      <c r="D1626" s="9">
        <v>45320</v>
      </c>
      <c r="E1626" t="s">
        <v>2337</v>
      </c>
      <c r="F1626" s="20">
        <v>5</v>
      </c>
      <c r="G1626" t="s">
        <v>2325</v>
      </c>
      <c r="I1626" s="16" t="str">
        <f t="shared" si="25"/>
        <v>Unknown</v>
      </c>
      <c r="J1626">
        <v>5</v>
      </c>
    </row>
    <row r="1627" spans="1:10">
      <c r="A1627" t="s">
        <v>3989</v>
      </c>
      <c r="B1627" t="s">
        <v>870</v>
      </c>
      <c r="C1627" t="s">
        <v>2209</v>
      </c>
      <c r="D1627" s="9">
        <v>46130</v>
      </c>
      <c r="E1627" t="s">
        <v>2330</v>
      </c>
      <c r="F1627" s="20">
        <v>100</v>
      </c>
      <c r="G1627" t="s">
        <v>2328</v>
      </c>
      <c r="H1627">
        <v>499</v>
      </c>
      <c r="I1627" s="16" t="str">
        <f t="shared" si="25"/>
        <v>Normal</v>
      </c>
      <c r="J1627">
        <v>5</v>
      </c>
    </row>
    <row r="1628" spans="1:10">
      <c r="A1628" t="s">
        <v>3990</v>
      </c>
      <c r="B1628" t="s">
        <v>784</v>
      </c>
      <c r="C1628" t="s">
        <v>2213</v>
      </c>
      <c r="D1628" s="9">
        <v>45841</v>
      </c>
      <c r="E1628" t="s">
        <v>2337</v>
      </c>
      <c r="F1628" s="20">
        <v>0</v>
      </c>
      <c r="G1628" t="s">
        <v>2331</v>
      </c>
      <c r="H1628">
        <v>1289.7</v>
      </c>
      <c r="I1628" s="16" t="str">
        <f t="shared" si="25"/>
        <v>Normal</v>
      </c>
      <c r="J1628">
        <v>5</v>
      </c>
    </row>
    <row r="1629" spans="1:10">
      <c r="A1629" t="s">
        <v>3991</v>
      </c>
      <c r="B1629" t="s">
        <v>2010</v>
      </c>
      <c r="C1629" t="s">
        <v>2273</v>
      </c>
      <c r="D1629" s="9">
        <v>45900</v>
      </c>
      <c r="E1629" t="s">
        <v>2327</v>
      </c>
      <c r="F1629" s="20">
        <v>20</v>
      </c>
      <c r="G1629" t="s">
        <v>2328</v>
      </c>
      <c r="H1629">
        <v>799</v>
      </c>
      <c r="I1629" s="16" t="str">
        <f t="shared" si="25"/>
        <v>Normal</v>
      </c>
      <c r="J1629">
        <v>5</v>
      </c>
    </row>
    <row r="1630" spans="1:10">
      <c r="A1630" t="s">
        <v>3992</v>
      </c>
      <c r="B1630" t="s">
        <v>2045</v>
      </c>
      <c r="C1630" t="s">
        <v>2222</v>
      </c>
      <c r="D1630" s="9">
        <v>45668</v>
      </c>
      <c r="E1630" t="s">
        <v>2330</v>
      </c>
      <c r="F1630" s="20">
        <v>100</v>
      </c>
      <c r="G1630" t="s">
        <v>2339</v>
      </c>
      <c r="H1630">
        <v>0</v>
      </c>
      <c r="I1630" s="16" t="str">
        <f t="shared" si="25"/>
        <v>Zero Amount</v>
      </c>
      <c r="J1630" t="s">
        <v>39</v>
      </c>
    </row>
    <row r="1631" spans="1:10">
      <c r="A1631" t="s">
        <v>3993</v>
      </c>
      <c r="B1631" t="s">
        <v>772</v>
      </c>
      <c r="C1631" t="s">
        <v>2271</v>
      </c>
      <c r="D1631" s="9">
        <v>46008</v>
      </c>
      <c r="E1631" t="s">
        <v>2327</v>
      </c>
      <c r="F1631" s="20">
        <v>0</v>
      </c>
      <c r="G1631" t="s">
        <v>2325</v>
      </c>
      <c r="I1631" s="16" t="str">
        <f t="shared" si="25"/>
        <v>Unknown</v>
      </c>
      <c r="J1631">
        <v>5</v>
      </c>
    </row>
    <row r="1632" spans="1:10">
      <c r="A1632" t="s">
        <v>3994</v>
      </c>
      <c r="B1632" t="s">
        <v>1315</v>
      </c>
      <c r="C1632" t="s">
        <v>2271</v>
      </c>
      <c r="D1632" s="9">
        <v>45421</v>
      </c>
      <c r="E1632" t="s">
        <v>23</v>
      </c>
      <c r="G1632" t="s">
        <v>2331</v>
      </c>
      <c r="H1632">
        <v>1200</v>
      </c>
      <c r="I1632" s="16" t="str">
        <f t="shared" si="25"/>
        <v>Normal</v>
      </c>
      <c r="J1632">
        <v>4</v>
      </c>
    </row>
    <row r="1633" spans="1:10">
      <c r="A1633" t="s">
        <v>3995</v>
      </c>
      <c r="B1633" t="s">
        <v>1960</v>
      </c>
      <c r="C1633" t="s">
        <v>2237</v>
      </c>
      <c r="D1633" s="9">
        <v>45218</v>
      </c>
      <c r="E1633" t="s">
        <v>2330</v>
      </c>
      <c r="F1633" s="20">
        <v>100</v>
      </c>
      <c r="G1633" t="s">
        <v>23</v>
      </c>
      <c r="H1633">
        <v>1500</v>
      </c>
      <c r="I1633" s="16" t="str">
        <f t="shared" si="25"/>
        <v>Normal</v>
      </c>
      <c r="J1633">
        <v>4</v>
      </c>
    </row>
    <row r="1634" spans="1:10">
      <c r="A1634" t="s">
        <v>3996</v>
      </c>
      <c r="B1634" t="s">
        <v>1827</v>
      </c>
      <c r="C1634" t="s">
        <v>2231</v>
      </c>
      <c r="D1634" s="9">
        <v>45872</v>
      </c>
      <c r="E1634" t="s">
        <v>2330</v>
      </c>
      <c r="F1634" s="20">
        <v>100</v>
      </c>
      <c r="G1634" t="s">
        <v>2331</v>
      </c>
      <c r="H1634">
        <v>3000</v>
      </c>
      <c r="I1634" s="16" t="str">
        <f t="shared" si="25"/>
        <v>Normal</v>
      </c>
      <c r="J1634">
        <v>4</v>
      </c>
    </row>
    <row r="1635" spans="1:10">
      <c r="A1635" t="s">
        <v>3997</v>
      </c>
      <c r="B1635" t="s">
        <v>2143</v>
      </c>
      <c r="C1635" t="s">
        <v>2209</v>
      </c>
      <c r="D1635" s="9">
        <v>46023</v>
      </c>
      <c r="E1635" t="s">
        <v>2324</v>
      </c>
      <c r="G1635" t="s">
        <v>2331</v>
      </c>
      <c r="H1635">
        <v>499</v>
      </c>
      <c r="I1635" s="16" t="str">
        <f t="shared" si="25"/>
        <v>Normal</v>
      </c>
      <c r="J1635">
        <v>2</v>
      </c>
    </row>
    <row r="1636" spans="1:10">
      <c r="A1636" t="s">
        <v>3998</v>
      </c>
      <c r="B1636" t="s">
        <v>506</v>
      </c>
      <c r="C1636" t="s">
        <v>2235</v>
      </c>
      <c r="D1636" s="9">
        <v>45585</v>
      </c>
      <c r="E1636" t="s">
        <v>23</v>
      </c>
      <c r="G1636" t="s">
        <v>2331</v>
      </c>
      <c r="H1636">
        <v>3000</v>
      </c>
      <c r="I1636" s="16" t="str">
        <f t="shared" si="25"/>
        <v>Normal</v>
      </c>
      <c r="J1636">
        <v>4</v>
      </c>
    </row>
    <row r="1637" spans="1:10">
      <c r="A1637" t="s">
        <v>3999</v>
      </c>
      <c r="B1637" t="s">
        <v>1327</v>
      </c>
      <c r="C1637" t="s">
        <v>2247</v>
      </c>
      <c r="D1637" s="9">
        <v>45453</v>
      </c>
      <c r="E1637" t="s">
        <v>2330</v>
      </c>
      <c r="F1637" s="20">
        <v>100</v>
      </c>
      <c r="G1637" t="s">
        <v>2331</v>
      </c>
      <c r="I1637" s="16" t="str">
        <f t="shared" si="25"/>
        <v>Unknown</v>
      </c>
      <c r="J1637">
        <v>5</v>
      </c>
    </row>
    <row r="1638" spans="1:10">
      <c r="A1638" t="s">
        <v>4000</v>
      </c>
      <c r="B1638" t="s">
        <v>1845</v>
      </c>
      <c r="C1638" t="s">
        <v>2209</v>
      </c>
      <c r="D1638" s="9">
        <v>45386</v>
      </c>
      <c r="E1638" t="s">
        <v>2330</v>
      </c>
      <c r="F1638" s="20">
        <v>100</v>
      </c>
      <c r="G1638" t="s">
        <v>2328</v>
      </c>
      <c r="H1638">
        <v>499</v>
      </c>
      <c r="I1638" s="16" t="str">
        <f t="shared" si="25"/>
        <v>Normal</v>
      </c>
      <c r="J1638" t="s">
        <v>39</v>
      </c>
    </row>
    <row r="1639" spans="1:10">
      <c r="A1639" t="s">
        <v>4001</v>
      </c>
      <c r="B1639" t="s">
        <v>1383</v>
      </c>
      <c r="C1639" t="s">
        <v>2257</v>
      </c>
      <c r="D1639" s="9">
        <v>46045</v>
      </c>
      <c r="E1639" t="s">
        <v>2337</v>
      </c>
      <c r="F1639" s="20">
        <v>5</v>
      </c>
      <c r="G1639" t="s">
        <v>2331</v>
      </c>
      <c r="I1639" s="16" t="str">
        <f t="shared" si="25"/>
        <v>Unknown</v>
      </c>
      <c r="J1639">
        <v>4</v>
      </c>
    </row>
    <row r="1640" spans="1:10">
      <c r="A1640" t="s">
        <v>4002</v>
      </c>
      <c r="B1640" t="s">
        <v>546</v>
      </c>
      <c r="C1640" t="s">
        <v>2225</v>
      </c>
      <c r="D1640" s="9">
        <v>46186</v>
      </c>
      <c r="E1640" t="s">
        <v>2330</v>
      </c>
      <c r="F1640" s="20">
        <v>100</v>
      </c>
      <c r="G1640" t="s">
        <v>2339</v>
      </c>
      <c r="I1640" s="16" t="str">
        <f t="shared" si="25"/>
        <v>Unknown</v>
      </c>
      <c r="J1640">
        <v>2</v>
      </c>
    </row>
    <row r="1641" spans="1:10">
      <c r="A1641" t="s">
        <v>4003</v>
      </c>
      <c r="B1641" t="s">
        <v>1295</v>
      </c>
      <c r="C1641" t="s">
        <v>2225</v>
      </c>
      <c r="D1641" s="9">
        <v>45899</v>
      </c>
      <c r="E1641" t="s">
        <v>2330</v>
      </c>
      <c r="G1641" t="s">
        <v>2345</v>
      </c>
      <c r="I1641" s="16" t="str">
        <f t="shared" si="25"/>
        <v>Unknown</v>
      </c>
      <c r="J1641">
        <v>4</v>
      </c>
    </row>
    <row r="1642" spans="1:10">
      <c r="A1642" t="s">
        <v>4004</v>
      </c>
      <c r="B1642" t="s">
        <v>1658</v>
      </c>
      <c r="C1642" t="s">
        <v>2259</v>
      </c>
      <c r="D1642" s="9">
        <v>45225</v>
      </c>
      <c r="E1642" t="s">
        <v>2327</v>
      </c>
      <c r="G1642" t="s">
        <v>2345</v>
      </c>
      <c r="H1642">
        <v>0</v>
      </c>
      <c r="I1642" s="16" t="str">
        <f t="shared" si="25"/>
        <v>Zero Amount</v>
      </c>
      <c r="J1642">
        <v>4</v>
      </c>
    </row>
    <row r="1643" spans="1:10">
      <c r="A1643" t="s">
        <v>4005</v>
      </c>
      <c r="B1643" t="s">
        <v>1763</v>
      </c>
      <c r="C1643" t="s">
        <v>2205</v>
      </c>
      <c r="D1643" s="9">
        <v>45485</v>
      </c>
      <c r="E1643" t="s">
        <v>2337</v>
      </c>
      <c r="F1643" s="20">
        <v>20</v>
      </c>
      <c r="G1643" t="s">
        <v>2345</v>
      </c>
      <c r="H1643">
        <v>1500</v>
      </c>
      <c r="I1643" s="16" t="str">
        <f t="shared" si="25"/>
        <v>Normal</v>
      </c>
      <c r="J1643">
        <v>4</v>
      </c>
    </row>
    <row r="1644" spans="1:10">
      <c r="A1644" t="s">
        <v>4006</v>
      </c>
      <c r="B1644" t="s">
        <v>270</v>
      </c>
      <c r="C1644" t="s">
        <v>2261</v>
      </c>
      <c r="D1644" s="9">
        <v>45184</v>
      </c>
      <c r="E1644" t="s">
        <v>2337</v>
      </c>
      <c r="F1644" s="20">
        <v>20</v>
      </c>
      <c r="G1644" t="s">
        <v>23</v>
      </c>
      <c r="I1644" s="16" t="str">
        <f t="shared" si="25"/>
        <v>Unknown</v>
      </c>
      <c r="J1644" t="s">
        <v>39</v>
      </c>
    </row>
    <row r="1645" spans="1:10">
      <c r="A1645" t="s">
        <v>4007</v>
      </c>
      <c r="B1645" t="s">
        <v>1165</v>
      </c>
      <c r="C1645" t="s">
        <v>2253</v>
      </c>
      <c r="D1645" s="9">
        <v>45967</v>
      </c>
      <c r="E1645" t="s">
        <v>23</v>
      </c>
      <c r="G1645" t="s">
        <v>2345</v>
      </c>
      <c r="H1645">
        <v>1200</v>
      </c>
      <c r="I1645" s="16" t="str">
        <f t="shared" si="25"/>
        <v>Normal</v>
      </c>
      <c r="J1645">
        <v>2</v>
      </c>
    </row>
    <row r="1646" spans="1:10">
      <c r="A1646" t="s">
        <v>4008</v>
      </c>
      <c r="B1646" t="s">
        <v>1515</v>
      </c>
      <c r="C1646" t="s">
        <v>2218</v>
      </c>
      <c r="D1646" s="9">
        <v>45895</v>
      </c>
      <c r="E1646" t="s">
        <v>2330</v>
      </c>
      <c r="F1646" s="20">
        <v>100</v>
      </c>
      <c r="G1646" t="s">
        <v>2345</v>
      </c>
      <c r="H1646">
        <v>1500</v>
      </c>
      <c r="I1646" s="16" t="str">
        <f t="shared" si="25"/>
        <v>Normal</v>
      </c>
      <c r="J1646">
        <v>4</v>
      </c>
    </row>
    <row r="1647" spans="1:10">
      <c r="A1647" t="s">
        <v>4009</v>
      </c>
      <c r="B1647" t="s">
        <v>453</v>
      </c>
      <c r="C1647" t="s">
        <v>2233</v>
      </c>
      <c r="D1647" s="9">
        <v>45456</v>
      </c>
      <c r="E1647" t="s">
        <v>2330</v>
      </c>
      <c r="F1647" s="20">
        <v>100</v>
      </c>
      <c r="G1647" t="s">
        <v>2331</v>
      </c>
      <c r="H1647">
        <v>2065.58</v>
      </c>
      <c r="I1647" s="16" t="str">
        <f t="shared" si="25"/>
        <v>Normal</v>
      </c>
      <c r="J1647">
        <v>2</v>
      </c>
    </row>
    <row r="1648" spans="1:10">
      <c r="A1648" t="s">
        <v>4010</v>
      </c>
      <c r="B1648" t="s">
        <v>795</v>
      </c>
      <c r="C1648" t="s">
        <v>2231</v>
      </c>
      <c r="D1648" s="9">
        <v>45653</v>
      </c>
      <c r="E1648" t="s">
        <v>2324</v>
      </c>
      <c r="F1648" s="20">
        <v>55</v>
      </c>
      <c r="G1648" t="s">
        <v>2345</v>
      </c>
      <c r="H1648">
        <v>3000</v>
      </c>
      <c r="I1648" s="16" t="str">
        <f t="shared" si="25"/>
        <v>Normal</v>
      </c>
      <c r="J1648">
        <v>2</v>
      </c>
    </row>
    <row r="1649" spans="1:10">
      <c r="A1649" t="s">
        <v>4011</v>
      </c>
      <c r="B1649" t="s">
        <v>1011</v>
      </c>
      <c r="C1649" t="s">
        <v>2222</v>
      </c>
      <c r="D1649" s="9">
        <v>45400</v>
      </c>
      <c r="E1649" t="s">
        <v>2330</v>
      </c>
      <c r="F1649" s="20">
        <v>100</v>
      </c>
      <c r="G1649" t="s">
        <v>2328</v>
      </c>
      <c r="H1649">
        <v>0</v>
      </c>
      <c r="I1649" s="16" t="str">
        <f t="shared" si="25"/>
        <v>Zero Amount</v>
      </c>
      <c r="J1649">
        <v>4</v>
      </c>
    </row>
    <row r="1650" spans="1:10">
      <c r="A1650" t="s">
        <v>4012</v>
      </c>
      <c r="B1650" t="s">
        <v>67</v>
      </c>
      <c r="C1650" t="s">
        <v>2225</v>
      </c>
      <c r="D1650" s="9">
        <v>45789</v>
      </c>
      <c r="E1650" t="s">
        <v>2324</v>
      </c>
      <c r="G1650" t="s">
        <v>2339</v>
      </c>
      <c r="I1650" s="16" t="str">
        <f t="shared" si="25"/>
        <v>Unknown</v>
      </c>
      <c r="J1650" t="s">
        <v>39</v>
      </c>
    </row>
    <row r="1651" spans="1:10">
      <c r="A1651" t="s">
        <v>4013</v>
      </c>
      <c r="B1651" t="s">
        <v>1705</v>
      </c>
      <c r="C1651" t="s">
        <v>2193</v>
      </c>
      <c r="D1651" s="9">
        <v>45717</v>
      </c>
      <c r="E1651" t="s">
        <v>2337</v>
      </c>
      <c r="F1651" s="20">
        <v>15</v>
      </c>
      <c r="G1651" t="s">
        <v>2345</v>
      </c>
      <c r="H1651">
        <v>0</v>
      </c>
      <c r="I1651" s="16" t="str">
        <f t="shared" si="25"/>
        <v>Zero Amount</v>
      </c>
      <c r="J1651">
        <v>5</v>
      </c>
    </row>
    <row r="1652" spans="1:10">
      <c r="A1652" t="s">
        <v>4014</v>
      </c>
      <c r="B1652" t="s">
        <v>103</v>
      </c>
      <c r="C1652" t="s">
        <v>2267</v>
      </c>
      <c r="D1652" s="9">
        <v>45949</v>
      </c>
      <c r="E1652" t="s">
        <v>2327</v>
      </c>
      <c r="F1652" s="20">
        <v>15</v>
      </c>
      <c r="G1652" t="s">
        <v>2331</v>
      </c>
      <c r="H1652">
        <v>999.99</v>
      </c>
      <c r="I1652" s="16" t="str">
        <f t="shared" si="25"/>
        <v>Normal</v>
      </c>
      <c r="J1652">
        <v>5</v>
      </c>
    </row>
    <row r="1653" spans="1:10">
      <c r="A1653" t="s">
        <v>4015</v>
      </c>
      <c r="B1653" t="s">
        <v>1926</v>
      </c>
      <c r="C1653" t="s">
        <v>2202</v>
      </c>
      <c r="D1653" s="9">
        <v>45872</v>
      </c>
      <c r="E1653" t="s">
        <v>2330</v>
      </c>
      <c r="F1653" s="20">
        <v>100</v>
      </c>
      <c r="G1653" t="s">
        <v>2325</v>
      </c>
      <c r="H1653">
        <v>999.99</v>
      </c>
      <c r="I1653" s="16" t="str">
        <f t="shared" si="25"/>
        <v>Normal</v>
      </c>
      <c r="J1653">
        <v>5</v>
      </c>
    </row>
    <row r="1654" spans="1:10">
      <c r="A1654" t="s">
        <v>4016</v>
      </c>
      <c r="B1654" t="s">
        <v>200</v>
      </c>
      <c r="C1654" t="s">
        <v>2225</v>
      </c>
      <c r="D1654" s="9">
        <v>45443</v>
      </c>
      <c r="E1654" t="s">
        <v>2330</v>
      </c>
      <c r="G1654" t="s">
        <v>23</v>
      </c>
      <c r="I1654" s="16" t="str">
        <f t="shared" si="25"/>
        <v>Unknown</v>
      </c>
      <c r="J1654">
        <v>5</v>
      </c>
    </row>
    <row r="1655" spans="1:10">
      <c r="A1655" t="s">
        <v>4017</v>
      </c>
      <c r="B1655" t="s">
        <v>1001</v>
      </c>
      <c r="C1655" t="s">
        <v>2267</v>
      </c>
      <c r="D1655" s="9">
        <v>46111</v>
      </c>
      <c r="E1655" t="s">
        <v>2324</v>
      </c>
      <c r="F1655" s="20">
        <v>60</v>
      </c>
      <c r="G1655" t="s">
        <v>2325</v>
      </c>
      <c r="H1655">
        <v>999.99</v>
      </c>
      <c r="I1655" s="16" t="str">
        <f t="shared" si="25"/>
        <v>Normal</v>
      </c>
      <c r="J1655">
        <v>3</v>
      </c>
    </row>
    <row r="1656" spans="1:10">
      <c r="A1656" t="s">
        <v>4018</v>
      </c>
      <c r="B1656" t="s">
        <v>4019</v>
      </c>
      <c r="C1656" t="s">
        <v>2205</v>
      </c>
      <c r="D1656" s="9">
        <v>45483</v>
      </c>
      <c r="E1656" t="s">
        <v>2324</v>
      </c>
      <c r="F1656" s="20">
        <v>10</v>
      </c>
      <c r="G1656" t="s">
        <v>2345</v>
      </c>
      <c r="H1656">
        <v>1500</v>
      </c>
      <c r="I1656" s="16" t="str">
        <f t="shared" si="25"/>
        <v>Normal</v>
      </c>
      <c r="J1656" t="s">
        <v>39</v>
      </c>
    </row>
    <row r="1657" spans="1:10">
      <c r="A1657" t="s">
        <v>4020</v>
      </c>
      <c r="B1657" t="s">
        <v>1303</v>
      </c>
      <c r="C1657" t="s">
        <v>2259</v>
      </c>
      <c r="D1657" s="9">
        <v>46207</v>
      </c>
      <c r="E1657" t="s">
        <v>2337</v>
      </c>
      <c r="F1657" s="20">
        <v>0</v>
      </c>
      <c r="G1657" t="s">
        <v>2331</v>
      </c>
      <c r="H1657">
        <v>0</v>
      </c>
      <c r="I1657" s="16" t="str">
        <f t="shared" si="25"/>
        <v>Zero Amount</v>
      </c>
      <c r="J1657">
        <v>4</v>
      </c>
    </row>
    <row r="1658" spans="1:10">
      <c r="A1658" t="s">
        <v>4021</v>
      </c>
      <c r="B1658" t="s">
        <v>784</v>
      </c>
      <c r="C1658" t="s">
        <v>2187</v>
      </c>
      <c r="D1658" s="9">
        <v>45849</v>
      </c>
      <c r="E1658" t="s">
        <v>2337</v>
      </c>
      <c r="F1658" s="20">
        <v>15</v>
      </c>
      <c r="G1658" t="s">
        <v>2325</v>
      </c>
      <c r="H1658">
        <v>799</v>
      </c>
      <c r="I1658" s="16" t="str">
        <f t="shared" si="25"/>
        <v>Normal</v>
      </c>
      <c r="J1658" t="s">
        <v>39</v>
      </c>
    </row>
    <row r="1659" spans="1:10">
      <c r="A1659" t="s">
        <v>4022</v>
      </c>
      <c r="B1659" t="s">
        <v>3006</v>
      </c>
      <c r="C1659" t="s">
        <v>2244</v>
      </c>
      <c r="D1659" s="9">
        <v>45446</v>
      </c>
      <c r="E1659" t="s">
        <v>2330</v>
      </c>
      <c r="G1659" t="s">
        <v>2345</v>
      </c>
      <c r="H1659">
        <v>1200</v>
      </c>
      <c r="I1659" s="16" t="str">
        <f t="shared" si="25"/>
        <v>Normal</v>
      </c>
      <c r="J1659">
        <v>4</v>
      </c>
    </row>
    <row r="1660" spans="1:10">
      <c r="A1660" t="s">
        <v>4023</v>
      </c>
      <c r="B1660" t="s">
        <v>1864</v>
      </c>
      <c r="C1660" t="s">
        <v>2261</v>
      </c>
      <c r="D1660" s="9">
        <v>46020</v>
      </c>
      <c r="E1660" t="s">
        <v>2330</v>
      </c>
      <c r="F1660" s="20">
        <v>100</v>
      </c>
      <c r="G1660" t="s">
        <v>2339</v>
      </c>
      <c r="I1660" s="16" t="str">
        <f t="shared" si="25"/>
        <v>Unknown</v>
      </c>
      <c r="J1660" t="s">
        <v>39</v>
      </c>
    </row>
    <row r="1661" spans="1:10">
      <c r="A1661" t="s">
        <v>4024</v>
      </c>
      <c r="B1661" t="s">
        <v>1548</v>
      </c>
      <c r="C1661" t="s">
        <v>2271</v>
      </c>
      <c r="D1661" s="9">
        <v>45822</v>
      </c>
      <c r="E1661" t="s">
        <v>2330</v>
      </c>
      <c r="F1661" s="20">
        <v>100</v>
      </c>
      <c r="G1661" t="s">
        <v>2325</v>
      </c>
      <c r="I1661" s="16" t="str">
        <f t="shared" si="25"/>
        <v>Unknown</v>
      </c>
      <c r="J1661" t="s">
        <v>39</v>
      </c>
    </row>
    <row r="1662" spans="1:10">
      <c r="A1662" t="s">
        <v>4025</v>
      </c>
      <c r="B1662" t="s">
        <v>1592</v>
      </c>
      <c r="C1662" t="s">
        <v>2228</v>
      </c>
      <c r="D1662" s="9">
        <v>46059</v>
      </c>
      <c r="E1662" t="s">
        <v>2324</v>
      </c>
      <c r="F1662" s="20">
        <v>10</v>
      </c>
      <c r="G1662" t="s">
        <v>2345</v>
      </c>
      <c r="H1662">
        <v>799</v>
      </c>
      <c r="I1662" s="16" t="str">
        <f t="shared" si="25"/>
        <v>Normal</v>
      </c>
      <c r="J1662">
        <v>1</v>
      </c>
    </row>
    <row r="1663" spans="1:10">
      <c r="A1663" t="s">
        <v>4026</v>
      </c>
      <c r="B1663" t="s">
        <v>1153</v>
      </c>
      <c r="C1663" t="s">
        <v>2218</v>
      </c>
      <c r="D1663" s="9">
        <v>45137</v>
      </c>
      <c r="E1663" t="s">
        <v>2330</v>
      </c>
      <c r="F1663" s="20">
        <v>100</v>
      </c>
      <c r="G1663" t="s">
        <v>2331</v>
      </c>
      <c r="H1663">
        <v>1500</v>
      </c>
      <c r="I1663" s="16" t="str">
        <f t="shared" si="25"/>
        <v>Normal</v>
      </c>
      <c r="J1663">
        <v>4</v>
      </c>
    </row>
    <row r="1664" spans="1:10">
      <c r="A1664" t="s">
        <v>4027</v>
      </c>
      <c r="B1664" t="s">
        <v>1576</v>
      </c>
      <c r="C1664" t="s">
        <v>2244</v>
      </c>
      <c r="D1664" s="9">
        <v>45793</v>
      </c>
      <c r="E1664" t="s">
        <v>2324</v>
      </c>
      <c r="F1664" s="20">
        <v>25</v>
      </c>
      <c r="G1664" t="s">
        <v>2328</v>
      </c>
      <c r="H1664">
        <v>1200</v>
      </c>
      <c r="I1664" s="16" t="str">
        <f t="shared" si="25"/>
        <v>Normal</v>
      </c>
      <c r="J1664">
        <v>2</v>
      </c>
    </row>
    <row r="1665" spans="1:10">
      <c r="A1665" t="s">
        <v>4028</v>
      </c>
      <c r="B1665" t="s">
        <v>558</v>
      </c>
      <c r="C1665" t="s">
        <v>2264</v>
      </c>
      <c r="D1665" s="9">
        <v>45106</v>
      </c>
      <c r="E1665" t="s">
        <v>2324</v>
      </c>
      <c r="F1665" s="20">
        <v>40</v>
      </c>
      <c r="G1665" t="s">
        <v>2328</v>
      </c>
      <c r="H1665">
        <v>2500</v>
      </c>
      <c r="I1665" s="16" t="str">
        <f t="shared" si="25"/>
        <v>Normal</v>
      </c>
      <c r="J1665">
        <v>3</v>
      </c>
    </row>
    <row r="1666" spans="1:10">
      <c r="A1666" t="s">
        <v>4029</v>
      </c>
      <c r="B1666" t="s">
        <v>1773</v>
      </c>
      <c r="C1666" t="s">
        <v>2205</v>
      </c>
      <c r="D1666" s="9">
        <v>45248</v>
      </c>
      <c r="E1666" t="s">
        <v>2337</v>
      </c>
      <c r="F1666" s="20">
        <v>5</v>
      </c>
      <c r="G1666" t="s">
        <v>2339</v>
      </c>
      <c r="H1666">
        <v>1500</v>
      </c>
      <c r="I1666" s="16" t="str">
        <f t="shared" si="25"/>
        <v>Normal</v>
      </c>
      <c r="J1666" t="s">
        <v>39</v>
      </c>
    </row>
    <row r="1667" spans="1:10">
      <c r="A1667" t="s">
        <v>4030</v>
      </c>
      <c r="B1667" t="s">
        <v>495</v>
      </c>
      <c r="C1667" t="s">
        <v>2249</v>
      </c>
      <c r="D1667" s="9">
        <v>45510</v>
      </c>
      <c r="E1667" t="s">
        <v>2324</v>
      </c>
      <c r="F1667" s="20">
        <v>25</v>
      </c>
      <c r="G1667" t="s">
        <v>2345</v>
      </c>
      <c r="H1667">
        <v>1500</v>
      </c>
      <c r="I1667" s="16" t="str">
        <f t="shared" ref="I1667:I1730" si="26">IF(H1667="", "Unknown", IF(H1667=0, "Zero Amount", IF(H1667&lt;1, "Review", IF(H1667&gt;1, "Normal"))))</f>
        <v>Normal</v>
      </c>
      <c r="J1667">
        <v>1</v>
      </c>
    </row>
    <row r="1668" spans="1:10">
      <c r="A1668" t="s">
        <v>4031</v>
      </c>
      <c r="B1668" t="s">
        <v>1638</v>
      </c>
      <c r="C1668" t="s">
        <v>2264</v>
      </c>
      <c r="D1668" s="9">
        <v>46131</v>
      </c>
      <c r="E1668" t="s">
        <v>2330</v>
      </c>
      <c r="G1668" t="s">
        <v>2328</v>
      </c>
      <c r="H1668">
        <v>2500</v>
      </c>
      <c r="I1668" s="16" t="str">
        <f t="shared" si="26"/>
        <v>Normal</v>
      </c>
      <c r="J1668">
        <v>5</v>
      </c>
    </row>
    <row r="1669" spans="1:10">
      <c r="A1669" t="s">
        <v>4032</v>
      </c>
      <c r="B1669" t="s">
        <v>1153</v>
      </c>
      <c r="C1669" t="s">
        <v>2244</v>
      </c>
      <c r="D1669" s="9">
        <v>45835</v>
      </c>
      <c r="E1669" t="s">
        <v>2324</v>
      </c>
      <c r="F1669" s="20">
        <v>40</v>
      </c>
      <c r="G1669" t="s">
        <v>2328</v>
      </c>
      <c r="H1669">
        <v>732.45</v>
      </c>
      <c r="I1669" s="16" t="str">
        <f t="shared" si="26"/>
        <v>Normal</v>
      </c>
      <c r="J1669">
        <v>4</v>
      </c>
    </row>
    <row r="1670" spans="1:10">
      <c r="A1670" t="s">
        <v>4033</v>
      </c>
      <c r="B1670" t="s">
        <v>1236</v>
      </c>
      <c r="C1670" t="s">
        <v>2209</v>
      </c>
      <c r="D1670" s="9">
        <v>45388</v>
      </c>
      <c r="E1670" t="s">
        <v>2330</v>
      </c>
      <c r="F1670" s="20">
        <v>100</v>
      </c>
      <c r="G1670" t="s">
        <v>2345</v>
      </c>
      <c r="H1670">
        <v>499</v>
      </c>
      <c r="I1670" s="16" t="str">
        <f t="shared" si="26"/>
        <v>Normal</v>
      </c>
      <c r="J1670">
        <v>5</v>
      </c>
    </row>
    <row r="1671" spans="1:10">
      <c r="A1671" t="s">
        <v>4034</v>
      </c>
      <c r="B1671" t="s">
        <v>1813</v>
      </c>
      <c r="C1671" t="s">
        <v>2267</v>
      </c>
      <c r="D1671" s="9">
        <v>45263</v>
      </c>
      <c r="E1671" t="s">
        <v>2327</v>
      </c>
      <c r="F1671" s="20">
        <v>15</v>
      </c>
      <c r="G1671" t="s">
        <v>2325</v>
      </c>
      <c r="H1671">
        <v>999.99</v>
      </c>
      <c r="I1671" s="16" t="str">
        <f t="shared" si="26"/>
        <v>Normal</v>
      </c>
      <c r="J1671">
        <v>3</v>
      </c>
    </row>
    <row r="1672" spans="1:10">
      <c r="A1672" t="s">
        <v>4035</v>
      </c>
      <c r="B1672" t="s">
        <v>411</v>
      </c>
      <c r="C1672" t="s">
        <v>2209</v>
      </c>
      <c r="D1672" s="9">
        <v>45990</v>
      </c>
      <c r="E1672" t="s">
        <v>2330</v>
      </c>
      <c r="F1672" s="20">
        <v>100</v>
      </c>
      <c r="G1672" t="s">
        <v>2328</v>
      </c>
      <c r="H1672">
        <v>499</v>
      </c>
      <c r="I1672" s="16" t="str">
        <f t="shared" si="26"/>
        <v>Normal</v>
      </c>
      <c r="J1672" t="s">
        <v>39</v>
      </c>
    </row>
    <row r="1673" spans="1:10">
      <c r="A1673" t="s">
        <v>4036</v>
      </c>
      <c r="B1673" t="s">
        <v>506</v>
      </c>
      <c r="C1673" t="s">
        <v>2253</v>
      </c>
      <c r="D1673" s="9">
        <v>45901</v>
      </c>
      <c r="E1673" t="s">
        <v>2324</v>
      </c>
      <c r="G1673" t="s">
        <v>23</v>
      </c>
      <c r="H1673">
        <v>1200</v>
      </c>
      <c r="I1673" s="16" t="str">
        <f t="shared" si="26"/>
        <v>Normal</v>
      </c>
      <c r="J1673" t="s">
        <v>39</v>
      </c>
    </row>
    <row r="1674" spans="1:10">
      <c r="A1674" t="s">
        <v>4037</v>
      </c>
      <c r="B1674" t="s">
        <v>907</v>
      </c>
      <c r="C1674" t="s">
        <v>2273</v>
      </c>
      <c r="D1674" s="9">
        <v>45407</v>
      </c>
      <c r="E1674" t="s">
        <v>2327</v>
      </c>
      <c r="F1674" s="20">
        <v>20</v>
      </c>
      <c r="G1674" t="s">
        <v>2345</v>
      </c>
      <c r="H1674">
        <v>799</v>
      </c>
      <c r="I1674" s="16" t="str">
        <f t="shared" si="26"/>
        <v>Normal</v>
      </c>
      <c r="J1674">
        <v>5</v>
      </c>
    </row>
    <row r="1675" spans="1:10">
      <c r="A1675" t="s">
        <v>4038</v>
      </c>
      <c r="B1675" t="s">
        <v>1984</v>
      </c>
      <c r="C1675" t="s">
        <v>2251</v>
      </c>
      <c r="D1675" s="9">
        <v>45315</v>
      </c>
      <c r="E1675" t="s">
        <v>2330</v>
      </c>
      <c r="F1675" s="20">
        <v>100</v>
      </c>
      <c r="G1675" t="s">
        <v>2331</v>
      </c>
      <c r="H1675">
        <v>1500</v>
      </c>
      <c r="I1675" s="16" t="str">
        <f t="shared" si="26"/>
        <v>Normal</v>
      </c>
      <c r="J1675">
        <v>4</v>
      </c>
    </row>
    <row r="1676" spans="1:10">
      <c r="A1676" t="s">
        <v>4039</v>
      </c>
      <c r="B1676" t="s">
        <v>1214</v>
      </c>
      <c r="C1676" t="s">
        <v>2244</v>
      </c>
      <c r="D1676" s="9">
        <v>46114</v>
      </c>
      <c r="E1676" t="s">
        <v>2327</v>
      </c>
      <c r="F1676" s="20">
        <v>5</v>
      </c>
      <c r="G1676" t="s">
        <v>2339</v>
      </c>
      <c r="H1676">
        <v>1200</v>
      </c>
      <c r="I1676" s="16" t="str">
        <f t="shared" si="26"/>
        <v>Normal</v>
      </c>
      <c r="J1676">
        <v>4</v>
      </c>
    </row>
    <row r="1677" spans="1:10">
      <c r="A1677" t="s">
        <v>4040</v>
      </c>
      <c r="B1677" t="s">
        <v>1306</v>
      </c>
      <c r="C1677" t="s">
        <v>2205</v>
      </c>
      <c r="D1677" s="9">
        <v>46140</v>
      </c>
      <c r="E1677" t="s">
        <v>2324</v>
      </c>
      <c r="F1677" s="20">
        <v>10</v>
      </c>
      <c r="G1677" t="s">
        <v>2331</v>
      </c>
      <c r="H1677">
        <v>1500</v>
      </c>
      <c r="I1677" s="16" t="str">
        <f t="shared" si="26"/>
        <v>Normal</v>
      </c>
      <c r="J1677">
        <v>4</v>
      </c>
    </row>
    <row r="1678" spans="1:10">
      <c r="A1678" t="s">
        <v>4041</v>
      </c>
      <c r="B1678" t="s">
        <v>1813</v>
      </c>
      <c r="C1678" t="s">
        <v>2228</v>
      </c>
      <c r="D1678" s="9">
        <v>46037</v>
      </c>
      <c r="E1678" t="s">
        <v>2324</v>
      </c>
      <c r="F1678" s="20">
        <v>55</v>
      </c>
      <c r="G1678" t="s">
        <v>2345</v>
      </c>
      <c r="H1678">
        <v>799</v>
      </c>
      <c r="I1678" s="16" t="str">
        <f t="shared" si="26"/>
        <v>Normal</v>
      </c>
      <c r="J1678" t="s">
        <v>39</v>
      </c>
    </row>
    <row r="1679" spans="1:10">
      <c r="A1679" t="s">
        <v>4042</v>
      </c>
      <c r="B1679" t="s">
        <v>1960</v>
      </c>
      <c r="C1679" t="s">
        <v>2269</v>
      </c>
      <c r="D1679" s="9">
        <v>45919</v>
      </c>
      <c r="E1679" t="s">
        <v>2330</v>
      </c>
      <c r="F1679" s="20">
        <v>100</v>
      </c>
      <c r="G1679" t="s">
        <v>2331</v>
      </c>
      <c r="H1679">
        <v>499</v>
      </c>
      <c r="I1679" s="16" t="str">
        <f t="shared" si="26"/>
        <v>Normal</v>
      </c>
      <c r="J1679">
        <v>3</v>
      </c>
    </row>
    <row r="1680" spans="1:10">
      <c r="A1680" t="s">
        <v>4043</v>
      </c>
      <c r="B1680" t="s">
        <v>987</v>
      </c>
      <c r="C1680" t="s">
        <v>2235</v>
      </c>
      <c r="D1680" s="9">
        <v>45101</v>
      </c>
      <c r="E1680" t="s">
        <v>2330</v>
      </c>
      <c r="G1680" t="s">
        <v>2331</v>
      </c>
      <c r="H1680">
        <v>3000</v>
      </c>
      <c r="I1680" s="16" t="str">
        <f t="shared" si="26"/>
        <v>Normal</v>
      </c>
      <c r="J1680">
        <v>2</v>
      </c>
    </row>
    <row r="1681" spans="1:10">
      <c r="A1681" t="s">
        <v>4044</v>
      </c>
      <c r="B1681" t="s">
        <v>824</v>
      </c>
      <c r="C1681" t="s">
        <v>2228</v>
      </c>
      <c r="D1681" s="9">
        <v>45171</v>
      </c>
      <c r="E1681" t="s">
        <v>2330</v>
      </c>
      <c r="G1681" t="s">
        <v>2345</v>
      </c>
      <c r="H1681">
        <v>799</v>
      </c>
      <c r="I1681" s="16" t="str">
        <f t="shared" si="26"/>
        <v>Normal</v>
      </c>
      <c r="J1681">
        <v>5</v>
      </c>
    </row>
    <row r="1682" spans="1:10">
      <c r="A1682" t="s">
        <v>4045</v>
      </c>
      <c r="B1682" t="s">
        <v>449</v>
      </c>
      <c r="C1682" t="s">
        <v>2267</v>
      </c>
      <c r="D1682" s="9">
        <v>45709</v>
      </c>
      <c r="E1682" t="s">
        <v>2324</v>
      </c>
      <c r="F1682" s="20">
        <v>40</v>
      </c>
      <c r="G1682" t="s">
        <v>23</v>
      </c>
      <c r="H1682">
        <v>999.99</v>
      </c>
      <c r="I1682" s="16" t="str">
        <f t="shared" si="26"/>
        <v>Normal</v>
      </c>
      <c r="J1682">
        <v>4</v>
      </c>
    </row>
    <row r="1683" spans="1:10">
      <c r="A1683" t="s">
        <v>4046</v>
      </c>
      <c r="B1683" t="s">
        <v>769</v>
      </c>
      <c r="C1683" t="s">
        <v>2218</v>
      </c>
      <c r="D1683" s="9">
        <v>45384</v>
      </c>
      <c r="E1683" t="s">
        <v>2330</v>
      </c>
      <c r="F1683" s="20">
        <v>100</v>
      </c>
      <c r="G1683" t="s">
        <v>23</v>
      </c>
      <c r="H1683">
        <v>1500</v>
      </c>
      <c r="I1683" s="16" t="str">
        <f t="shared" si="26"/>
        <v>Normal</v>
      </c>
      <c r="J1683" t="s">
        <v>39</v>
      </c>
    </row>
    <row r="1684" spans="1:10">
      <c r="A1684" t="s">
        <v>4047</v>
      </c>
      <c r="B1684" t="s">
        <v>1890</v>
      </c>
      <c r="C1684" t="s">
        <v>2244</v>
      </c>
      <c r="D1684" s="9">
        <v>45293</v>
      </c>
      <c r="E1684" t="s">
        <v>2330</v>
      </c>
      <c r="F1684" s="20">
        <v>100</v>
      </c>
      <c r="G1684" t="s">
        <v>2325</v>
      </c>
      <c r="H1684">
        <v>1200</v>
      </c>
      <c r="I1684" s="16" t="str">
        <f t="shared" si="26"/>
        <v>Normal</v>
      </c>
      <c r="J1684">
        <v>1</v>
      </c>
    </row>
    <row r="1685" spans="1:10">
      <c r="A1685" t="s">
        <v>4048</v>
      </c>
      <c r="B1685" t="s">
        <v>1572</v>
      </c>
      <c r="C1685" t="s">
        <v>2198</v>
      </c>
      <c r="D1685" s="9">
        <v>45556</v>
      </c>
      <c r="E1685" t="s">
        <v>2330</v>
      </c>
      <c r="F1685" s="20">
        <v>100</v>
      </c>
      <c r="G1685" t="s">
        <v>2339</v>
      </c>
      <c r="I1685" s="16" t="str">
        <f t="shared" si="26"/>
        <v>Unknown</v>
      </c>
      <c r="J1685">
        <v>1</v>
      </c>
    </row>
    <row r="1686" spans="1:10">
      <c r="A1686" t="s">
        <v>4049</v>
      </c>
      <c r="B1686" t="s">
        <v>1592</v>
      </c>
      <c r="C1686" t="s">
        <v>2273</v>
      </c>
      <c r="D1686" s="9">
        <v>45386</v>
      </c>
      <c r="E1686" t="s">
        <v>23</v>
      </c>
      <c r="G1686" t="s">
        <v>2339</v>
      </c>
      <c r="H1686">
        <v>799</v>
      </c>
      <c r="I1686" s="16" t="str">
        <f t="shared" si="26"/>
        <v>Normal</v>
      </c>
      <c r="J1686">
        <v>5</v>
      </c>
    </row>
    <row r="1687" spans="1:10">
      <c r="A1687" t="s">
        <v>4050</v>
      </c>
      <c r="B1687" t="s">
        <v>2061</v>
      </c>
      <c r="C1687" t="s">
        <v>2198</v>
      </c>
      <c r="D1687" s="9">
        <v>45573</v>
      </c>
      <c r="E1687" t="s">
        <v>2327</v>
      </c>
      <c r="F1687" s="20">
        <v>20</v>
      </c>
      <c r="G1687" t="s">
        <v>2345</v>
      </c>
      <c r="I1687" s="16" t="str">
        <f t="shared" si="26"/>
        <v>Unknown</v>
      </c>
      <c r="J1687">
        <v>5</v>
      </c>
    </row>
    <row r="1688" spans="1:10">
      <c r="A1688" t="s">
        <v>4051</v>
      </c>
      <c r="B1688" t="s">
        <v>1087</v>
      </c>
      <c r="C1688" t="s">
        <v>2267</v>
      </c>
      <c r="D1688" s="9">
        <v>45737</v>
      </c>
      <c r="E1688" t="s">
        <v>2337</v>
      </c>
      <c r="F1688" s="20">
        <v>5</v>
      </c>
      <c r="G1688" t="s">
        <v>2331</v>
      </c>
      <c r="H1688">
        <v>999.99</v>
      </c>
      <c r="I1688" s="16" t="str">
        <f t="shared" si="26"/>
        <v>Normal</v>
      </c>
      <c r="J1688">
        <v>3</v>
      </c>
    </row>
    <row r="1689" spans="1:10">
      <c r="A1689" t="s">
        <v>4052</v>
      </c>
      <c r="B1689" t="s">
        <v>704</v>
      </c>
      <c r="C1689" t="s">
        <v>2202</v>
      </c>
      <c r="D1689" s="9">
        <v>45796</v>
      </c>
      <c r="E1689" t="s">
        <v>2330</v>
      </c>
      <c r="G1689" t="s">
        <v>2325</v>
      </c>
      <c r="I1689" s="16" t="str">
        <f t="shared" si="26"/>
        <v>Unknown</v>
      </c>
      <c r="J1689">
        <v>4</v>
      </c>
    </row>
    <row r="1690" spans="1:10">
      <c r="A1690" t="s">
        <v>4053</v>
      </c>
      <c r="B1690" t="s">
        <v>1239</v>
      </c>
      <c r="C1690" t="s">
        <v>2259</v>
      </c>
      <c r="D1690" s="9">
        <v>45628</v>
      </c>
      <c r="E1690" t="s">
        <v>23</v>
      </c>
      <c r="G1690" t="s">
        <v>2331</v>
      </c>
      <c r="H1690">
        <v>0</v>
      </c>
      <c r="I1690" s="16" t="str">
        <f t="shared" si="26"/>
        <v>Zero Amount</v>
      </c>
      <c r="J1690">
        <v>5</v>
      </c>
    </row>
    <row r="1691" spans="1:10">
      <c r="A1691" t="s">
        <v>4054</v>
      </c>
      <c r="B1691" t="s">
        <v>1339</v>
      </c>
      <c r="C1691" t="s">
        <v>2233</v>
      </c>
      <c r="D1691" s="9">
        <v>45818</v>
      </c>
      <c r="E1691" t="s">
        <v>23</v>
      </c>
      <c r="G1691" t="s">
        <v>2328</v>
      </c>
      <c r="H1691">
        <v>2500</v>
      </c>
      <c r="I1691" s="16" t="str">
        <f t="shared" si="26"/>
        <v>Normal</v>
      </c>
      <c r="J1691">
        <v>1</v>
      </c>
    </row>
    <row r="1692" spans="1:10">
      <c r="A1692" t="s">
        <v>4055</v>
      </c>
      <c r="B1692" t="s">
        <v>1842</v>
      </c>
      <c r="C1692" t="s">
        <v>2198</v>
      </c>
      <c r="D1692" s="9">
        <v>45295</v>
      </c>
      <c r="E1692" t="s">
        <v>23</v>
      </c>
      <c r="G1692" t="s">
        <v>2339</v>
      </c>
      <c r="I1692" s="16" t="str">
        <f t="shared" si="26"/>
        <v>Unknown</v>
      </c>
      <c r="J1692">
        <v>5</v>
      </c>
    </row>
    <row r="1693" spans="1:10">
      <c r="A1693" t="s">
        <v>4056</v>
      </c>
      <c r="B1693" t="s">
        <v>1218</v>
      </c>
      <c r="C1693" t="s">
        <v>2264</v>
      </c>
      <c r="D1693" s="9">
        <v>45426</v>
      </c>
      <c r="E1693" t="s">
        <v>2324</v>
      </c>
      <c r="F1693" s="20">
        <v>40</v>
      </c>
      <c r="G1693" t="s">
        <v>2328</v>
      </c>
      <c r="H1693">
        <v>2500</v>
      </c>
      <c r="I1693" s="16" t="str">
        <f t="shared" si="26"/>
        <v>Normal</v>
      </c>
      <c r="J1693">
        <v>1</v>
      </c>
    </row>
    <row r="1694" spans="1:10">
      <c r="A1694" t="s">
        <v>4057</v>
      </c>
      <c r="B1694" t="s">
        <v>538</v>
      </c>
      <c r="C1694" t="s">
        <v>2247</v>
      </c>
      <c r="D1694" s="9">
        <v>45352</v>
      </c>
      <c r="E1694" t="s">
        <v>2330</v>
      </c>
      <c r="G1694" t="s">
        <v>2328</v>
      </c>
      <c r="I1694" s="16" t="str">
        <f t="shared" si="26"/>
        <v>Unknown</v>
      </c>
      <c r="J1694">
        <v>4</v>
      </c>
    </row>
    <row r="1695" spans="1:10">
      <c r="A1695" t="s">
        <v>4058</v>
      </c>
      <c r="B1695" t="s">
        <v>1001</v>
      </c>
      <c r="C1695" t="s">
        <v>2271</v>
      </c>
      <c r="D1695" s="9">
        <v>45448</v>
      </c>
      <c r="E1695" t="s">
        <v>2330</v>
      </c>
      <c r="F1695" s="20">
        <v>100</v>
      </c>
      <c r="G1695" t="s">
        <v>2345</v>
      </c>
      <c r="H1695">
        <v>1200</v>
      </c>
      <c r="I1695" s="16" t="str">
        <f t="shared" si="26"/>
        <v>Normal</v>
      </c>
      <c r="J1695">
        <v>4</v>
      </c>
    </row>
    <row r="1696" spans="1:10">
      <c r="A1696" t="s">
        <v>4059</v>
      </c>
      <c r="B1696" t="s">
        <v>181</v>
      </c>
      <c r="C1696" t="s">
        <v>2202</v>
      </c>
      <c r="D1696" s="9">
        <v>45629</v>
      </c>
      <c r="E1696" t="s">
        <v>2324</v>
      </c>
      <c r="F1696" s="20">
        <v>55</v>
      </c>
      <c r="G1696" t="s">
        <v>2325</v>
      </c>
      <c r="H1696">
        <v>999.99</v>
      </c>
      <c r="I1696" s="16" t="str">
        <f t="shared" si="26"/>
        <v>Normal</v>
      </c>
      <c r="J1696">
        <v>1</v>
      </c>
    </row>
    <row r="1697" spans="1:10">
      <c r="A1697" t="s">
        <v>4060</v>
      </c>
      <c r="B1697" t="s">
        <v>1285</v>
      </c>
      <c r="C1697" t="s">
        <v>2209</v>
      </c>
      <c r="D1697" s="9">
        <v>45971</v>
      </c>
      <c r="E1697" t="s">
        <v>2324</v>
      </c>
      <c r="F1697" s="20">
        <v>60</v>
      </c>
      <c r="G1697" t="s">
        <v>2345</v>
      </c>
      <c r="H1697">
        <v>499</v>
      </c>
      <c r="I1697" s="16" t="str">
        <f t="shared" si="26"/>
        <v>Normal</v>
      </c>
      <c r="J1697">
        <v>4</v>
      </c>
    </row>
    <row r="1698" spans="1:10">
      <c r="A1698" t="s">
        <v>4061</v>
      </c>
      <c r="B1698" t="s">
        <v>1095</v>
      </c>
      <c r="C1698" t="s">
        <v>2209</v>
      </c>
      <c r="D1698" s="9">
        <v>45527</v>
      </c>
      <c r="E1698" t="s">
        <v>2330</v>
      </c>
      <c r="G1698" t="s">
        <v>2345</v>
      </c>
      <c r="H1698">
        <v>299.60000000000002</v>
      </c>
      <c r="I1698" s="16" t="str">
        <f t="shared" si="26"/>
        <v>Normal</v>
      </c>
      <c r="J1698">
        <v>4</v>
      </c>
    </row>
    <row r="1699" spans="1:10">
      <c r="A1699" t="s">
        <v>4062</v>
      </c>
      <c r="B1699" t="s">
        <v>1702</v>
      </c>
      <c r="C1699" t="s">
        <v>2247</v>
      </c>
      <c r="D1699" s="9">
        <v>45489</v>
      </c>
      <c r="E1699" t="s">
        <v>23</v>
      </c>
      <c r="G1699" t="s">
        <v>2331</v>
      </c>
      <c r="I1699" s="16" t="str">
        <f t="shared" si="26"/>
        <v>Unknown</v>
      </c>
      <c r="J1699" t="s">
        <v>39</v>
      </c>
    </row>
    <row r="1700" spans="1:10">
      <c r="A1700" t="s">
        <v>4063</v>
      </c>
      <c r="B1700" t="s">
        <v>1820</v>
      </c>
      <c r="C1700" t="s">
        <v>2225</v>
      </c>
      <c r="D1700" s="9">
        <v>45625</v>
      </c>
      <c r="E1700" t="s">
        <v>2324</v>
      </c>
      <c r="G1700" t="s">
        <v>2331</v>
      </c>
      <c r="I1700" s="16" t="str">
        <f t="shared" si="26"/>
        <v>Unknown</v>
      </c>
      <c r="J1700">
        <v>5</v>
      </c>
    </row>
    <row r="1701" spans="1:10">
      <c r="A1701" t="s">
        <v>4064</v>
      </c>
      <c r="B1701" t="s">
        <v>1218</v>
      </c>
      <c r="C1701" t="s">
        <v>2193</v>
      </c>
      <c r="D1701" s="9">
        <v>45203</v>
      </c>
      <c r="E1701" t="s">
        <v>2327</v>
      </c>
      <c r="F1701" s="20">
        <v>0</v>
      </c>
      <c r="G1701" t="s">
        <v>23</v>
      </c>
      <c r="H1701">
        <v>0</v>
      </c>
      <c r="I1701" s="16" t="str">
        <f t="shared" si="26"/>
        <v>Zero Amount</v>
      </c>
      <c r="J1701">
        <v>5</v>
      </c>
    </row>
    <row r="1702" spans="1:10">
      <c r="A1702" t="s">
        <v>4065</v>
      </c>
      <c r="B1702" t="s">
        <v>1995</v>
      </c>
      <c r="C1702" t="s">
        <v>2249</v>
      </c>
      <c r="D1702" s="9">
        <v>45221</v>
      </c>
      <c r="E1702" t="s">
        <v>2324</v>
      </c>
      <c r="G1702" t="s">
        <v>2325</v>
      </c>
      <c r="H1702">
        <v>1500</v>
      </c>
      <c r="I1702" s="16" t="str">
        <f t="shared" si="26"/>
        <v>Normal</v>
      </c>
      <c r="J1702" t="s">
        <v>39</v>
      </c>
    </row>
    <row r="1703" spans="1:10">
      <c r="A1703" t="s">
        <v>4066</v>
      </c>
      <c r="B1703" t="s">
        <v>1683</v>
      </c>
      <c r="C1703" t="s">
        <v>2271</v>
      </c>
      <c r="D1703" s="9">
        <v>46063</v>
      </c>
      <c r="E1703" t="s">
        <v>23</v>
      </c>
      <c r="G1703" t="s">
        <v>2345</v>
      </c>
      <c r="H1703">
        <v>1200</v>
      </c>
      <c r="I1703" s="16" t="str">
        <f t="shared" si="26"/>
        <v>Normal</v>
      </c>
      <c r="J1703" t="s">
        <v>39</v>
      </c>
    </row>
    <row r="1704" spans="1:10">
      <c r="A1704" t="s">
        <v>4067</v>
      </c>
      <c r="B1704" t="s">
        <v>1001</v>
      </c>
      <c r="C1704" t="s">
        <v>2273</v>
      </c>
      <c r="D1704" s="9">
        <v>45925</v>
      </c>
      <c r="E1704" t="s">
        <v>2324</v>
      </c>
      <c r="G1704" t="s">
        <v>2325</v>
      </c>
      <c r="I1704" s="16" t="str">
        <f t="shared" si="26"/>
        <v>Unknown</v>
      </c>
      <c r="J1704">
        <v>2</v>
      </c>
    </row>
    <row r="1705" spans="1:10">
      <c r="A1705" t="s">
        <v>4068</v>
      </c>
      <c r="B1705" t="s">
        <v>1586</v>
      </c>
      <c r="C1705" t="s">
        <v>2237</v>
      </c>
      <c r="D1705" s="9">
        <v>45412</v>
      </c>
      <c r="E1705" t="s">
        <v>2337</v>
      </c>
      <c r="G1705" t="s">
        <v>2325</v>
      </c>
      <c r="H1705">
        <v>1500</v>
      </c>
      <c r="I1705" s="16" t="str">
        <f t="shared" si="26"/>
        <v>Normal</v>
      </c>
      <c r="J1705" t="s">
        <v>39</v>
      </c>
    </row>
    <row r="1706" spans="1:10">
      <c r="A1706" t="s">
        <v>4069</v>
      </c>
      <c r="B1706" t="s">
        <v>155</v>
      </c>
      <c r="C1706" t="s">
        <v>2213</v>
      </c>
      <c r="D1706" s="9">
        <v>46160</v>
      </c>
      <c r="E1706" t="s">
        <v>2324</v>
      </c>
      <c r="G1706" t="s">
        <v>2331</v>
      </c>
      <c r="H1706">
        <v>1500</v>
      </c>
      <c r="I1706" s="16" t="str">
        <f t="shared" si="26"/>
        <v>Normal</v>
      </c>
      <c r="J1706">
        <v>4</v>
      </c>
    </row>
    <row r="1707" spans="1:10">
      <c r="A1707" t="s">
        <v>4070</v>
      </c>
      <c r="B1707" t="s">
        <v>339</v>
      </c>
      <c r="C1707" t="s">
        <v>2247</v>
      </c>
      <c r="D1707" s="9">
        <v>45454</v>
      </c>
      <c r="E1707" t="s">
        <v>23</v>
      </c>
      <c r="G1707" t="s">
        <v>2331</v>
      </c>
      <c r="I1707" s="16" t="str">
        <f t="shared" si="26"/>
        <v>Unknown</v>
      </c>
      <c r="J1707">
        <v>5</v>
      </c>
    </row>
    <row r="1708" spans="1:10">
      <c r="A1708" t="s">
        <v>4071</v>
      </c>
      <c r="B1708" t="s">
        <v>2126</v>
      </c>
      <c r="C1708" t="s">
        <v>2187</v>
      </c>
      <c r="D1708" s="9">
        <v>45824</v>
      </c>
      <c r="E1708" t="s">
        <v>2327</v>
      </c>
      <c r="F1708" s="20">
        <v>0</v>
      </c>
      <c r="G1708" t="s">
        <v>2345</v>
      </c>
      <c r="H1708">
        <v>658.06</v>
      </c>
      <c r="I1708" s="16" t="str">
        <f t="shared" si="26"/>
        <v>Normal</v>
      </c>
      <c r="J1708">
        <v>5</v>
      </c>
    </row>
    <row r="1709" spans="1:10">
      <c r="A1709" t="s">
        <v>4072</v>
      </c>
      <c r="B1709" t="s">
        <v>1389</v>
      </c>
      <c r="C1709" t="s">
        <v>2225</v>
      </c>
      <c r="D1709" s="9">
        <v>45224</v>
      </c>
      <c r="E1709" t="s">
        <v>2337</v>
      </c>
      <c r="F1709" s="20">
        <v>20</v>
      </c>
      <c r="G1709" t="s">
        <v>2331</v>
      </c>
      <c r="I1709" s="16" t="str">
        <f t="shared" si="26"/>
        <v>Unknown</v>
      </c>
      <c r="J1709">
        <v>4</v>
      </c>
    </row>
    <row r="1710" spans="1:10">
      <c r="A1710" t="s">
        <v>4073</v>
      </c>
      <c r="B1710" t="s">
        <v>366</v>
      </c>
      <c r="C1710" t="s">
        <v>2251</v>
      </c>
      <c r="D1710" s="9">
        <v>45607</v>
      </c>
      <c r="E1710" t="s">
        <v>2324</v>
      </c>
      <c r="F1710" s="20">
        <v>75</v>
      </c>
      <c r="G1710" t="s">
        <v>2345</v>
      </c>
      <c r="H1710">
        <v>1500</v>
      </c>
      <c r="I1710" s="16" t="str">
        <f t="shared" si="26"/>
        <v>Normal</v>
      </c>
      <c r="J1710">
        <v>5</v>
      </c>
    </row>
    <row r="1711" spans="1:10">
      <c r="A1711" t="s">
        <v>4074</v>
      </c>
      <c r="B1711" t="s">
        <v>1723</v>
      </c>
      <c r="C1711" t="s">
        <v>2259</v>
      </c>
      <c r="D1711" s="9">
        <v>45447</v>
      </c>
      <c r="E1711" t="s">
        <v>2324</v>
      </c>
      <c r="F1711" s="20">
        <v>25</v>
      </c>
      <c r="G1711" t="s">
        <v>2345</v>
      </c>
      <c r="H1711">
        <v>0</v>
      </c>
      <c r="I1711" s="16" t="str">
        <f t="shared" si="26"/>
        <v>Zero Amount</v>
      </c>
      <c r="J1711" t="s">
        <v>39</v>
      </c>
    </row>
    <row r="1712" spans="1:10">
      <c r="A1712" t="s">
        <v>4075</v>
      </c>
      <c r="B1712" t="s">
        <v>485</v>
      </c>
      <c r="C1712" t="s">
        <v>2202</v>
      </c>
      <c r="D1712" s="9">
        <v>45222</v>
      </c>
      <c r="E1712" t="s">
        <v>2330</v>
      </c>
      <c r="F1712" s="20">
        <v>100</v>
      </c>
      <c r="G1712" t="s">
        <v>2325</v>
      </c>
      <c r="H1712">
        <v>865.14</v>
      </c>
      <c r="I1712" s="16" t="str">
        <f t="shared" si="26"/>
        <v>Normal</v>
      </c>
      <c r="J1712">
        <v>4</v>
      </c>
    </row>
    <row r="1713" spans="1:10">
      <c r="A1713" t="s">
        <v>4076</v>
      </c>
      <c r="B1713" t="s">
        <v>1974</v>
      </c>
      <c r="C1713" t="s">
        <v>2205</v>
      </c>
      <c r="D1713" s="9">
        <v>45861</v>
      </c>
      <c r="E1713" t="s">
        <v>23</v>
      </c>
      <c r="G1713" t="s">
        <v>2331</v>
      </c>
      <c r="H1713">
        <v>952.9</v>
      </c>
      <c r="I1713" s="16" t="str">
        <f t="shared" si="26"/>
        <v>Normal</v>
      </c>
      <c r="J1713">
        <v>2</v>
      </c>
    </row>
    <row r="1714" spans="1:10">
      <c r="A1714" t="s">
        <v>4077</v>
      </c>
      <c r="B1714" t="s">
        <v>1315</v>
      </c>
      <c r="C1714" t="s">
        <v>2202</v>
      </c>
      <c r="D1714" s="9">
        <v>45870</v>
      </c>
      <c r="E1714" t="s">
        <v>2337</v>
      </c>
      <c r="F1714" s="20">
        <v>0</v>
      </c>
      <c r="G1714" t="s">
        <v>2331</v>
      </c>
      <c r="H1714">
        <v>999.99</v>
      </c>
      <c r="I1714" s="16" t="str">
        <f t="shared" si="26"/>
        <v>Normal</v>
      </c>
      <c r="J1714">
        <v>4</v>
      </c>
    </row>
    <row r="1715" spans="1:10">
      <c r="A1715" t="s">
        <v>4078</v>
      </c>
      <c r="B1715" t="s">
        <v>1981</v>
      </c>
      <c r="C1715" t="s">
        <v>2264</v>
      </c>
      <c r="D1715" s="9">
        <v>45945</v>
      </c>
      <c r="E1715" t="s">
        <v>2324</v>
      </c>
      <c r="F1715" s="20">
        <v>10</v>
      </c>
      <c r="G1715" t="s">
        <v>2339</v>
      </c>
      <c r="H1715">
        <v>2500</v>
      </c>
      <c r="I1715" s="16" t="str">
        <f t="shared" si="26"/>
        <v>Normal</v>
      </c>
      <c r="J1715">
        <v>2</v>
      </c>
    </row>
    <row r="1716" spans="1:10">
      <c r="A1716" t="s">
        <v>4079</v>
      </c>
      <c r="B1716" t="s">
        <v>1140</v>
      </c>
      <c r="C1716" t="s">
        <v>2213</v>
      </c>
      <c r="D1716" s="9">
        <v>45628</v>
      </c>
      <c r="E1716" t="s">
        <v>23</v>
      </c>
      <c r="G1716" t="s">
        <v>2331</v>
      </c>
      <c r="H1716">
        <v>1500</v>
      </c>
      <c r="I1716" s="16" t="str">
        <f t="shared" si="26"/>
        <v>Normal</v>
      </c>
      <c r="J1716">
        <v>1</v>
      </c>
    </row>
    <row r="1717" spans="1:10">
      <c r="A1717" t="s">
        <v>4080</v>
      </c>
      <c r="B1717" t="s">
        <v>1967</v>
      </c>
      <c r="C1717" t="s">
        <v>2237</v>
      </c>
      <c r="D1717" s="9">
        <v>45979</v>
      </c>
      <c r="E1717" t="s">
        <v>2337</v>
      </c>
      <c r="F1717" s="20">
        <v>20</v>
      </c>
      <c r="G1717" t="s">
        <v>2331</v>
      </c>
      <c r="H1717">
        <v>1295.8599999999999</v>
      </c>
      <c r="I1717" s="16" t="str">
        <f t="shared" si="26"/>
        <v>Normal</v>
      </c>
      <c r="J1717" t="s">
        <v>39</v>
      </c>
    </row>
    <row r="1718" spans="1:10">
      <c r="A1718" t="s">
        <v>4081</v>
      </c>
      <c r="B1718" t="s">
        <v>836</v>
      </c>
      <c r="C1718" t="s">
        <v>2257</v>
      </c>
      <c r="D1718" s="9">
        <v>45516</v>
      </c>
      <c r="E1718" t="s">
        <v>2337</v>
      </c>
      <c r="G1718" t="s">
        <v>2325</v>
      </c>
      <c r="I1718" s="16" t="str">
        <f t="shared" si="26"/>
        <v>Unknown</v>
      </c>
      <c r="J1718">
        <v>1</v>
      </c>
    </row>
    <row r="1719" spans="1:10">
      <c r="A1719" t="s">
        <v>4082</v>
      </c>
      <c r="B1719" t="s">
        <v>261</v>
      </c>
      <c r="C1719" t="s">
        <v>2257</v>
      </c>
      <c r="D1719" s="9">
        <v>45549</v>
      </c>
      <c r="E1719" t="s">
        <v>2324</v>
      </c>
      <c r="F1719" s="20">
        <v>60</v>
      </c>
      <c r="G1719" t="s">
        <v>2328</v>
      </c>
      <c r="I1719" s="16" t="str">
        <f t="shared" si="26"/>
        <v>Unknown</v>
      </c>
      <c r="J1719">
        <v>3</v>
      </c>
    </row>
    <row r="1720" spans="1:10">
      <c r="A1720" t="s">
        <v>4083</v>
      </c>
      <c r="B1720" t="s">
        <v>370</v>
      </c>
      <c r="C1720" t="s">
        <v>2228</v>
      </c>
      <c r="D1720" s="9">
        <v>45355</v>
      </c>
      <c r="E1720" t="s">
        <v>2330</v>
      </c>
      <c r="G1720" t="s">
        <v>2331</v>
      </c>
      <c r="H1720">
        <v>799</v>
      </c>
      <c r="I1720" s="16" t="str">
        <f t="shared" si="26"/>
        <v>Normal</v>
      </c>
      <c r="J1720">
        <v>5</v>
      </c>
    </row>
    <row r="1721" spans="1:10">
      <c r="A1721" t="s">
        <v>4084</v>
      </c>
      <c r="B1721" t="s">
        <v>4085</v>
      </c>
      <c r="C1721" t="s">
        <v>2269</v>
      </c>
      <c r="D1721" s="9">
        <v>45387</v>
      </c>
      <c r="E1721" t="s">
        <v>2337</v>
      </c>
      <c r="F1721" s="20">
        <v>5</v>
      </c>
      <c r="G1721" t="s">
        <v>2339</v>
      </c>
      <c r="H1721">
        <v>499</v>
      </c>
      <c r="I1721" s="16" t="str">
        <f t="shared" si="26"/>
        <v>Normal</v>
      </c>
      <c r="J1721">
        <v>4</v>
      </c>
    </row>
    <row r="1722" spans="1:10">
      <c r="A1722" t="s">
        <v>4086</v>
      </c>
      <c r="B1722" t="s">
        <v>1343</v>
      </c>
      <c r="C1722" t="s">
        <v>2228</v>
      </c>
      <c r="D1722" s="9">
        <v>45654</v>
      </c>
      <c r="E1722" t="s">
        <v>2324</v>
      </c>
      <c r="F1722" s="20">
        <v>55</v>
      </c>
      <c r="G1722" t="s">
        <v>2345</v>
      </c>
      <c r="H1722">
        <v>799</v>
      </c>
      <c r="I1722" s="16" t="str">
        <f t="shared" si="26"/>
        <v>Normal</v>
      </c>
      <c r="J1722">
        <v>2</v>
      </c>
    </row>
    <row r="1723" spans="1:10">
      <c r="A1723" t="s">
        <v>4087</v>
      </c>
      <c r="B1723" t="s">
        <v>531</v>
      </c>
      <c r="C1723" t="s">
        <v>2267</v>
      </c>
      <c r="D1723" s="9">
        <v>46073</v>
      </c>
      <c r="E1723" t="s">
        <v>2330</v>
      </c>
      <c r="F1723" s="20">
        <v>100</v>
      </c>
      <c r="G1723" t="s">
        <v>23</v>
      </c>
      <c r="H1723">
        <v>999.99</v>
      </c>
      <c r="I1723" s="16" t="str">
        <f t="shared" si="26"/>
        <v>Normal</v>
      </c>
      <c r="J1723">
        <v>5</v>
      </c>
    </row>
    <row r="1724" spans="1:10">
      <c r="A1724" t="s">
        <v>4088</v>
      </c>
      <c r="B1724" t="s">
        <v>4089</v>
      </c>
      <c r="C1724" t="s">
        <v>2269</v>
      </c>
      <c r="D1724" s="9">
        <v>45955</v>
      </c>
      <c r="E1724" t="s">
        <v>2337</v>
      </c>
      <c r="F1724" s="20">
        <v>20</v>
      </c>
      <c r="G1724" t="s">
        <v>2325</v>
      </c>
      <c r="H1724">
        <v>499</v>
      </c>
      <c r="I1724" s="16" t="str">
        <f t="shared" si="26"/>
        <v>Normal</v>
      </c>
      <c r="J1724">
        <v>4</v>
      </c>
    </row>
    <row r="1725" spans="1:10">
      <c r="A1725" t="s">
        <v>4090</v>
      </c>
      <c r="B1725" t="s">
        <v>1126</v>
      </c>
      <c r="C1725" t="s">
        <v>2209</v>
      </c>
      <c r="D1725" s="9">
        <v>45164</v>
      </c>
      <c r="E1725" t="s">
        <v>2324</v>
      </c>
      <c r="F1725" s="20">
        <v>55</v>
      </c>
      <c r="G1725" t="s">
        <v>2328</v>
      </c>
      <c r="H1725">
        <v>499</v>
      </c>
      <c r="I1725" s="16" t="str">
        <f t="shared" si="26"/>
        <v>Normal</v>
      </c>
      <c r="J1725">
        <v>2</v>
      </c>
    </row>
    <row r="1726" spans="1:10">
      <c r="A1726" t="s">
        <v>4091</v>
      </c>
      <c r="B1726" t="s">
        <v>320</v>
      </c>
      <c r="C1726" t="s">
        <v>2193</v>
      </c>
      <c r="D1726" s="9">
        <v>45943</v>
      </c>
      <c r="E1726" t="s">
        <v>23</v>
      </c>
      <c r="G1726" t="s">
        <v>2325</v>
      </c>
      <c r="H1726">
        <v>0</v>
      </c>
      <c r="I1726" s="16" t="str">
        <f t="shared" si="26"/>
        <v>Zero Amount</v>
      </c>
      <c r="J1726">
        <v>3</v>
      </c>
    </row>
    <row r="1727" spans="1:10">
      <c r="A1727" t="s">
        <v>4092</v>
      </c>
      <c r="B1727" t="s">
        <v>4085</v>
      </c>
      <c r="C1727" t="s">
        <v>2244</v>
      </c>
      <c r="D1727" s="9">
        <v>45384</v>
      </c>
      <c r="E1727" t="s">
        <v>2330</v>
      </c>
      <c r="G1727" t="s">
        <v>2345</v>
      </c>
      <c r="H1727">
        <v>1200</v>
      </c>
      <c r="I1727" s="16" t="str">
        <f t="shared" si="26"/>
        <v>Normal</v>
      </c>
      <c r="J1727">
        <v>4</v>
      </c>
    </row>
    <row r="1728" spans="1:10">
      <c r="A1728" t="s">
        <v>4093</v>
      </c>
      <c r="B1728" t="s">
        <v>1401</v>
      </c>
      <c r="C1728" t="s">
        <v>2202</v>
      </c>
      <c r="D1728" s="9">
        <v>45446</v>
      </c>
      <c r="E1728" t="s">
        <v>2330</v>
      </c>
      <c r="F1728" s="20">
        <v>100</v>
      </c>
      <c r="G1728" t="s">
        <v>2339</v>
      </c>
      <c r="H1728">
        <v>999.99</v>
      </c>
      <c r="I1728" s="16" t="str">
        <f t="shared" si="26"/>
        <v>Normal</v>
      </c>
      <c r="J1728">
        <v>5</v>
      </c>
    </row>
    <row r="1729" spans="1:10">
      <c r="A1729" t="s">
        <v>4094</v>
      </c>
      <c r="B1729" t="s">
        <v>1820</v>
      </c>
      <c r="C1729" t="s">
        <v>2213</v>
      </c>
      <c r="D1729" s="9">
        <v>45526</v>
      </c>
      <c r="E1729" t="s">
        <v>2330</v>
      </c>
      <c r="G1729" t="s">
        <v>2325</v>
      </c>
      <c r="H1729">
        <v>786.99</v>
      </c>
      <c r="I1729" s="16" t="str">
        <f t="shared" si="26"/>
        <v>Normal</v>
      </c>
      <c r="J1729" t="s">
        <v>39</v>
      </c>
    </row>
    <row r="1730" spans="1:10">
      <c r="A1730" t="s">
        <v>4095</v>
      </c>
      <c r="B1730" t="s">
        <v>1576</v>
      </c>
      <c r="C1730" t="s">
        <v>2205</v>
      </c>
      <c r="D1730" s="9">
        <v>45582</v>
      </c>
      <c r="E1730" t="s">
        <v>2324</v>
      </c>
      <c r="F1730" s="20">
        <v>40</v>
      </c>
      <c r="G1730" t="s">
        <v>23</v>
      </c>
      <c r="H1730">
        <v>1500</v>
      </c>
      <c r="I1730" s="16" t="str">
        <f t="shared" si="26"/>
        <v>Normal</v>
      </c>
      <c r="J1730">
        <v>2</v>
      </c>
    </row>
    <row r="1731" spans="1:10">
      <c r="A1731" t="s">
        <v>4096</v>
      </c>
      <c r="B1731" t="s">
        <v>462</v>
      </c>
      <c r="C1731" t="s">
        <v>2241</v>
      </c>
      <c r="D1731" s="9">
        <v>45534</v>
      </c>
      <c r="E1731" t="s">
        <v>2330</v>
      </c>
      <c r="F1731" s="20">
        <v>100</v>
      </c>
      <c r="G1731" t="s">
        <v>2325</v>
      </c>
      <c r="H1731">
        <v>2500</v>
      </c>
      <c r="I1731" s="16" t="str">
        <f t="shared" ref="I1731:I1794" si="27">IF(H1731="", "Unknown", IF(H1731=0, "Zero Amount", IF(H1731&lt;1, "Review", IF(H1731&gt;1, "Normal"))))</f>
        <v>Normal</v>
      </c>
      <c r="J1731">
        <v>4</v>
      </c>
    </row>
    <row r="1732" spans="1:10">
      <c r="A1732" t="s">
        <v>4097</v>
      </c>
      <c r="B1732" t="s">
        <v>121</v>
      </c>
      <c r="C1732" t="s">
        <v>2247</v>
      </c>
      <c r="D1732" s="9">
        <v>46097</v>
      </c>
      <c r="E1732" t="s">
        <v>2330</v>
      </c>
      <c r="F1732" s="20">
        <v>100</v>
      </c>
      <c r="G1732" t="s">
        <v>2345</v>
      </c>
      <c r="I1732" s="16" t="str">
        <f t="shared" si="27"/>
        <v>Unknown</v>
      </c>
      <c r="J1732">
        <v>4</v>
      </c>
    </row>
    <row r="1733" spans="1:10">
      <c r="A1733" t="s">
        <v>4098</v>
      </c>
      <c r="B1733" t="s">
        <v>34</v>
      </c>
      <c r="C1733" t="s">
        <v>2247</v>
      </c>
      <c r="D1733" s="9">
        <v>45392</v>
      </c>
      <c r="E1733" t="s">
        <v>2327</v>
      </c>
      <c r="G1733" t="s">
        <v>2345</v>
      </c>
      <c r="I1733" s="16" t="str">
        <f t="shared" si="27"/>
        <v>Unknown</v>
      </c>
      <c r="J1733">
        <v>5</v>
      </c>
    </row>
    <row r="1734" spans="1:10">
      <c r="A1734" t="s">
        <v>4099</v>
      </c>
      <c r="B1734" t="s">
        <v>1887</v>
      </c>
      <c r="C1734" t="s">
        <v>2235</v>
      </c>
      <c r="D1734" s="9">
        <v>45896</v>
      </c>
      <c r="E1734" t="s">
        <v>2324</v>
      </c>
      <c r="G1734" t="s">
        <v>2325</v>
      </c>
      <c r="H1734">
        <v>3000</v>
      </c>
      <c r="I1734" s="16" t="str">
        <f t="shared" si="27"/>
        <v>Normal</v>
      </c>
      <c r="J1734">
        <v>3</v>
      </c>
    </row>
    <row r="1735" spans="1:10">
      <c r="A1735" t="s">
        <v>4100</v>
      </c>
      <c r="B1735" t="s">
        <v>1242</v>
      </c>
      <c r="C1735" t="s">
        <v>2244</v>
      </c>
      <c r="D1735" s="9">
        <v>45470</v>
      </c>
      <c r="E1735" t="s">
        <v>23</v>
      </c>
      <c r="G1735" t="s">
        <v>2331</v>
      </c>
      <c r="H1735">
        <v>1070.28</v>
      </c>
      <c r="I1735" s="16" t="str">
        <f t="shared" si="27"/>
        <v>Normal</v>
      </c>
      <c r="J1735" t="s">
        <v>39</v>
      </c>
    </row>
    <row r="1736" spans="1:10">
      <c r="A1736" t="s">
        <v>4101</v>
      </c>
      <c r="B1736" t="s">
        <v>1689</v>
      </c>
      <c r="C1736" t="s">
        <v>2218</v>
      </c>
      <c r="D1736" s="9">
        <v>45995</v>
      </c>
      <c r="E1736" t="s">
        <v>2330</v>
      </c>
      <c r="F1736" s="20">
        <v>100</v>
      </c>
      <c r="G1736" t="s">
        <v>2331</v>
      </c>
      <c r="H1736">
        <v>1500</v>
      </c>
      <c r="I1736" s="16" t="str">
        <f t="shared" si="27"/>
        <v>Normal</v>
      </c>
      <c r="J1736">
        <v>4</v>
      </c>
    </row>
    <row r="1737" spans="1:10">
      <c r="A1737" t="s">
        <v>4102</v>
      </c>
      <c r="B1737" t="s">
        <v>426</v>
      </c>
      <c r="C1737" t="s">
        <v>2261</v>
      </c>
      <c r="D1737" s="9">
        <v>45436</v>
      </c>
      <c r="E1737" t="s">
        <v>2330</v>
      </c>
      <c r="G1737" t="s">
        <v>2325</v>
      </c>
      <c r="I1737" s="16" t="str">
        <f t="shared" si="27"/>
        <v>Unknown</v>
      </c>
      <c r="J1737" t="s">
        <v>39</v>
      </c>
    </row>
    <row r="1738" spans="1:10">
      <c r="A1738" t="s">
        <v>4103</v>
      </c>
      <c r="B1738" t="s">
        <v>729</v>
      </c>
      <c r="C1738" t="s">
        <v>2241</v>
      </c>
      <c r="D1738" s="9">
        <v>45547</v>
      </c>
      <c r="E1738" t="s">
        <v>2324</v>
      </c>
      <c r="F1738" s="20">
        <v>60</v>
      </c>
      <c r="G1738" t="s">
        <v>23</v>
      </c>
      <c r="H1738">
        <v>2500</v>
      </c>
      <c r="I1738" s="16" t="str">
        <f t="shared" si="27"/>
        <v>Normal</v>
      </c>
      <c r="J1738">
        <v>5</v>
      </c>
    </row>
    <row r="1739" spans="1:10">
      <c r="A1739" t="s">
        <v>4104</v>
      </c>
      <c r="B1739" t="s">
        <v>1650</v>
      </c>
      <c r="C1739" t="s">
        <v>2251</v>
      </c>
      <c r="D1739" s="9">
        <v>45725</v>
      </c>
      <c r="E1739" t="s">
        <v>2324</v>
      </c>
      <c r="F1739" s="20">
        <v>60</v>
      </c>
      <c r="G1739" t="s">
        <v>2325</v>
      </c>
      <c r="H1739">
        <v>1500</v>
      </c>
      <c r="I1739" s="16" t="str">
        <f t="shared" si="27"/>
        <v>Normal</v>
      </c>
      <c r="J1739">
        <v>1</v>
      </c>
    </row>
    <row r="1740" spans="1:10">
      <c r="A1740" t="s">
        <v>4105</v>
      </c>
      <c r="B1740" t="s">
        <v>1511</v>
      </c>
      <c r="C1740" t="s">
        <v>2222</v>
      </c>
      <c r="D1740" s="9">
        <v>45280</v>
      </c>
      <c r="E1740" t="s">
        <v>23</v>
      </c>
      <c r="G1740" t="s">
        <v>2331</v>
      </c>
      <c r="H1740">
        <v>0</v>
      </c>
      <c r="I1740" s="16" t="str">
        <f t="shared" si="27"/>
        <v>Zero Amount</v>
      </c>
      <c r="J1740" t="s">
        <v>39</v>
      </c>
    </row>
    <row r="1741" spans="1:10">
      <c r="A1741" t="s">
        <v>4106</v>
      </c>
      <c r="B1741" t="s">
        <v>894</v>
      </c>
      <c r="C1741" t="s">
        <v>2257</v>
      </c>
      <c r="D1741" s="9">
        <v>45323</v>
      </c>
      <c r="E1741" t="s">
        <v>2330</v>
      </c>
      <c r="F1741" s="20">
        <v>100</v>
      </c>
      <c r="G1741" t="s">
        <v>2331</v>
      </c>
      <c r="I1741" s="16" t="str">
        <f t="shared" si="27"/>
        <v>Unknown</v>
      </c>
      <c r="J1741">
        <v>4</v>
      </c>
    </row>
    <row r="1742" spans="1:10">
      <c r="A1742" t="s">
        <v>4107</v>
      </c>
      <c r="B1742" t="s">
        <v>745</v>
      </c>
      <c r="C1742" t="s">
        <v>2241</v>
      </c>
      <c r="D1742" s="9">
        <v>45783</v>
      </c>
      <c r="E1742" t="s">
        <v>2337</v>
      </c>
      <c r="F1742" s="20">
        <v>0</v>
      </c>
      <c r="G1742" t="s">
        <v>2328</v>
      </c>
      <c r="H1742">
        <v>2500</v>
      </c>
      <c r="I1742" s="16" t="str">
        <f t="shared" si="27"/>
        <v>Normal</v>
      </c>
      <c r="J1742" t="s">
        <v>39</v>
      </c>
    </row>
    <row r="1743" spans="1:10">
      <c r="A1743" t="s">
        <v>4108</v>
      </c>
      <c r="B1743" t="s">
        <v>527</v>
      </c>
      <c r="C1743" t="s">
        <v>2228</v>
      </c>
      <c r="D1743" s="9">
        <v>46136</v>
      </c>
      <c r="E1743" t="s">
        <v>2327</v>
      </c>
      <c r="F1743" s="20">
        <v>0</v>
      </c>
      <c r="G1743" t="s">
        <v>2339</v>
      </c>
      <c r="H1743">
        <v>799</v>
      </c>
      <c r="I1743" s="16" t="str">
        <f t="shared" si="27"/>
        <v>Normal</v>
      </c>
      <c r="J1743">
        <v>2</v>
      </c>
    </row>
    <row r="1744" spans="1:10">
      <c r="A1744" t="s">
        <v>4109</v>
      </c>
      <c r="B1744" t="s">
        <v>894</v>
      </c>
      <c r="C1744" t="s">
        <v>2271</v>
      </c>
      <c r="D1744" s="9">
        <v>45770</v>
      </c>
      <c r="E1744" t="s">
        <v>2330</v>
      </c>
      <c r="F1744" s="20">
        <v>100</v>
      </c>
      <c r="G1744" t="s">
        <v>2339</v>
      </c>
      <c r="H1744">
        <v>1200</v>
      </c>
      <c r="I1744" s="16" t="str">
        <f t="shared" si="27"/>
        <v>Normal</v>
      </c>
      <c r="J1744">
        <v>3</v>
      </c>
    </row>
    <row r="1745" spans="1:10">
      <c r="A1745" t="s">
        <v>4110</v>
      </c>
      <c r="B1745" t="s">
        <v>51</v>
      </c>
      <c r="C1745" t="s">
        <v>2218</v>
      </c>
      <c r="D1745" s="9">
        <v>45459</v>
      </c>
      <c r="E1745" t="s">
        <v>2324</v>
      </c>
      <c r="F1745" s="20">
        <v>10</v>
      </c>
      <c r="G1745" t="s">
        <v>23</v>
      </c>
      <c r="H1745">
        <v>1500</v>
      </c>
      <c r="I1745" s="16" t="str">
        <f t="shared" si="27"/>
        <v>Normal</v>
      </c>
      <c r="J1745" t="s">
        <v>39</v>
      </c>
    </row>
    <row r="1746" spans="1:10">
      <c r="A1746" t="s">
        <v>4111</v>
      </c>
      <c r="B1746" t="s">
        <v>34</v>
      </c>
      <c r="C1746" t="s">
        <v>2267</v>
      </c>
      <c r="D1746" s="9">
        <v>45761</v>
      </c>
      <c r="E1746" t="s">
        <v>2330</v>
      </c>
      <c r="G1746" t="s">
        <v>2339</v>
      </c>
      <c r="H1746">
        <v>999.99</v>
      </c>
      <c r="I1746" s="16" t="str">
        <f t="shared" si="27"/>
        <v>Normal</v>
      </c>
      <c r="J1746" t="s">
        <v>39</v>
      </c>
    </row>
    <row r="1747" spans="1:10">
      <c r="A1747" t="s">
        <v>4112</v>
      </c>
      <c r="B1747" t="s">
        <v>1034</v>
      </c>
      <c r="C1747" t="s">
        <v>2228</v>
      </c>
      <c r="D1747" s="9">
        <v>45119</v>
      </c>
      <c r="E1747" t="s">
        <v>2324</v>
      </c>
      <c r="F1747" s="20">
        <v>10</v>
      </c>
      <c r="G1747" t="s">
        <v>2345</v>
      </c>
      <c r="H1747">
        <v>799</v>
      </c>
      <c r="I1747" s="16" t="str">
        <f t="shared" si="27"/>
        <v>Normal</v>
      </c>
      <c r="J1747">
        <v>4</v>
      </c>
    </row>
    <row r="1748" spans="1:10">
      <c r="A1748" t="s">
        <v>4113</v>
      </c>
      <c r="B1748" t="s">
        <v>400</v>
      </c>
      <c r="C1748" t="s">
        <v>2251</v>
      </c>
      <c r="D1748" s="9">
        <v>45889</v>
      </c>
      <c r="E1748" t="s">
        <v>2327</v>
      </c>
      <c r="F1748" s="20">
        <v>15</v>
      </c>
      <c r="G1748" t="s">
        <v>2345</v>
      </c>
      <c r="H1748">
        <v>1500</v>
      </c>
      <c r="I1748" s="16" t="str">
        <f t="shared" si="27"/>
        <v>Normal</v>
      </c>
      <c r="J1748">
        <v>5</v>
      </c>
    </row>
    <row r="1749" spans="1:10">
      <c r="A1749" t="s">
        <v>4114</v>
      </c>
      <c r="B1749" t="s">
        <v>1763</v>
      </c>
      <c r="C1749" t="s">
        <v>2259</v>
      </c>
      <c r="D1749" s="9">
        <v>45977</v>
      </c>
      <c r="E1749" t="s">
        <v>23</v>
      </c>
      <c r="G1749" t="s">
        <v>2345</v>
      </c>
      <c r="H1749">
        <v>0</v>
      </c>
      <c r="I1749" s="16" t="str">
        <f t="shared" si="27"/>
        <v>Zero Amount</v>
      </c>
      <c r="J1749" t="s">
        <v>39</v>
      </c>
    </row>
    <row r="1750" spans="1:10">
      <c r="A1750" t="s">
        <v>4115</v>
      </c>
      <c r="B1750" t="s">
        <v>2119</v>
      </c>
      <c r="C1750" t="s">
        <v>2233</v>
      </c>
      <c r="D1750" s="9">
        <v>45196</v>
      </c>
      <c r="E1750" t="s">
        <v>2327</v>
      </c>
      <c r="F1750" s="20">
        <v>5</v>
      </c>
      <c r="G1750" t="s">
        <v>23</v>
      </c>
      <c r="H1750">
        <v>2500</v>
      </c>
      <c r="I1750" s="16" t="str">
        <f t="shared" si="27"/>
        <v>Normal</v>
      </c>
      <c r="J1750">
        <v>3</v>
      </c>
    </row>
    <row r="1751" spans="1:10">
      <c r="A1751" t="s">
        <v>4116</v>
      </c>
      <c r="B1751" t="s">
        <v>1137</v>
      </c>
      <c r="C1751" t="s">
        <v>2264</v>
      </c>
      <c r="D1751" s="9">
        <v>45870</v>
      </c>
      <c r="E1751" t="s">
        <v>2327</v>
      </c>
      <c r="F1751" s="20">
        <v>15</v>
      </c>
      <c r="G1751" t="s">
        <v>2325</v>
      </c>
      <c r="H1751">
        <v>2500</v>
      </c>
      <c r="I1751" s="16" t="str">
        <f t="shared" si="27"/>
        <v>Normal</v>
      </c>
      <c r="J1751" t="s">
        <v>39</v>
      </c>
    </row>
    <row r="1752" spans="1:10">
      <c r="A1752" t="s">
        <v>4117</v>
      </c>
      <c r="B1752" t="s">
        <v>675</v>
      </c>
      <c r="C1752" t="s">
        <v>2233</v>
      </c>
      <c r="D1752" s="9">
        <v>46097</v>
      </c>
      <c r="E1752" t="s">
        <v>2324</v>
      </c>
      <c r="F1752" s="20">
        <v>60</v>
      </c>
      <c r="G1752" t="s">
        <v>2325</v>
      </c>
      <c r="H1752">
        <v>2500</v>
      </c>
      <c r="I1752" s="16" t="str">
        <f t="shared" si="27"/>
        <v>Normal</v>
      </c>
      <c r="J1752">
        <v>4</v>
      </c>
    </row>
    <row r="1753" spans="1:10">
      <c r="A1753" t="s">
        <v>4118</v>
      </c>
      <c r="B1753" t="s">
        <v>1158</v>
      </c>
      <c r="C1753" t="s">
        <v>2231</v>
      </c>
      <c r="D1753" s="9">
        <v>45938</v>
      </c>
      <c r="E1753" t="s">
        <v>2337</v>
      </c>
      <c r="F1753" s="20">
        <v>0</v>
      </c>
      <c r="G1753" t="s">
        <v>23</v>
      </c>
      <c r="H1753">
        <v>3000</v>
      </c>
      <c r="I1753" s="16" t="str">
        <f t="shared" si="27"/>
        <v>Normal</v>
      </c>
      <c r="J1753">
        <v>4</v>
      </c>
    </row>
    <row r="1754" spans="1:10">
      <c r="A1754" t="s">
        <v>4119</v>
      </c>
      <c r="B1754" t="s">
        <v>75</v>
      </c>
      <c r="C1754" t="s">
        <v>2205</v>
      </c>
      <c r="D1754" s="9">
        <v>45703</v>
      </c>
      <c r="E1754" t="s">
        <v>2337</v>
      </c>
      <c r="F1754" s="20">
        <v>20</v>
      </c>
      <c r="G1754" t="s">
        <v>2339</v>
      </c>
      <c r="H1754">
        <v>1120.44</v>
      </c>
      <c r="I1754" s="16" t="str">
        <f t="shared" si="27"/>
        <v>Normal</v>
      </c>
      <c r="J1754" t="s">
        <v>39</v>
      </c>
    </row>
    <row r="1755" spans="1:10">
      <c r="A1755" t="s">
        <v>4120</v>
      </c>
      <c r="B1755" t="s">
        <v>174</v>
      </c>
      <c r="C1755" t="s">
        <v>2193</v>
      </c>
      <c r="D1755" s="9">
        <v>45815</v>
      </c>
      <c r="E1755" t="s">
        <v>2324</v>
      </c>
      <c r="G1755" t="s">
        <v>2328</v>
      </c>
      <c r="H1755">
        <v>0</v>
      </c>
      <c r="I1755" s="16" t="str">
        <f t="shared" si="27"/>
        <v>Zero Amount</v>
      </c>
      <c r="J1755">
        <v>1</v>
      </c>
    </row>
    <row r="1756" spans="1:10">
      <c r="A1756" t="s">
        <v>4121</v>
      </c>
      <c r="B1756" t="s">
        <v>535</v>
      </c>
      <c r="C1756" t="s">
        <v>2198</v>
      </c>
      <c r="D1756" s="9">
        <v>45666</v>
      </c>
      <c r="E1756" t="s">
        <v>2324</v>
      </c>
      <c r="F1756" s="20">
        <v>25</v>
      </c>
      <c r="G1756" t="s">
        <v>2345</v>
      </c>
      <c r="I1756" s="16" t="str">
        <f t="shared" si="27"/>
        <v>Unknown</v>
      </c>
      <c r="J1756">
        <v>4</v>
      </c>
    </row>
    <row r="1757" spans="1:10">
      <c r="A1757" t="s">
        <v>4122</v>
      </c>
      <c r="B1757" t="s">
        <v>67</v>
      </c>
      <c r="C1757" t="s">
        <v>2225</v>
      </c>
      <c r="D1757" s="9">
        <v>45494</v>
      </c>
      <c r="E1757" t="s">
        <v>23</v>
      </c>
      <c r="G1757" t="s">
        <v>2345</v>
      </c>
      <c r="I1757" s="16" t="str">
        <f t="shared" si="27"/>
        <v>Unknown</v>
      </c>
      <c r="J1757">
        <v>4</v>
      </c>
    </row>
    <row r="1758" spans="1:10">
      <c r="A1758" t="s">
        <v>4123</v>
      </c>
      <c r="B1758" t="s">
        <v>390</v>
      </c>
      <c r="C1758" t="s">
        <v>2237</v>
      </c>
      <c r="D1758" s="9">
        <v>45315</v>
      </c>
      <c r="E1758" t="s">
        <v>2327</v>
      </c>
      <c r="F1758" s="20">
        <v>15</v>
      </c>
      <c r="G1758" t="s">
        <v>2345</v>
      </c>
      <c r="H1758">
        <v>-1500</v>
      </c>
      <c r="I1758" s="16" t="str">
        <f t="shared" si="27"/>
        <v>Review</v>
      </c>
      <c r="J1758">
        <v>4</v>
      </c>
    </row>
    <row r="1759" spans="1:10">
      <c r="A1759" t="s">
        <v>4124</v>
      </c>
      <c r="B1759" t="s">
        <v>1713</v>
      </c>
      <c r="C1759" t="s">
        <v>2213</v>
      </c>
      <c r="D1759" s="9">
        <v>45270</v>
      </c>
      <c r="E1759" t="s">
        <v>23</v>
      </c>
      <c r="G1759" t="s">
        <v>2345</v>
      </c>
      <c r="H1759">
        <v>1500</v>
      </c>
      <c r="I1759" s="16" t="str">
        <f t="shared" si="27"/>
        <v>Normal</v>
      </c>
      <c r="J1759" t="s">
        <v>39</v>
      </c>
    </row>
    <row r="1760" spans="1:10">
      <c r="A1760" t="s">
        <v>4125</v>
      </c>
      <c r="B1760" t="s">
        <v>1683</v>
      </c>
      <c r="C1760" t="s">
        <v>2209</v>
      </c>
      <c r="D1760" s="9">
        <v>45685</v>
      </c>
      <c r="E1760" t="s">
        <v>2324</v>
      </c>
      <c r="F1760" s="20">
        <v>10</v>
      </c>
      <c r="G1760" t="s">
        <v>2328</v>
      </c>
      <c r="H1760">
        <v>499</v>
      </c>
      <c r="I1760" s="16" t="str">
        <f t="shared" si="27"/>
        <v>Normal</v>
      </c>
      <c r="J1760">
        <v>1</v>
      </c>
    </row>
    <row r="1761" spans="1:10">
      <c r="A1761" t="s">
        <v>4126</v>
      </c>
      <c r="B1761" t="s">
        <v>2091</v>
      </c>
      <c r="C1761" t="s">
        <v>2193</v>
      </c>
      <c r="D1761" s="9">
        <v>46040</v>
      </c>
      <c r="E1761" t="s">
        <v>23</v>
      </c>
      <c r="G1761" t="s">
        <v>23</v>
      </c>
      <c r="H1761">
        <v>0</v>
      </c>
      <c r="I1761" s="16" t="str">
        <f t="shared" si="27"/>
        <v>Zero Amount</v>
      </c>
      <c r="J1761" t="s">
        <v>39</v>
      </c>
    </row>
    <row r="1762" spans="1:10">
      <c r="A1762" t="s">
        <v>4127</v>
      </c>
      <c r="B1762" t="s">
        <v>558</v>
      </c>
      <c r="C1762" t="s">
        <v>2209</v>
      </c>
      <c r="D1762" s="9">
        <v>45349</v>
      </c>
      <c r="E1762" t="s">
        <v>2330</v>
      </c>
      <c r="F1762" s="20">
        <v>100</v>
      </c>
      <c r="G1762" t="s">
        <v>2345</v>
      </c>
      <c r="H1762">
        <v>499</v>
      </c>
      <c r="I1762" s="16" t="str">
        <f t="shared" si="27"/>
        <v>Normal</v>
      </c>
      <c r="J1762">
        <v>2</v>
      </c>
    </row>
    <row r="1763" spans="1:10">
      <c r="A1763" t="s">
        <v>4128</v>
      </c>
      <c r="B1763" t="s">
        <v>1520</v>
      </c>
      <c r="C1763" t="s">
        <v>2264</v>
      </c>
      <c r="D1763" s="9">
        <v>45976</v>
      </c>
      <c r="E1763" t="s">
        <v>23</v>
      </c>
      <c r="G1763" t="s">
        <v>2331</v>
      </c>
      <c r="I1763" s="16" t="str">
        <f t="shared" si="27"/>
        <v>Unknown</v>
      </c>
      <c r="J1763" t="s">
        <v>39</v>
      </c>
    </row>
    <row r="1764" spans="1:10">
      <c r="A1764" t="s">
        <v>4129</v>
      </c>
      <c r="B1764" t="s">
        <v>1759</v>
      </c>
      <c r="C1764" t="s">
        <v>2267</v>
      </c>
      <c r="D1764" s="9">
        <v>46096</v>
      </c>
      <c r="E1764" t="s">
        <v>23</v>
      </c>
      <c r="G1764" t="s">
        <v>2328</v>
      </c>
      <c r="H1764">
        <v>999.99</v>
      </c>
      <c r="I1764" s="16" t="str">
        <f t="shared" si="27"/>
        <v>Normal</v>
      </c>
      <c r="J1764">
        <v>2</v>
      </c>
    </row>
    <row r="1765" spans="1:10">
      <c r="A1765" t="s">
        <v>4130</v>
      </c>
      <c r="B1765" t="s">
        <v>242</v>
      </c>
      <c r="C1765" t="s">
        <v>2205</v>
      </c>
      <c r="D1765" s="9">
        <v>45461</v>
      </c>
      <c r="E1765" t="s">
        <v>2330</v>
      </c>
      <c r="G1765" t="s">
        <v>2339</v>
      </c>
      <c r="H1765">
        <v>1500</v>
      </c>
      <c r="I1765" s="16" t="str">
        <f t="shared" si="27"/>
        <v>Normal</v>
      </c>
      <c r="J1765">
        <v>2</v>
      </c>
    </row>
    <row r="1766" spans="1:10">
      <c r="A1766" t="s">
        <v>4131</v>
      </c>
      <c r="B1766" t="s">
        <v>4132</v>
      </c>
      <c r="C1766" t="s">
        <v>2228</v>
      </c>
      <c r="D1766" s="9">
        <v>45334</v>
      </c>
      <c r="E1766" t="s">
        <v>2324</v>
      </c>
      <c r="F1766" s="20">
        <v>75</v>
      </c>
      <c r="G1766" t="s">
        <v>2331</v>
      </c>
      <c r="H1766">
        <v>799</v>
      </c>
      <c r="I1766" s="16" t="str">
        <f t="shared" si="27"/>
        <v>Normal</v>
      </c>
      <c r="J1766">
        <v>4</v>
      </c>
    </row>
    <row r="1767" spans="1:10">
      <c r="A1767" t="s">
        <v>4133</v>
      </c>
      <c r="B1767" t="s">
        <v>704</v>
      </c>
      <c r="C1767" t="s">
        <v>2213</v>
      </c>
      <c r="D1767" s="9">
        <v>45901</v>
      </c>
      <c r="E1767" t="s">
        <v>2330</v>
      </c>
      <c r="G1767" t="s">
        <v>2345</v>
      </c>
      <c r="H1767">
        <v>1500</v>
      </c>
      <c r="I1767" s="16" t="str">
        <f t="shared" si="27"/>
        <v>Normal</v>
      </c>
      <c r="J1767" t="s">
        <v>39</v>
      </c>
    </row>
    <row r="1768" spans="1:10">
      <c r="A1768" t="s">
        <v>4134</v>
      </c>
      <c r="B1768" t="s">
        <v>2151</v>
      </c>
      <c r="C1768" t="s">
        <v>2218</v>
      </c>
      <c r="D1768" s="9">
        <v>46128</v>
      </c>
      <c r="E1768" t="s">
        <v>23</v>
      </c>
      <c r="G1768" t="s">
        <v>2328</v>
      </c>
      <c r="H1768">
        <v>1500</v>
      </c>
      <c r="I1768" s="16" t="str">
        <f t="shared" si="27"/>
        <v>Normal</v>
      </c>
      <c r="J1768">
        <v>5</v>
      </c>
    </row>
    <row r="1769" spans="1:10">
      <c r="A1769" t="s">
        <v>4135</v>
      </c>
      <c r="B1769" t="s">
        <v>125</v>
      </c>
      <c r="C1769" t="s">
        <v>2213</v>
      </c>
      <c r="D1769" s="9">
        <v>45137</v>
      </c>
      <c r="E1769" t="s">
        <v>2327</v>
      </c>
      <c r="F1769" s="20">
        <v>20</v>
      </c>
      <c r="G1769" t="s">
        <v>2325</v>
      </c>
      <c r="H1769">
        <v>1500</v>
      </c>
      <c r="I1769" s="16" t="str">
        <f t="shared" si="27"/>
        <v>Normal</v>
      </c>
      <c r="J1769">
        <v>3</v>
      </c>
    </row>
    <row r="1770" spans="1:10">
      <c r="A1770" t="s">
        <v>4136</v>
      </c>
      <c r="B1770" t="s">
        <v>516</v>
      </c>
      <c r="C1770" t="s">
        <v>2237</v>
      </c>
      <c r="D1770" s="9">
        <v>45267</v>
      </c>
      <c r="E1770" t="s">
        <v>2324</v>
      </c>
      <c r="F1770" s="20">
        <v>75</v>
      </c>
      <c r="G1770" t="s">
        <v>2345</v>
      </c>
      <c r="H1770">
        <v>1500</v>
      </c>
      <c r="I1770" s="16" t="str">
        <f t="shared" si="27"/>
        <v>Normal</v>
      </c>
      <c r="J1770">
        <v>5</v>
      </c>
    </row>
    <row r="1771" spans="1:10">
      <c r="A1771" t="s">
        <v>4137</v>
      </c>
      <c r="B1771" t="s">
        <v>2061</v>
      </c>
      <c r="C1771" t="s">
        <v>2187</v>
      </c>
      <c r="D1771" s="9">
        <v>46128</v>
      </c>
      <c r="E1771" t="s">
        <v>2327</v>
      </c>
      <c r="F1771" s="20">
        <v>15</v>
      </c>
      <c r="G1771" t="s">
        <v>2331</v>
      </c>
      <c r="H1771">
        <v>799</v>
      </c>
      <c r="I1771" s="16" t="str">
        <f t="shared" si="27"/>
        <v>Normal</v>
      </c>
      <c r="J1771">
        <v>3</v>
      </c>
    </row>
    <row r="1772" spans="1:10">
      <c r="A1772" t="s">
        <v>4138</v>
      </c>
      <c r="B1772" t="s">
        <v>2155</v>
      </c>
      <c r="C1772" t="s">
        <v>2244</v>
      </c>
      <c r="D1772" s="9">
        <v>45240</v>
      </c>
      <c r="E1772" t="s">
        <v>2324</v>
      </c>
      <c r="F1772" s="20">
        <v>55</v>
      </c>
      <c r="G1772" t="s">
        <v>2331</v>
      </c>
      <c r="H1772">
        <v>1200</v>
      </c>
      <c r="I1772" s="16" t="str">
        <f t="shared" si="27"/>
        <v>Normal</v>
      </c>
      <c r="J1772" t="s">
        <v>39</v>
      </c>
    </row>
    <row r="1773" spans="1:10">
      <c r="A1773" t="s">
        <v>4139</v>
      </c>
      <c r="B1773" t="s">
        <v>2119</v>
      </c>
      <c r="C1773" t="s">
        <v>2253</v>
      </c>
      <c r="D1773" s="9">
        <v>45534</v>
      </c>
      <c r="E1773" t="s">
        <v>2324</v>
      </c>
      <c r="F1773" s="20">
        <v>60</v>
      </c>
      <c r="G1773" t="s">
        <v>2331</v>
      </c>
      <c r="H1773">
        <v>1200</v>
      </c>
      <c r="I1773" s="16" t="str">
        <f t="shared" si="27"/>
        <v>Normal</v>
      </c>
      <c r="J1773">
        <v>4</v>
      </c>
    </row>
    <row r="1774" spans="1:10">
      <c r="A1774" t="s">
        <v>4140</v>
      </c>
      <c r="B1774" t="s">
        <v>668</v>
      </c>
      <c r="C1774" t="s">
        <v>2264</v>
      </c>
      <c r="D1774" s="9">
        <v>45363</v>
      </c>
      <c r="E1774" t="s">
        <v>2337</v>
      </c>
      <c r="F1774" s="20">
        <v>15</v>
      </c>
      <c r="G1774" t="s">
        <v>2328</v>
      </c>
      <c r="H1774">
        <v>1420.53</v>
      </c>
      <c r="I1774" s="16" t="str">
        <f t="shared" si="27"/>
        <v>Normal</v>
      </c>
      <c r="J1774">
        <v>4</v>
      </c>
    </row>
    <row r="1775" spans="1:10">
      <c r="A1775" t="s">
        <v>4141</v>
      </c>
      <c r="B1775" t="s">
        <v>976</v>
      </c>
      <c r="C1775" t="s">
        <v>2237</v>
      </c>
      <c r="D1775" s="9">
        <v>45270</v>
      </c>
      <c r="E1775" t="s">
        <v>2337</v>
      </c>
      <c r="G1775" t="s">
        <v>23</v>
      </c>
      <c r="H1775">
        <v>1500</v>
      </c>
      <c r="I1775" s="16" t="str">
        <f t="shared" si="27"/>
        <v>Normal</v>
      </c>
      <c r="J1775">
        <v>4</v>
      </c>
    </row>
    <row r="1776" spans="1:10">
      <c r="A1776" t="s">
        <v>4142</v>
      </c>
      <c r="B1776" t="s">
        <v>1422</v>
      </c>
      <c r="C1776" t="s">
        <v>2193</v>
      </c>
      <c r="D1776" s="9">
        <v>45428</v>
      </c>
      <c r="E1776" t="s">
        <v>2330</v>
      </c>
      <c r="G1776" t="s">
        <v>2345</v>
      </c>
      <c r="H1776">
        <v>0</v>
      </c>
      <c r="I1776" s="16" t="str">
        <f t="shared" si="27"/>
        <v>Zero Amount</v>
      </c>
      <c r="J1776">
        <v>2</v>
      </c>
    </row>
    <row r="1777" spans="1:10">
      <c r="A1777" t="s">
        <v>4143</v>
      </c>
      <c r="B1777" t="s">
        <v>1894</v>
      </c>
      <c r="C1777" t="s">
        <v>2259</v>
      </c>
      <c r="D1777" s="9">
        <v>45350</v>
      </c>
      <c r="E1777" t="s">
        <v>23</v>
      </c>
      <c r="G1777" t="s">
        <v>2331</v>
      </c>
      <c r="H1777">
        <v>0</v>
      </c>
      <c r="I1777" s="16" t="str">
        <f t="shared" si="27"/>
        <v>Zero Amount</v>
      </c>
      <c r="J1777">
        <v>5</v>
      </c>
    </row>
    <row r="1778" spans="1:10">
      <c r="A1778" t="s">
        <v>4144</v>
      </c>
      <c r="B1778" t="s">
        <v>2111</v>
      </c>
      <c r="C1778" t="s">
        <v>2193</v>
      </c>
      <c r="D1778" s="9">
        <v>45944</v>
      </c>
      <c r="E1778" t="s">
        <v>2330</v>
      </c>
      <c r="G1778" t="s">
        <v>2339</v>
      </c>
      <c r="H1778">
        <v>0</v>
      </c>
      <c r="I1778" s="16" t="str">
        <f t="shared" si="27"/>
        <v>Zero Amount</v>
      </c>
      <c r="J1778">
        <v>4</v>
      </c>
    </row>
    <row r="1779" spans="1:10">
      <c r="A1779" t="s">
        <v>4145</v>
      </c>
      <c r="B1779" t="s">
        <v>354</v>
      </c>
      <c r="C1779" t="s">
        <v>2233</v>
      </c>
      <c r="D1779" s="9">
        <v>45369</v>
      </c>
      <c r="E1779" t="s">
        <v>2330</v>
      </c>
      <c r="F1779" s="20">
        <v>100</v>
      </c>
      <c r="G1779" t="s">
        <v>2325</v>
      </c>
      <c r="H1779">
        <v>2500</v>
      </c>
      <c r="I1779" s="16" t="str">
        <f t="shared" si="27"/>
        <v>Normal</v>
      </c>
      <c r="J1779" t="s">
        <v>39</v>
      </c>
    </row>
    <row r="1780" spans="1:10">
      <c r="A1780" t="s">
        <v>4146</v>
      </c>
      <c r="B1780" t="s">
        <v>1468</v>
      </c>
      <c r="C1780" t="s">
        <v>2249</v>
      </c>
      <c r="D1780" s="9">
        <v>45396</v>
      </c>
      <c r="E1780" t="s">
        <v>2327</v>
      </c>
      <c r="F1780" s="20">
        <v>5</v>
      </c>
      <c r="G1780" t="s">
        <v>2345</v>
      </c>
      <c r="H1780">
        <v>1500</v>
      </c>
      <c r="I1780" s="16" t="str">
        <f t="shared" si="27"/>
        <v>Normal</v>
      </c>
      <c r="J1780">
        <v>3</v>
      </c>
    </row>
    <row r="1781" spans="1:10">
      <c r="A1781" t="s">
        <v>4147</v>
      </c>
      <c r="B1781" t="s">
        <v>2003</v>
      </c>
      <c r="C1781" t="s">
        <v>2218</v>
      </c>
      <c r="D1781" s="9">
        <v>45233</v>
      </c>
      <c r="E1781" t="s">
        <v>2337</v>
      </c>
      <c r="F1781" s="20">
        <v>15</v>
      </c>
      <c r="G1781" t="s">
        <v>2345</v>
      </c>
      <c r="H1781">
        <v>1500</v>
      </c>
      <c r="I1781" s="16" t="str">
        <f t="shared" si="27"/>
        <v>Normal</v>
      </c>
      <c r="J1781">
        <v>5</v>
      </c>
    </row>
    <row r="1782" spans="1:10">
      <c r="A1782" t="s">
        <v>4148</v>
      </c>
      <c r="B1782" t="s">
        <v>1870</v>
      </c>
      <c r="C1782" t="s">
        <v>2209</v>
      </c>
      <c r="D1782" s="9">
        <v>45957</v>
      </c>
      <c r="E1782" t="s">
        <v>2330</v>
      </c>
      <c r="F1782" s="20">
        <v>100</v>
      </c>
      <c r="G1782" t="s">
        <v>2328</v>
      </c>
      <c r="H1782">
        <v>499</v>
      </c>
      <c r="I1782" s="16" t="str">
        <f t="shared" si="27"/>
        <v>Normal</v>
      </c>
      <c r="J1782">
        <v>4</v>
      </c>
    </row>
    <row r="1783" spans="1:10">
      <c r="A1783" t="s">
        <v>4149</v>
      </c>
      <c r="B1783" t="s">
        <v>1207</v>
      </c>
      <c r="C1783" t="s">
        <v>2218</v>
      </c>
      <c r="D1783" s="9">
        <v>45875</v>
      </c>
      <c r="E1783" t="s">
        <v>2327</v>
      </c>
      <c r="F1783" s="20">
        <v>5</v>
      </c>
      <c r="G1783" t="s">
        <v>2339</v>
      </c>
      <c r="H1783">
        <v>1500</v>
      </c>
      <c r="I1783" s="16" t="str">
        <f t="shared" si="27"/>
        <v>Normal</v>
      </c>
      <c r="J1783" t="s">
        <v>39</v>
      </c>
    </row>
    <row r="1784" spans="1:10">
      <c r="A1784" t="s">
        <v>4150</v>
      </c>
      <c r="B1784" t="s">
        <v>769</v>
      </c>
      <c r="C1784" t="s">
        <v>2259</v>
      </c>
      <c r="D1784" s="9">
        <v>45241</v>
      </c>
      <c r="E1784" t="s">
        <v>23</v>
      </c>
      <c r="G1784" t="s">
        <v>2331</v>
      </c>
      <c r="H1784">
        <v>0</v>
      </c>
      <c r="I1784" s="16" t="str">
        <f t="shared" si="27"/>
        <v>Zero Amount</v>
      </c>
      <c r="J1784" t="s">
        <v>39</v>
      </c>
    </row>
    <row r="1785" spans="1:10">
      <c r="A1785" t="s">
        <v>4151</v>
      </c>
      <c r="B1785" t="s">
        <v>1242</v>
      </c>
      <c r="C1785" t="s">
        <v>2187</v>
      </c>
      <c r="D1785" s="9">
        <v>45909</v>
      </c>
      <c r="E1785" t="s">
        <v>2330</v>
      </c>
      <c r="F1785" s="20">
        <v>100</v>
      </c>
      <c r="G1785" t="s">
        <v>2345</v>
      </c>
      <c r="H1785">
        <v>799</v>
      </c>
      <c r="I1785" s="16" t="str">
        <f t="shared" si="27"/>
        <v>Normal</v>
      </c>
      <c r="J1785" t="s">
        <v>39</v>
      </c>
    </row>
    <row r="1786" spans="1:10">
      <c r="A1786" t="s">
        <v>4152</v>
      </c>
      <c r="B1786" t="s">
        <v>2030</v>
      </c>
      <c r="C1786" t="s">
        <v>2241</v>
      </c>
      <c r="D1786" s="9">
        <v>45600</v>
      </c>
      <c r="E1786" t="s">
        <v>2330</v>
      </c>
      <c r="F1786" s="20">
        <v>100</v>
      </c>
      <c r="G1786" t="s">
        <v>2328</v>
      </c>
      <c r="H1786">
        <v>1820.35</v>
      </c>
      <c r="I1786" s="16" t="str">
        <f t="shared" si="27"/>
        <v>Normal</v>
      </c>
      <c r="J1786">
        <v>2</v>
      </c>
    </row>
    <row r="1787" spans="1:10">
      <c r="A1787" t="s">
        <v>4153</v>
      </c>
      <c r="B1787" t="s">
        <v>4154</v>
      </c>
      <c r="C1787" t="s">
        <v>2216</v>
      </c>
      <c r="D1787" s="9">
        <v>45191</v>
      </c>
      <c r="E1787" t="s">
        <v>2324</v>
      </c>
      <c r="F1787" s="20">
        <v>60</v>
      </c>
      <c r="G1787" t="s">
        <v>2331</v>
      </c>
      <c r="H1787">
        <v>1200</v>
      </c>
      <c r="I1787" s="16" t="str">
        <f t="shared" si="27"/>
        <v>Normal</v>
      </c>
      <c r="J1787" t="s">
        <v>39</v>
      </c>
    </row>
    <row r="1788" spans="1:10">
      <c r="A1788" t="s">
        <v>4155</v>
      </c>
      <c r="B1788" t="s">
        <v>485</v>
      </c>
      <c r="C1788" t="s">
        <v>2218</v>
      </c>
      <c r="D1788" s="9">
        <v>45178</v>
      </c>
      <c r="E1788" t="s">
        <v>2337</v>
      </c>
      <c r="F1788" s="20">
        <v>0</v>
      </c>
      <c r="G1788" t="s">
        <v>2331</v>
      </c>
      <c r="H1788">
        <v>1500</v>
      </c>
      <c r="I1788" s="16" t="str">
        <f t="shared" si="27"/>
        <v>Normal</v>
      </c>
      <c r="J1788" t="s">
        <v>39</v>
      </c>
    </row>
    <row r="1789" spans="1:10">
      <c r="A1789" t="s">
        <v>4156</v>
      </c>
      <c r="B1789" t="s">
        <v>1438</v>
      </c>
      <c r="C1789" t="s">
        <v>2247</v>
      </c>
      <c r="D1789" s="9">
        <v>45889</v>
      </c>
      <c r="E1789" t="s">
        <v>2327</v>
      </c>
      <c r="F1789" s="20">
        <v>5</v>
      </c>
      <c r="G1789" t="s">
        <v>2325</v>
      </c>
      <c r="I1789" s="16" t="str">
        <f t="shared" si="27"/>
        <v>Unknown</v>
      </c>
      <c r="J1789" t="s">
        <v>39</v>
      </c>
    </row>
    <row r="1790" spans="1:10">
      <c r="A1790" t="s">
        <v>4157</v>
      </c>
      <c r="B1790" t="s">
        <v>1700</v>
      </c>
      <c r="C1790" t="s">
        <v>2259</v>
      </c>
      <c r="D1790" s="9">
        <v>45933</v>
      </c>
      <c r="E1790" t="s">
        <v>23</v>
      </c>
      <c r="G1790" t="s">
        <v>2345</v>
      </c>
      <c r="H1790">
        <v>0</v>
      </c>
      <c r="I1790" s="16" t="str">
        <f t="shared" si="27"/>
        <v>Zero Amount</v>
      </c>
      <c r="J1790">
        <v>4</v>
      </c>
    </row>
    <row r="1791" spans="1:10">
      <c r="A1791" t="s">
        <v>4158</v>
      </c>
      <c r="B1791" t="s">
        <v>2006</v>
      </c>
      <c r="C1791" t="s">
        <v>2264</v>
      </c>
      <c r="D1791" s="9">
        <v>45553</v>
      </c>
      <c r="E1791" t="s">
        <v>2324</v>
      </c>
      <c r="F1791" s="20">
        <v>40</v>
      </c>
      <c r="G1791" t="s">
        <v>2331</v>
      </c>
      <c r="H1791">
        <v>2500</v>
      </c>
      <c r="I1791" s="16" t="str">
        <f t="shared" si="27"/>
        <v>Normal</v>
      </c>
      <c r="J1791">
        <v>5</v>
      </c>
    </row>
    <row r="1792" spans="1:10">
      <c r="A1792" t="s">
        <v>4159</v>
      </c>
      <c r="B1792" t="s">
        <v>2028</v>
      </c>
      <c r="C1792" t="s">
        <v>2233</v>
      </c>
      <c r="D1792" s="9">
        <v>45114</v>
      </c>
      <c r="E1792" t="s">
        <v>2330</v>
      </c>
      <c r="G1792" t="s">
        <v>2345</v>
      </c>
      <c r="H1792">
        <v>2500</v>
      </c>
      <c r="I1792" s="16" t="str">
        <f t="shared" si="27"/>
        <v>Normal</v>
      </c>
      <c r="J1792">
        <v>4</v>
      </c>
    </row>
    <row r="1793" spans="1:10">
      <c r="A1793" t="s">
        <v>4160</v>
      </c>
      <c r="B1793" t="s">
        <v>125</v>
      </c>
      <c r="C1793" t="s">
        <v>2273</v>
      </c>
      <c r="D1793" s="9">
        <v>46007</v>
      </c>
      <c r="E1793" t="s">
        <v>2330</v>
      </c>
      <c r="G1793" t="s">
        <v>2331</v>
      </c>
      <c r="H1793">
        <v>441.32</v>
      </c>
      <c r="I1793" s="16" t="str">
        <f t="shared" si="27"/>
        <v>Normal</v>
      </c>
      <c r="J1793">
        <v>1</v>
      </c>
    </row>
    <row r="1794" spans="1:10">
      <c r="A1794" t="s">
        <v>4161</v>
      </c>
      <c r="B1794" t="s">
        <v>394</v>
      </c>
      <c r="C1794" t="s">
        <v>2259</v>
      </c>
      <c r="D1794" s="9">
        <v>45760</v>
      </c>
      <c r="E1794" t="s">
        <v>23</v>
      </c>
      <c r="G1794" t="s">
        <v>2331</v>
      </c>
      <c r="H1794">
        <v>0</v>
      </c>
      <c r="I1794" s="16" t="str">
        <f t="shared" si="27"/>
        <v>Zero Amount</v>
      </c>
      <c r="J1794" t="s">
        <v>39</v>
      </c>
    </row>
    <row r="1795" spans="1:10">
      <c r="A1795" t="s">
        <v>4162</v>
      </c>
      <c r="B1795" t="s">
        <v>1203</v>
      </c>
      <c r="C1795" t="s">
        <v>2198</v>
      </c>
      <c r="D1795" s="9">
        <v>45264</v>
      </c>
      <c r="E1795" t="s">
        <v>2324</v>
      </c>
      <c r="F1795" s="20">
        <v>75</v>
      </c>
      <c r="G1795" t="s">
        <v>2339</v>
      </c>
      <c r="I1795" s="16" t="str">
        <f t="shared" ref="I1795:I1858" si="28">IF(H1795="", "Unknown", IF(H1795=0, "Zero Amount", IF(H1795&lt;1, "Review", IF(H1795&gt;1, "Normal"))))</f>
        <v>Unknown</v>
      </c>
      <c r="J1795">
        <v>2</v>
      </c>
    </row>
    <row r="1796" spans="1:10">
      <c r="A1796" t="s">
        <v>4163</v>
      </c>
      <c r="B1796" t="s">
        <v>2116</v>
      </c>
      <c r="C1796" t="s">
        <v>2264</v>
      </c>
      <c r="D1796" s="9">
        <v>45756</v>
      </c>
      <c r="E1796" t="s">
        <v>2327</v>
      </c>
      <c r="F1796" s="20">
        <v>0</v>
      </c>
      <c r="G1796" t="s">
        <v>2345</v>
      </c>
      <c r="H1796">
        <v>2500</v>
      </c>
      <c r="I1796" s="16" t="str">
        <f t="shared" si="28"/>
        <v>Normal</v>
      </c>
      <c r="J1796">
        <v>1</v>
      </c>
    </row>
    <row r="1797" spans="1:10">
      <c r="A1797" t="s">
        <v>4164</v>
      </c>
      <c r="B1797" t="s">
        <v>292</v>
      </c>
      <c r="C1797" t="s">
        <v>2228</v>
      </c>
      <c r="D1797" s="9">
        <v>45966</v>
      </c>
      <c r="E1797" t="s">
        <v>2324</v>
      </c>
      <c r="G1797" t="s">
        <v>2328</v>
      </c>
      <c r="H1797">
        <v>799</v>
      </c>
      <c r="I1797" s="16" t="str">
        <f t="shared" si="28"/>
        <v>Normal</v>
      </c>
      <c r="J1797">
        <v>1</v>
      </c>
    </row>
    <row r="1798" spans="1:10">
      <c r="A1798" t="s">
        <v>4165</v>
      </c>
      <c r="B1798" t="s">
        <v>155</v>
      </c>
      <c r="C1798" t="s">
        <v>2235</v>
      </c>
      <c r="D1798" s="9">
        <v>45310</v>
      </c>
      <c r="E1798" t="s">
        <v>2337</v>
      </c>
      <c r="G1798" t="s">
        <v>2345</v>
      </c>
      <c r="H1798">
        <v>3000</v>
      </c>
      <c r="I1798" s="16" t="str">
        <f t="shared" si="28"/>
        <v>Normal</v>
      </c>
      <c r="J1798">
        <v>4</v>
      </c>
    </row>
    <row r="1799" spans="1:10">
      <c r="A1799" t="s">
        <v>4166</v>
      </c>
      <c r="B1799" t="s">
        <v>2143</v>
      </c>
      <c r="C1799" t="s">
        <v>2271</v>
      </c>
      <c r="D1799" s="9">
        <v>45761</v>
      </c>
      <c r="E1799" t="s">
        <v>2330</v>
      </c>
      <c r="G1799" t="s">
        <v>2339</v>
      </c>
      <c r="H1799">
        <v>1200</v>
      </c>
      <c r="I1799" s="16" t="str">
        <f t="shared" si="28"/>
        <v>Normal</v>
      </c>
      <c r="J1799">
        <v>4</v>
      </c>
    </row>
    <row r="1800" spans="1:10">
      <c r="A1800" t="s">
        <v>4167</v>
      </c>
      <c r="B1800" t="s">
        <v>239</v>
      </c>
      <c r="C1800" t="s">
        <v>2202</v>
      </c>
      <c r="D1800" s="9">
        <v>45440</v>
      </c>
      <c r="E1800" t="s">
        <v>2327</v>
      </c>
      <c r="F1800" s="20">
        <v>15</v>
      </c>
      <c r="G1800" t="s">
        <v>2331</v>
      </c>
      <c r="H1800">
        <v>999.99</v>
      </c>
      <c r="I1800" s="16" t="str">
        <f t="shared" si="28"/>
        <v>Normal</v>
      </c>
      <c r="J1800" t="s">
        <v>39</v>
      </c>
    </row>
    <row r="1801" spans="1:10">
      <c r="A1801" t="s">
        <v>4168</v>
      </c>
      <c r="B1801" t="s">
        <v>1880</v>
      </c>
      <c r="C1801" t="s">
        <v>2205</v>
      </c>
      <c r="D1801" s="9">
        <v>45452</v>
      </c>
      <c r="E1801" t="s">
        <v>2330</v>
      </c>
      <c r="F1801" s="20">
        <v>100</v>
      </c>
      <c r="G1801" t="s">
        <v>2345</v>
      </c>
      <c r="H1801">
        <v>1500</v>
      </c>
      <c r="I1801" s="16" t="str">
        <f t="shared" si="28"/>
        <v>Normal</v>
      </c>
      <c r="J1801">
        <v>5</v>
      </c>
    </row>
    <row r="1802" spans="1:10">
      <c r="A1802" t="s">
        <v>4169</v>
      </c>
      <c r="B1802" t="s">
        <v>20</v>
      </c>
      <c r="C1802" t="s">
        <v>2205</v>
      </c>
      <c r="D1802" s="9">
        <v>45689</v>
      </c>
      <c r="E1802" t="s">
        <v>2327</v>
      </c>
      <c r="F1802" s="20">
        <v>0</v>
      </c>
      <c r="G1802" t="s">
        <v>2331</v>
      </c>
      <c r="I1802" s="16" t="str">
        <f t="shared" si="28"/>
        <v>Unknown</v>
      </c>
      <c r="J1802">
        <v>5</v>
      </c>
    </row>
    <row r="1803" spans="1:10">
      <c r="A1803" t="s">
        <v>4170</v>
      </c>
      <c r="B1803" t="s">
        <v>1842</v>
      </c>
      <c r="C1803" t="s">
        <v>2218</v>
      </c>
      <c r="D1803" s="9">
        <v>45123</v>
      </c>
      <c r="E1803" t="s">
        <v>2324</v>
      </c>
      <c r="F1803" s="20">
        <v>25</v>
      </c>
      <c r="G1803" t="s">
        <v>2331</v>
      </c>
      <c r="H1803">
        <v>801.02</v>
      </c>
      <c r="I1803" s="16" t="str">
        <f t="shared" si="28"/>
        <v>Normal</v>
      </c>
      <c r="J1803">
        <v>5</v>
      </c>
    </row>
    <row r="1804" spans="1:10">
      <c r="A1804" t="s">
        <v>4171</v>
      </c>
      <c r="B1804" t="s">
        <v>745</v>
      </c>
      <c r="C1804" t="s">
        <v>2233</v>
      </c>
      <c r="D1804" s="9">
        <v>45398</v>
      </c>
      <c r="E1804" t="s">
        <v>2327</v>
      </c>
      <c r="F1804" s="20">
        <v>5</v>
      </c>
      <c r="G1804" t="s">
        <v>2345</v>
      </c>
      <c r="H1804">
        <v>2500</v>
      </c>
      <c r="I1804" s="16" t="str">
        <f t="shared" si="28"/>
        <v>Normal</v>
      </c>
      <c r="J1804">
        <v>3</v>
      </c>
    </row>
    <row r="1805" spans="1:10">
      <c r="A1805" t="s">
        <v>4172</v>
      </c>
      <c r="B1805" t="s">
        <v>56</v>
      </c>
      <c r="C1805" t="s">
        <v>2222</v>
      </c>
      <c r="D1805" s="9">
        <v>45320</v>
      </c>
      <c r="E1805" t="s">
        <v>2327</v>
      </c>
      <c r="G1805" t="s">
        <v>2339</v>
      </c>
      <c r="H1805">
        <v>0</v>
      </c>
      <c r="I1805" s="16" t="str">
        <f t="shared" si="28"/>
        <v>Zero Amount</v>
      </c>
      <c r="J1805" t="s">
        <v>39</v>
      </c>
    </row>
    <row r="1806" spans="1:10">
      <c r="A1806" t="s">
        <v>4173</v>
      </c>
      <c r="B1806" t="s">
        <v>2042</v>
      </c>
      <c r="C1806" t="s">
        <v>2257</v>
      </c>
      <c r="D1806" s="9">
        <v>45416</v>
      </c>
      <c r="E1806" t="s">
        <v>2324</v>
      </c>
      <c r="F1806" s="20">
        <v>60</v>
      </c>
      <c r="G1806" t="s">
        <v>2331</v>
      </c>
      <c r="I1806" s="16" t="str">
        <f t="shared" si="28"/>
        <v>Unknown</v>
      </c>
      <c r="J1806" t="s">
        <v>39</v>
      </c>
    </row>
    <row r="1807" spans="1:10">
      <c r="A1807" t="s">
        <v>4174</v>
      </c>
      <c r="B1807" t="s">
        <v>4175</v>
      </c>
      <c r="C1807" t="s">
        <v>2264</v>
      </c>
      <c r="D1807" s="9">
        <v>45817</v>
      </c>
      <c r="E1807" t="s">
        <v>2324</v>
      </c>
      <c r="F1807" s="20">
        <v>40</v>
      </c>
      <c r="G1807" t="s">
        <v>2328</v>
      </c>
      <c r="H1807">
        <v>2500</v>
      </c>
      <c r="I1807" s="16" t="str">
        <f t="shared" si="28"/>
        <v>Normal</v>
      </c>
      <c r="J1807">
        <v>4</v>
      </c>
    </row>
    <row r="1808" spans="1:10">
      <c r="A1808" t="s">
        <v>4176</v>
      </c>
      <c r="B1808" t="s">
        <v>460</v>
      </c>
      <c r="C1808" t="s">
        <v>2271</v>
      </c>
      <c r="D1808" s="9">
        <v>45614</v>
      </c>
      <c r="E1808" t="s">
        <v>2330</v>
      </c>
      <c r="F1808" s="20">
        <v>100</v>
      </c>
      <c r="G1808" t="s">
        <v>2325</v>
      </c>
      <c r="H1808">
        <v>1200</v>
      </c>
      <c r="I1808" s="16" t="str">
        <f t="shared" si="28"/>
        <v>Normal</v>
      </c>
      <c r="J1808">
        <v>5</v>
      </c>
    </row>
    <row r="1809" spans="1:10">
      <c r="A1809" t="s">
        <v>4177</v>
      </c>
      <c r="B1809" t="s">
        <v>246</v>
      </c>
      <c r="C1809" t="s">
        <v>2218</v>
      </c>
      <c r="D1809" s="9">
        <v>45417</v>
      </c>
      <c r="E1809" t="s">
        <v>2337</v>
      </c>
      <c r="F1809" s="20">
        <v>0</v>
      </c>
      <c r="G1809" t="s">
        <v>2325</v>
      </c>
      <c r="H1809">
        <v>1500</v>
      </c>
      <c r="I1809" s="16" t="str">
        <f t="shared" si="28"/>
        <v>Normal</v>
      </c>
      <c r="J1809" t="s">
        <v>39</v>
      </c>
    </row>
    <row r="1810" spans="1:10">
      <c r="A1810" t="s">
        <v>4178</v>
      </c>
      <c r="B1810" t="s">
        <v>1933</v>
      </c>
      <c r="C1810" t="s">
        <v>2205</v>
      </c>
      <c r="D1810" s="9">
        <v>45199</v>
      </c>
      <c r="E1810" t="s">
        <v>2324</v>
      </c>
      <c r="F1810" s="20">
        <v>10</v>
      </c>
      <c r="G1810" t="s">
        <v>2339</v>
      </c>
      <c r="H1810">
        <v>1500</v>
      </c>
      <c r="I1810" s="16" t="str">
        <f t="shared" si="28"/>
        <v>Normal</v>
      </c>
      <c r="J1810" t="s">
        <v>39</v>
      </c>
    </row>
    <row r="1811" spans="1:10">
      <c r="A1811" t="s">
        <v>4179</v>
      </c>
      <c r="B1811" t="s">
        <v>772</v>
      </c>
      <c r="C1811" t="s">
        <v>2271</v>
      </c>
      <c r="D1811" s="9">
        <v>46157</v>
      </c>
      <c r="E1811" t="s">
        <v>2337</v>
      </c>
      <c r="F1811" s="20">
        <v>0</v>
      </c>
      <c r="G1811" t="s">
        <v>2345</v>
      </c>
      <c r="H1811">
        <v>1200</v>
      </c>
      <c r="I1811" s="16" t="str">
        <f t="shared" si="28"/>
        <v>Normal</v>
      </c>
      <c r="J1811">
        <v>3</v>
      </c>
    </row>
    <row r="1812" spans="1:10">
      <c r="A1812" t="s">
        <v>4180</v>
      </c>
      <c r="B1812" t="s">
        <v>1007</v>
      </c>
      <c r="C1812" t="s">
        <v>2244</v>
      </c>
      <c r="D1812" s="9">
        <v>45712</v>
      </c>
      <c r="E1812" t="s">
        <v>2324</v>
      </c>
      <c r="F1812" s="20">
        <v>10</v>
      </c>
      <c r="G1812" t="s">
        <v>2328</v>
      </c>
      <c r="H1812">
        <v>-1200</v>
      </c>
      <c r="I1812" s="16" t="str">
        <f t="shared" si="28"/>
        <v>Review</v>
      </c>
      <c r="J1812">
        <v>5</v>
      </c>
    </row>
    <row r="1813" spans="1:10">
      <c r="A1813" t="s">
        <v>4181</v>
      </c>
      <c r="B1813" t="s">
        <v>1229</v>
      </c>
      <c r="C1813" t="s">
        <v>2216</v>
      </c>
      <c r="D1813" s="9">
        <v>45627</v>
      </c>
      <c r="E1813" t="s">
        <v>2330</v>
      </c>
      <c r="G1813" t="s">
        <v>2345</v>
      </c>
      <c r="H1813">
        <v>715.34</v>
      </c>
      <c r="I1813" s="16" t="str">
        <f t="shared" si="28"/>
        <v>Normal</v>
      </c>
      <c r="J1813">
        <v>2</v>
      </c>
    </row>
    <row r="1814" spans="1:10">
      <c r="A1814" t="s">
        <v>4182</v>
      </c>
      <c r="B1814" t="s">
        <v>1158</v>
      </c>
      <c r="C1814" t="s">
        <v>2251</v>
      </c>
      <c r="D1814" s="9">
        <v>46092</v>
      </c>
      <c r="E1814" t="s">
        <v>2327</v>
      </c>
      <c r="F1814" s="20">
        <v>20</v>
      </c>
      <c r="G1814" t="s">
        <v>2345</v>
      </c>
      <c r="H1814">
        <v>1500</v>
      </c>
      <c r="I1814" s="16" t="str">
        <f t="shared" si="28"/>
        <v>Normal</v>
      </c>
      <c r="J1814">
        <v>4</v>
      </c>
    </row>
    <row r="1815" spans="1:10">
      <c r="A1815" t="s">
        <v>4183</v>
      </c>
      <c r="B1815" t="s">
        <v>1436</v>
      </c>
      <c r="C1815" t="s">
        <v>2267</v>
      </c>
      <c r="D1815" s="9">
        <v>45682</v>
      </c>
      <c r="E1815" t="s">
        <v>2324</v>
      </c>
      <c r="F1815" s="20">
        <v>60</v>
      </c>
      <c r="G1815" t="s">
        <v>2345</v>
      </c>
      <c r="H1815">
        <v>999.99</v>
      </c>
      <c r="I1815" s="16" t="str">
        <f t="shared" si="28"/>
        <v>Normal</v>
      </c>
      <c r="J1815" t="s">
        <v>39</v>
      </c>
    </row>
    <row r="1816" spans="1:10">
      <c r="A1816" t="s">
        <v>4184</v>
      </c>
      <c r="B1816" t="s">
        <v>1373</v>
      </c>
      <c r="C1816" t="s">
        <v>2237</v>
      </c>
      <c r="D1816" s="9">
        <v>45366</v>
      </c>
      <c r="E1816" t="s">
        <v>2330</v>
      </c>
      <c r="F1816" s="20">
        <v>100</v>
      </c>
      <c r="G1816" t="s">
        <v>2339</v>
      </c>
      <c r="H1816">
        <v>1500</v>
      </c>
      <c r="I1816" s="16" t="str">
        <f t="shared" si="28"/>
        <v>Normal</v>
      </c>
      <c r="J1816">
        <v>2</v>
      </c>
    </row>
    <row r="1817" spans="1:10">
      <c r="A1817" t="s">
        <v>4185</v>
      </c>
      <c r="B1817" t="s">
        <v>989</v>
      </c>
      <c r="C1817" t="s">
        <v>2216</v>
      </c>
      <c r="D1817" s="9">
        <v>45176</v>
      </c>
      <c r="E1817" t="s">
        <v>2337</v>
      </c>
      <c r="F1817" s="20">
        <v>0</v>
      </c>
      <c r="G1817" t="s">
        <v>2339</v>
      </c>
      <c r="H1817">
        <v>1200</v>
      </c>
      <c r="I1817" s="16" t="str">
        <f t="shared" si="28"/>
        <v>Normal</v>
      </c>
      <c r="J1817">
        <v>5</v>
      </c>
    </row>
    <row r="1818" spans="1:10">
      <c r="A1818" t="s">
        <v>4186</v>
      </c>
      <c r="B1818" t="s">
        <v>641</v>
      </c>
      <c r="C1818" t="s">
        <v>2225</v>
      </c>
      <c r="D1818" s="9">
        <v>45642</v>
      </c>
      <c r="E1818" t="s">
        <v>2327</v>
      </c>
      <c r="F1818" s="20">
        <v>20</v>
      </c>
      <c r="G1818" t="s">
        <v>2345</v>
      </c>
      <c r="I1818" s="16" t="str">
        <f t="shared" si="28"/>
        <v>Unknown</v>
      </c>
      <c r="J1818" t="s">
        <v>39</v>
      </c>
    </row>
    <row r="1819" spans="1:10">
      <c r="A1819" t="s">
        <v>4187</v>
      </c>
      <c r="B1819" t="s">
        <v>1887</v>
      </c>
      <c r="C1819" t="s">
        <v>2231</v>
      </c>
      <c r="D1819" s="9">
        <v>45529</v>
      </c>
      <c r="E1819" t="s">
        <v>2337</v>
      </c>
      <c r="F1819" s="20">
        <v>15</v>
      </c>
      <c r="G1819" t="s">
        <v>2339</v>
      </c>
      <c r="H1819">
        <v>1800.23</v>
      </c>
      <c r="I1819" s="16" t="str">
        <f t="shared" si="28"/>
        <v>Normal</v>
      </c>
      <c r="J1819">
        <v>4</v>
      </c>
    </row>
    <row r="1820" spans="1:10">
      <c r="A1820" t="s">
        <v>4188</v>
      </c>
      <c r="B1820" t="s">
        <v>1051</v>
      </c>
      <c r="C1820" t="s">
        <v>2198</v>
      </c>
      <c r="D1820" s="9">
        <v>45506</v>
      </c>
      <c r="E1820" t="s">
        <v>23</v>
      </c>
      <c r="G1820" t="s">
        <v>23</v>
      </c>
      <c r="I1820" s="16" t="str">
        <f t="shared" si="28"/>
        <v>Unknown</v>
      </c>
      <c r="J1820">
        <v>4</v>
      </c>
    </row>
    <row r="1821" spans="1:10">
      <c r="A1821" t="s">
        <v>4189</v>
      </c>
      <c r="B1821" t="s">
        <v>1890</v>
      </c>
      <c r="C1821" t="s">
        <v>2269</v>
      </c>
      <c r="D1821" s="9">
        <v>45902</v>
      </c>
      <c r="E1821" t="s">
        <v>2330</v>
      </c>
      <c r="G1821" t="s">
        <v>2331</v>
      </c>
      <c r="H1821">
        <v>499</v>
      </c>
      <c r="I1821" s="16" t="str">
        <f t="shared" si="28"/>
        <v>Normal</v>
      </c>
      <c r="J1821">
        <v>5</v>
      </c>
    </row>
    <row r="1822" spans="1:10">
      <c r="A1822" t="s">
        <v>4190</v>
      </c>
      <c r="B1822" t="s">
        <v>4191</v>
      </c>
      <c r="C1822" t="s">
        <v>2247</v>
      </c>
      <c r="D1822" s="9">
        <v>45216</v>
      </c>
      <c r="E1822" t="s">
        <v>2330</v>
      </c>
      <c r="F1822" s="20">
        <v>100</v>
      </c>
      <c r="G1822" t="s">
        <v>2328</v>
      </c>
      <c r="I1822" s="16" t="str">
        <f t="shared" si="28"/>
        <v>Unknown</v>
      </c>
      <c r="J1822">
        <v>3</v>
      </c>
    </row>
    <row r="1823" spans="1:10">
      <c r="A1823" t="s">
        <v>4192</v>
      </c>
      <c r="B1823" t="s">
        <v>438</v>
      </c>
      <c r="C1823" t="s">
        <v>2264</v>
      </c>
      <c r="D1823" s="9">
        <v>45343</v>
      </c>
      <c r="E1823" t="s">
        <v>2330</v>
      </c>
      <c r="G1823" t="s">
        <v>2345</v>
      </c>
      <c r="H1823">
        <v>2500</v>
      </c>
      <c r="I1823" s="16" t="str">
        <f t="shared" si="28"/>
        <v>Normal</v>
      </c>
      <c r="J1823">
        <v>5</v>
      </c>
    </row>
    <row r="1824" spans="1:10">
      <c r="A1824" t="s">
        <v>4193</v>
      </c>
      <c r="B1824" t="s">
        <v>574</v>
      </c>
      <c r="C1824" t="s">
        <v>2205</v>
      </c>
      <c r="D1824" s="9">
        <v>46166</v>
      </c>
      <c r="E1824" t="s">
        <v>2324</v>
      </c>
      <c r="G1824" t="s">
        <v>2345</v>
      </c>
      <c r="H1824">
        <v>1500</v>
      </c>
      <c r="I1824" s="16" t="str">
        <f t="shared" si="28"/>
        <v>Normal</v>
      </c>
      <c r="J1824">
        <v>2</v>
      </c>
    </row>
    <row r="1825" spans="1:10">
      <c r="A1825" t="s">
        <v>4194</v>
      </c>
      <c r="B1825" t="s">
        <v>239</v>
      </c>
      <c r="C1825" t="s">
        <v>2222</v>
      </c>
      <c r="D1825" s="9">
        <v>45533</v>
      </c>
      <c r="E1825" t="s">
        <v>2337</v>
      </c>
      <c r="F1825" s="20">
        <v>20</v>
      </c>
      <c r="G1825" t="s">
        <v>2331</v>
      </c>
      <c r="H1825">
        <v>0</v>
      </c>
      <c r="I1825" s="16" t="str">
        <f t="shared" si="28"/>
        <v>Zero Amount</v>
      </c>
      <c r="J1825">
        <v>5</v>
      </c>
    </row>
    <row r="1826" spans="1:10">
      <c r="A1826" t="s">
        <v>4195</v>
      </c>
      <c r="B1826" t="s">
        <v>593</v>
      </c>
      <c r="C1826" t="s">
        <v>2198</v>
      </c>
      <c r="D1826" s="9">
        <v>45294</v>
      </c>
      <c r="E1826" t="s">
        <v>2337</v>
      </c>
      <c r="F1826" s="20">
        <v>15</v>
      </c>
      <c r="G1826" t="s">
        <v>2331</v>
      </c>
      <c r="I1826" s="16" t="str">
        <f t="shared" si="28"/>
        <v>Unknown</v>
      </c>
      <c r="J1826">
        <v>4</v>
      </c>
    </row>
    <row r="1827" spans="1:10">
      <c r="A1827" t="s">
        <v>4196</v>
      </c>
      <c r="B1827" t="s">
        <v>641</v>
      </c>
      <c r="C1827" t="s">
        <v>2228</v>
      </c>
      <c r="D1827" s="9">
        <v>45503</v>
      </c>
      <c r="E1827" t="s">
        <v>2327</v>
      </c>
      <c r="F1827" s="20">
        <v>0</v>
      </c>
      <c r="G1827" t="s">
        <v>2345</v>
      </c>
      <c r="H1827">
        <v>597.1</v>
      </c>
      <c r="I1827" s="16" t="str">
        <f t="shared" si="28"/>
        <v>Normal</v>
      </c>
      <c r="J1827">
        <v>4</v>
      </c>
    </row>
    <row r="1828" spans="1:10">
      <c r="A1828" t="s">
        <v>4197</v>
      </c>
      <c r="B1828" t="s">
        <v>1075</v>
      </c>
      <c r="C1828" t="s">
        <v>2251</v>
      </c>
      <c r="D1828" s="9">
        <v>45715</v>
      </c>
      <c r="E1828" t="s">
        <v>2324</v>
      </c>
      <c r="F1828" s="20">
        <v>10</v>
      </c>
      <c r="G1828" t="s">
        <v>2325</v>
      </c>
      <c r="H1828">
        <v>1500</v>
      </c>
      <c r="I1828" s="16" t="str">
        <f t="shared" si="28"/>
        <v>Normal</v>
      </c>
      <c r="J1828">
        <v>4</v>
      </c>
    </row>
    <row r="1829" spans="1:10">
      <c r="A1829" t="s">
        <v>4198</v>
      </c>
      <c r="B1829" t="s">
        <v>4199</v>
      </c>
      <c r="C1829" t="s">
        <v>2244</v>
      </c>
      <c r="D1829" s="9">
        <v>45802</v>
      </c>
      <c r="E1829" t="s">
        <v>2327</v>
      </c>
      <c r="F1829" s="20">
        <v>20</v>
      </c>
      <c r="G1829" t="s">
        <v>2328</v>
      </c>
      <c r="H1829">
        <v>1200</v>
      </c>
      <c r="I1829" s="16" t="str">
        <f t="shared" si="28"/>
        <v>Normal</v>
      </c>
      <c r="J1829">
        <v>1</v>
      </c>
    </row>
    <row r="1830" spans="1:10">
      <c r="A1830" t="s">
        <v>4200</v>
      </c>
      <c r="B1830" t="s">
        <v>896</v>
      </c>
      <c r="C1830" t="s">
        <v>2222</v>
      </c>
      <c r="D1830" s="9">
        <v>45462</v>
      </c>
      <c r="E1830" t="s">
        <v>2324</v>
      </c>
      <c r="F1830" s="20">
        <v>75</v>
      </c>
      <c r="G1830" t="s">
        <v>2339</v>
      </c>
      <c r="H1830">
        <v>0</v>
      </c>
      <c r="I1830" s="16" t="str">
        <f t="shared" si="28"/>
        <v>Zero Amount</v>
      </c>
      <c r="J1830">
        <v>4</v>
      </c>
    </row>
    <row r="1831" spans="1:10">
      <c r="A1831" t="s">
        <v>4201</v>
      </c>
      <c r="B1831" t="s">
        <v>277</v>
      </c>
      <c r="C1831" t="s">
        <v>2241</v>
      </c>
      <c r="D1831" s="9">
        <v>45985</v>
      </c>
      <c r="E1831" t="s">
        <v>2330</v>
      </c>
      <c r="G1831" t="s">
        <v>2345</v>
      </c>
      <c r="H1831">
        <v>2500</v>
      </c>
      <c r="I1831" s="16" t="str">
        <f t="shared" si="28"/>
        <v>Normal</v>
      </c>
      <c r="J1831">
        <v>4</v>
      </c>
    </row>
    <row r="1832" spans="1:10">
      <c r="A1832" t="s">
        <v>4202</v>
      </c>
      <c r="B1832" t="s">
        <v>1511</v>
      </c>
      <c r="C1832" t="s">
        <v>2231</v>
      </c>
      <c r="D1832" s="9">
        <v>46167</v>
      </c>
      <c r="E1832" t="s">
        <v>2330</v>
      </c>
      <c r="F1832" s="20">
        <v>100</v>
      </c>
      <c r="G1832" t="s">
        <v>2331</v>
      </c>
      <c r="I1832" s="16" t="str">
        <f t="shared" si="28"/>
        <v>Unknown</v>
      </c>
      <c r="J1832">
        <v>3</v>
      </c>
    </row>
    <row r="1833" spans="1:10">
      <c r="A1833" t="s">
        <v>4203</v>
      </c>
      <c r="B1833" t="s">
        <v>206</v>
      </c>
      <c r="C1833" t="s">
        <v>2209</v>
      </c>
      <c r="D1833" s="9">
        <v>45202</v>
      </c>
      <c r="E1833" t="s">
        <v>2327</v>
      </c>
      <c r="F1833" s="20">
        <v>15</v>
      </c>
      <c r="G1833" t="s">
        <v>2345</v>
      </c>
      <c r="I1833" s="16" t="str">
        <f t="shared" si="28"/>
        <v>Unknown</v>
      </c>
      <c r="J1833">
        <v>2</v>
      </c>
    </row>
    <row r="1834" spans="1:10">
      <c r="A1834" t="s">
        <v>4204</v>
      </c>
      <c r="B1834" t="s">
        <v>343</v>
      </c>
      <c r="C1834" t="s">
        <v>2264</v>
      </c>
      <c r="D1834" s="9">
        <v>45283</v>
      </c>
      <c r="E1834" t="s">
        <v>2327</v>
      </c>
      <c r="F1834" s="20">
        <v>5</v>
      </c>
      <c r="G1834" t="s">
        <v>2328</v>
      </c>
      <c r="H1834">
        <v>-2500</v>
      </c>
      <c r="I1834" s="16" t="str">
        <f t="shared" si="28"/>
        <v>Review</v>
      </c>
      <c r="J1834" t="s">
        <v>39</v>
      </c>
    </row>
    <row r="1835" spans="1:10">
      <c r="A1835" t="s">
        <v>4205</v>
      </c>
      <c r="B1835" t="s">
        <v>233</v>
      </c>
      <c r="C1835" t="s">
        <v>2222</v>
      </c>
      <c r="D1835" s="9">
        <v>46045</v>
      </c>
      <c r="E1835" t="s">
        <v>2337</v>
      </c>
      <c r="F1835" s="20">
        <v>0</v>
      </c>
      <c r="G1835" t="s">
        <v>2331</v>
      </c>
      <c r="H1835">
        <v>0</v>
      </c>
      <c r="I1835" s="16" t="str">
        <f t="shared" si="28"/>
        <v>Zero Amount</v>
      </c>
      <c r="J1835">
        <v>1</v>
      </c>
    </row>
    <row r="1836" spans="1:10">
      <c r="A1836" t="s">
        <v>4206</v>
      </c>
      <c r="B1836" t="s">
        <v>1873</v>
      </c>
      <c r="C1836" t="s">
        <v>2231</v>
      </c>
      <c r="D1836" s="9">
        <v>45634</v>
      </c>
      <c r="E1836" t="s">
        <v>2330</v>
      </c>
      <c r="F1836" s="20">
        <v>100</v>
      </c>
      <c r="G1836" t="s">
        <v>2325</v>
      </c>
      <c r="H1836">
        <v>3000</v>
      </c>
      <c r="I1836" s="16" t="str">
        <f t="shared" si="28"/>
        <v>Normal</v>
      </c>
      <c r="J1836">
        <v>1</v>
      </c>
    </row>
    <row r="1837" spans="1:10">
      <c r="A1837" t="s">
        <v>4207</v>
      </c>
      <c r="B1837" t="s">
        <v>422</v>
      </c>
      <c r="C1837" t="s">
        <v>2249</v>
      </c>
      <c r="D1837" s="9">
        <v>45371</v>
      </c>
      <c r="E1837" t="s">
        <v>2330</v>
      </c>
      <c r="F1837" s="20">
        <v>100</v>
      </c>
      <c r="G1837" t="s">
        <v>2345</v>
      </c>
      <c r="H1837">
        <v>1500</v>
      </c>
      <c r="I1837" s="16" t="str">
        <f t="shared" si="28"/>
        <v>Normal</v>
      </c>
      <c r="J1837" t="s">
        <v>39</v>
      </c>
    </row>
    <row r="1838" spans="1:10">
      <c r="A1838" t="s">
        <v>4208</v>
      </c>
      <c r="B1838" t="s">
        <v>167</v>
      </c>
      <c r="C1838" t="s">
        <v>2187</v>
      </c>
      <c r="D1838" s="9">
        <v>45252</v>
      </c>
      <c r="E1838" t="s">
        <v>2330</v>
      </c>
      <c r="G1838" t="s">
        <v>2325</v>
      </c>
      <c r="H1838">
        <v>799</v>
      </c>
      <c r="I1838" s="16" t="str">
        <f t="shared" si="28"/>
        <v>Normal</v>
      </c>
      <c r="J1838">
        <v>5</v>
      </c>
    </row>
    <row r="1839" spans="1:10">
      <c r="A1839" t="s">
        <v>4209</v>
      </c>
      <c r="B1839" t="s">
        <v>430</v>
      </c>
      <c r="C1839" t="s">
        <v>2261</v>
      </c>
      <c r="D1839" s="9">
        <v>45773</v>
      </c>
      <c r="E1839" t="s">
        <v>23</v>
      </c>
      <c r="G1839" t="s">
        <v>23</v>
      </c>
      <c r="I1839" s="16" t="str">
        <f t="shared" si="28"/>
        <v>Unknown</v>
      </c>
      <c r="J1839" t="s">
        <v>39</v>
      </c>
    </row>
    <row r="1840" spans="1:10">
      <c r="A1840" t="s">
        <v>4210</v>
      </c>
      <c r="B1840" t="s">
        <v>2054</v>
      </c>
      <c r="C1840" t="s">
        <v>2233</v>
      </c>
      <c r="D1840" s="9">
        <v>45616</v>
      </c>
      <c r="E1840" t="s">
        <v>2324</v>
      </c>
      <c r="F1840" s="20">
        <v>75</v>
      </c>
      <c r="G1840" t="s">
        <v>2339</v>
      </c>
      <c r="H1840">
        <v>2500</v>
      </c>
      <c r="I1840" s="16" t="str">
        <f t="shared" si="28"/>
        <v>Normal</v>
      </c>
      <c r="J1840">
        <v>4</v>
      </c>
    </row>
    <row r="1841" spans="1:10">
      <c r="A1841" t="s">
        <v>4211</v>
      </c>
      <c r="B1841" t="s">
        <v>1336</v>
      </c>
      <c r="C1841" t="s">
        <v>2253</v>
      </c>
      <c r="D1841" s="9">
        <v>45890</v>
      </c>
      <c r="E1841" t="s">
        <v>2330</v>
      </c>
      <c r="F1841" s="20">
        <v>100</v>
      </c>
      <c r="G1841" t="s">
        <v>2345</v>
      </c>
      <c r="H1841">
        <v>1200</v>
      </c>
      <c r="I1841" s="16" t="str">
        <f t="shared" si="28"/>
        <v>Normal</v>
      </c>
      <c r="J1841">
        <v>5</v>
      </c>
    </row>
    <row r="1842" spans="1:10">
      <c r="A1842" t="s">
        <v>4212</v>
      </c>
      <c r="B1842" t="s">
        <v>1729</v>
      </c>
      <c r="C1842" t="s">
        <v>2267</v>
      </c>
      <c r="D1842" s="9">
        <v>45719</v>
      </c>
      <c r="E1842" t="s">
        <v>2324</v>
      </c>
      <c r="G1842" t="s">
        <v>2331</v>
      </c>
      <c r="H1842">
        <v>999.99</v>
      </c>
      <c r="I1842" s="16" t="str">
        <f t="shared" si="28"/>
        <v>Normal</v>
      </c>
      <c r="J1842">
        <v>3</v>
      </c>
    </row>
    <row r="1843" spans="1:10">
      <c r="A1843" t="s">
        <v>4213</v>
      </c>
      <c r="B1843" t="s">
        <v>320</v>
      </c>
      <c r="C1843" t="s">
        <v>2213</v>
      </c>
      <c r="D1843" s="9">
        <v>45294</v>
      </c>
      <c r="E1843" t="s">
        <v>2324</v>
      </c>
      <c r="F1843" s="20">
        <v>25</v>
      </c>
      <c r="G1843" t="s">
        <v>2331</v>
      </c>
      <c r="H1843">
        <v>1500</v>
      </c>
      <c r="I1843" s="16" t="str">
        <f t="shared" si="28"/>
        <v>Normal</v>
      </c>
      <c r="J1843">
        <v>3</v>
      </c>
    </row>
    <row r="1844" spans="1:10">
      <c r="A1844" t="s">
        <v>4214</v>
      </c>
      <c r="B1844" t="s">
        <v>125</v>
      </c>
      <c r="C1844" t="s">
        <v>2237</v>
      </c>
      <c r="D1844" s="9">
        <v>45939</v>
      </c>
      <c r="E1844" t="s">
        <v>23</v>
      </c>
      <c r="G1844" t="s">
        <v>23</v>
      </c>
      <c r="H1844">
        <v>1500</v>
      </c>
      <c r="I1844" s="16" t="str">
        <f t="shared" si="28"/>
        <v>Normal</v>
      </c>
      <c r="J1844">
        <v>5</v>
      </c>
    </row>
    <row r="1845" spans="1:10">
      <c r="A1845" t="s">
        <v>4215</v>
      </c>
      <c r="B1845" t="s">
        <v>542</v>
      </c>
      <c r="C1845" t="s">
        <v>2261</v>
      </c>
      <c r="D1845" s="9">
        <v>45374</v>
      </c>
      <c r="E1845" t="s">
        <v>2330</v>
      </c>
      <c r="F1845" s="20">
        <v>100</v>
      </c>
      <c r="G1845" t="s">
        <v>2328</v>
      </c>
      <c r="I1845" s="16" t="str">
        <f t="shared" si="28"/>
        <v>Unknown</v>
      </c>
      <c r="J1845">
        <v>1</v>
      </c>
    </row>
    <row r="1846" spans="1:10">
      <c r="A1846" t="s">
        <v>4216</v>
      </c>
      <c r="B1846" t="s">
        <v>426</v>
      </c>
      <c r="C1846" t="s">
        <v>2233</v>
      </c>
      <c r="D1846" s="9">
        <v>45439</v>
      </c>
      <c r="E1846" t="s">
        <v>2324</v>
      </c>
      <c r="G1846" t="s">
        <v>2339</v>
      </c>
      <c r="H1846">
        <v>2500</v>
      </c>
      <c r="I1846" s="16" t="str">
        <f t="shared" si="28"/>
        <v>Normal</v>
      </c>
      <c r="J1846">
        <v>4</v>
      </c>
    </row>
    <row r="1847" spans="1:10">
      <c r="A1847" t="s">
        <v>4217</v>
      </c>
      <c r="B1847" t="s">
        <v>513</v>
      </c>
      <c r="C1847" t="s">
        <v>2271</v>
      </c>
      <c r="D1847" s="9">
        <v>45468</v>
      </c>
      <c r="E1847" t="s">
        <v>2337</v>
      </c>
      <c r="F1847" s="20">
        <v>15</v>
      </c>
      <c r="G1847" t="s">
        <v>2331</v>
      </c>
      <c r="I1847" s="16" t="str">
        <f t="shared" si="28"/>
        <v>Unknown</v>
      </c>
      <c r="J1847">
        <v>5</v>
      </c>
    </row>
    <row r="1848" spans="1:10">
      <c r="A1848" t="s">
        <v>4218</v>
      </c>
      <c r="B1848" t="s">
        <v>1984</v>
      </c>
      <c r="C1848" t="s">
        <v>2213</v>
      </c>
      <c r="D1848" s="9">
        <v>44997</v>
      </c>
      <c r="E1848" t="s">
        <v>2324</v>
      </c>
      <c r="G1848" t="s">
        <v>2328</v>
      </c>
      <c r="H1848">
        <v>1500</v>
      </c>
      <c r="I1848" s="16" t="str">
        <f t="shared" si="28"/>
        <v>Normal</v>
      </c>
      <c r="J1848">
        <v>1</v>
      </c>
    </row>
    <row r="1849" spans="1:10">
      <c r="A1849" t="s">
        <v>4219</v>
      </c>
      <c r="B1849" t="s">
        <v>2069</v>
      </c>
      <c r="C1849" t="s">
        <v>2269</v>
      </c>
      <c r="D1849" s="9">
        <v>45450</v>
      </c>
      <c r="E1849" t="s">
        <v>2330</v>
      </c>
      <c r="F1849" s="20">
        <v>100</v>
      </c>
      <c r="G1849" t="s">
        <v>2345</v>
      </c>
      <c r="H1849">
        <v>499</v>
      </c>
      <c r="I1849" s="16" t="str">
        <f t="shared" si="28"/>
        <v>Normal</v>
      </c>
      <c r="J1849" t="s">
        <v>39</v>
      </c>
    </row>
    <row r="1850" spans="1:10">
      <c r="A1850" t="s">
        <v>4220</v>
      </c>
      <c r="B1850" t="s">
        <v>2034</v>
      </c>
      <c r="C1850" t="s">
        <v>2228</v>
      </c>
      <c r="D1850" s="9">
        <v>45660</v>
      </c>
      <c r="E1850" t="s">
        <v>23</v>
      </c>
      <c r="G1850" t="s">
        <v>2339</v>
      </c>
      <c r="H1850">
        <v>799</v>
      </c>
      <c r="I1850" s="16" t="str">
        <f t="shared" si="28"/>
        <v>Normal</v>
      </c>
      <c r="J1850">
        <v>5</v>
      </c>
    </row>
    <row r="1851" spans="1:10">
      <c r="A1851" t="s">
        <v>4221</v>
      </c>
      <c r="B1851" t="s">
        <v>983</v>
      </c>
      <c r="C1851" t="s">
        <v>2253</v>
      </c>
      <c r="D1851" s="9">
        <v>45513</v>
      </c>
      <c r="E1851" t="s">
        <v>2330</v>
      </c>
      <c r="F1851" s="20">
        <v>100</v>
      </c>
      <c r="G1851" t="s">
        <v>2328</v>
      </c>
      <c r="H1851">
        <v>1200</v>
      </c>
      <c r="I1851" s="16" t="str">
        <f t="shared" si="28"/>
        <v>Normal</v>
      </c>
      <c r="J1851" t="s">
        <v>39</v>
      </c>
    </row>
    <row r="1852" spans="1:10">
      <c r="A1852" t="s">
        <v>4222</v>
      </c>
      <c r="B1852" t="s">
        <v>721</v>
      </c>
      <c r="C1852" t="s">
        <v>2209</v>
      </c>
      <c r="D1852" s="9">
        <v>45104</v>
      </c>
      <c r="E1852" t="s">
        <v>2337</v>
      </c>
      <c r="G1852" t="s">
        <v>2328</v>
      </c>
      <c r="H1852">
        <v>499</v>
      </c>
      <c r="I1852" s="16" t="str">
        <f t="shared" si="28"/>
        <v>Normal</v>
      </c>
      <c r="J1852" t="s">
        <v>39</v>
      </c>
    </row>
    <row r="1853" spans="1:10">
      <c r="A1853" t="s">
        <v>4223</v>
      </c>
      <c r="B1853" t="s">
        <v>1432</v>
      </c>
      <c r="C1853" t="s">
        <v>2244</v>
      </c>
      <c r="D1853" s="9">
        <v>45854</v>
      </c>
      <c r="E1853" t="s">
        <v>23</v>
      </c>
      <c r="G1853" t="s">
        <v>23</v>
      </c>
      <c r="H1853">
        <v>1200</v>
      </c>
      <c r="I1853" s="16" t="str">
        <f t="shared" si="28"/>
        <v>Normal</v>
      </c>
      <c r="J1853">
        <v>2</v>
      </c>
    </row>
    <row r="1854" spans="1:10">
      <c r="A1854" t="s">
        <v>4224</v>
      </c>
      <c r="B1854" t="s">
        <v>112</v>
      </c>
      <c r="C1854" t="s">
        <v>2231</v>
      </c>
      <c r="D1854" s="9">
        <v>45925</v>
      </c>
      <c r="E1854" t="s">
        <v>2324</v>
      </c>
      <c r="F1854" s="20">
        <v>10</v>
      </c>
      <c r="G1854" t="s">
        <v>2331</v>
      </c>
      <c r="H1854">
        <v>3000</v>
      </c>
      <c r="I1854" s="16" t="str">
        <f t="shared" si="28"/>
        <v>Normal</v>
      </c>
      <c r="J1854">
        <v>4</v>
      </c>
    </row>
    <row r="1855" spans="1:10">
      <c r="A1855" t="s">
        <v>4225</v>
      </c>
      <c r="B1855" t="s">
        <v>940</v>
      </c>
      <c r="C1855" t="s">
        <v>2247</v>
      </c>
      <c r="D1855" s="9">
        <v>45849</v>
      </c>
      <c r="E1855" t="s">
        <v>2327</v>
      </c>
      <c r="F1855" s="20">
        <v>0</v>
      </c>
      <c r="G1855" t="s">
        <v>2331</v>
      </c>
      <c r="I1855" s="16" t="str">
        <f t="shared" si="28"/>
        <v>Unknown</v>
      </c>
      <c r="J1855">
        <v>3</v>
      </c>
    </row>
    <row r="1856" spans="1:10">
      <c r="A1856" t="s">
        <v>4226</v>
      </c>
      <c r="B1856" t="s">
        <v>4227</v>
      </c>
      <c r="C1856" t="s">
        <v>2271</v>
      </c>
      <c r="D1856" s="9">
        <v>45840</v>
      </c>
      <c r="E1856" t="s">
        <v>2327</v>
      </c>
      <c r="F1856" s="20">
        <v>20</v>
      </c>
      <c r="G1856" t="s">
        <v>2345</v>
      </c>
      <c r="H1856">
        <v>939.3</v>
      </c>
      <c r="I1856" s="16" t="str">
        <f t="shared" si="28"/>
        <v>Normal</v>
      </c>
      <c r="J1856" t="s">
        <v>39</v>
      </c>
    </row>
    <row r="1857" spans="1:10">
      <c r="A1857" t="s">
        <v>4228</v>
      </c>
      <c r="B1857" t="s">
        <v>836</v>
      </c>
      <c r="C1857" t="s">
        <v>2213</v>
      </c>
      <c r="D1857" s="9">
        <v>45441</v>
      </c>
      <c r="E1857" t="s">
        <v>2330</v>
      </c>
      <c r="F1857" s="20">
        <v>100</v>
      </c>
      <c r="G1857" t="s">
        <v>2339</v>
      </c>
      <c r="H1857">
        <v>1500</v>
      </c>
      <c r="I1857" s="16" t="str">
        <f t="shared" si="28"/>
        <v>Normal</v>
      </c>
      <c r="J1857">
        <v>5</v>
      </c>
    </row>
    <row r="1858" spans="1:10">
      <c r="A1858" t="s">
        <v>4229</v>
      </c>
      <c r="B1858" t="s">
        <v>1072</v>
      </c>
      <c r="C1858" t="s">
        <v>2269</v>
      </c>
      <c r="D1858" s="9">
        <v>45812</v>
      </c>
      <c r="E1858" t="s">
        <v>2324</v>
      </c>
      <c r="F1858" s="20">
        <v>60</v>
      </c>
      <c r="G1858" t="s">
        <v>2339</v>
      </c>
      <c r="H1858">
        <v>499</v>
      </c>
      <c r="I1858" s="16" t="str">
        <f t="shared" si="28"/>
        <v>Normal</v>
      </c>
      <c r="J1858">
        <v>5</v>
      </c>
    </row>
    <row r="1859" spans="1:10">
      <c r="A1859" t="s">
        <v>4230</v>
      </c>
      <c r="B1859" t="s">
        <v>4231</v>
      </c>
      <c r="C1859" t="s">
        <v>2244</v>
      </c>
      <c r="D1859" s="9">
        <v>45479</v>
      </c>
      <c r="E1859" t="s">
        <v>2324</v>
      </c>
      <c r="F1859" s="20">
        <v>25</v>
      </c>
      <c r="G1859" t="s">
        <v>2331</v>
      </c>
      <c r="H1859">
        <v>1200</v>
      </c>
      <c r="I1859" s="16" t="str">
        <f t="shared" ref="I1859:I1922" si="29">IF(H1859="", "Unknown", IF(H1859=0, "Zero Amount", IF(H1859&lt;1, "Review", IF(H1859&gt;1, "Normal"))))</f>
        <v>Normal</v>
      </c>
      <c r="J1859" t="s">
        <v>39</v>
      </c>
    </row>
    <row r="1860" spans="1:10">
      <c r="A1860" t="s">
        <v>4232</v>
      </c>
      <c r="B1860" t="s">
        <v>1586</v>
      </c>
      <c r="C1860" t="s">
        <v>2249</v>
      </c>
      <c r="D1860" s="9">
        <v>45874</v>
      </c>
      <c r="E1860" t="s">
        <v>2330</v>
      </c>
      <c r="F1860" s="20">
        <v>100</v>
      </c>
      <c r="G1860" t="s">
        <v>2345</v>
      </c>
      <c r="H1860">
        <v>-1500</v>
      </c>
      <c r="I1860" s="16" t="str">
        <f t="shared" si="29"/>
        <v>Review</v>
      </c>
      <c r="J1860">
        <v>3</v>
      </c>
    </row>
    <row r="1861" spans="1:10">
      <c r="A1861" t="s">
        <v>4233</v>
      </c>
      <c r="B1861" t="s">
        <v>578</v>
      </c>
      <c r="C1861" t="s">
        <v>2202</v>
      </c>
      <c r="D1861" s="9">
        <v>45748</v>
      </c>
      <c r="E1861" t="s">
        <v>2324</v>
      </c>
      <c r="F1861" s="20">
        <v>55</v>
      </c>
      <c r="G1861" t="s">
        <v>2328</v>
      </c>
      <c r="H1861">
        <v>999.99</v>
      </c>
      <c r="I1861" s="16" t="str">
        <f t="shared" si="29"/>
        <v>Normal</v>
      </c>
      <c r="J1861">
        <v>5</v>
      </c>
    </row>
    <row r="1862" spans="1:10">
      <c r="A1862" t="s">
        <v>4234</v>
      </c>
      <c r="B1862" t="s">
        <v>1107</v>
      </c>
      <c r="C1862" t="s">
        <v>2231</v>
      </c>
      <c r="D1862" s="9">
        <v>46039</v>
      </c>
      <c r="E1862" t="s">
        <v>2330</v>
      </c>
      <c r="F1862" s="20">
        <v>100</v>
      </c>
      <c r="G1862" t="s">
        <v>2331</v>
      </c>
      <c r="H1862">
        <v>3000</v>
      </c>
      <c r="I1862" s="16" t="str">
        <f t="shared" si="29"/>
        <v>Normal</v>
      </c>
      <c r="J1862">
        <v>1</v>
      </c>
    </row>
    <row r="1863" spans="1:10">
      <c r="A1863" t="s">
        <v>4235</v>
      </c>
      <c r="B1863" t="s">
        <v>894</v>
      </c>
      <c r="C1863" t="s">
        <v>2222</v>
      </c>
      <c r="D1863" s="9">
        <v>46186</v>
      </c>
      <c r="E1863" t="s">
        <v>2324</v>
      </c>
      <c r="F1863" s="20">
        <v>10</v>
      </c>
      <c r="G1863" t="s">
        <v>2331</v>
      </c>
      <c r="H1863">
        <v>0</v>
      </c>
      <c r="I1863" s="16" t="str">
        <f t="shared" si="29"/>
        <v>Zero Amount</v>
      </c>
      <c r="J1863" t="s">
        <v>39</v>
      </c>
    </row>
    <row r="1864" spans="1:10">
      <c r="A1864" t="s">
        <v>4236</v>
      </c>
      <c r="B1864" t="s">
        <v>1051</v>
      </c>
      <c r="C1864" t="s">
        <v>2273</v>
      </c>
      <c r="D1864" s="9">
        <v>45187</v>
      </c>
      <c r="E1864" t="s">
        <v>2337</v>
      </c>
      <c r="F1864" s="20">
        <v>15</v>
      </c>
      <c r="G1864" t="s">
        <v>2328</v>
      </c>
      <c r="H1864">
        <v>799</v>
      </c>
      <c r="I1864" s="16" t="str">
        <f t="shared" si="29"/>
        <v>Normal</v>
      </c>
      <c r="J1864" t="s">
        <v>39</v>
      </c>
    </row>
    <row r="1865" spans="1:10">
      <c r="A1865" t="s">
        <v>4237</v>
      </c>
      <c r="B1865" t="s">
        <v>489</v>
      </c>
      <c r="C1865" t="s">
        <v>2225</v>
      </c>
      <c r="D1865" s="9">
        <v>45213</v>
      </c>
      <c r="E1865" t="s">
        <v>2330</v>
      </c>
      <c r="F1865" s="20">
        <v>100</v>
      </c>
      <c r="G1865" t="s">
        <v>2331</v>
      </c>
      <c r="I1865" s="16" t="str">
        <f t="shared" si="29"/>
        <v>Unknown</v>
      </c>
      <c r="J1865">
        <v>5</v>
      </c>
    </row>
    <row r="1866" spans="1:10">
      <c r="A1866" t="s">
        <v>4238</v>
      </c>
      <c r="B1866" t="s">
        <v>542</v>
      </c>
      <c r="C1866" t="s">
        <v>2244</v>
      </c>
      <c r="D1866" s="9">
        <v>45864</v>
      </c>
      <c r="E1866" t="s">
        <v>23</v>
      </c>
      <c r="G1866" t="s">
        <v>2331</v>
      </c>
      <c r="H1866">
        <v>1200</v>
      </c>
      <c r="I1866" s="16" t="str">
        <f t="shared" si="29"/>
        <v>Normal</v>
      </c>
      <c r="J1866">
        <v>5</v>
      </c>
    </row>
    <row r="1867" spans="1:10">
      <c r="A1867" t="s">
        <v>4239</v>
      </c>
      <c r="B1867" t="s">
        <v>531</v>
      </c>
      <c r="C1867" t="s">
        <v>2216</v>
      </c>
      <c r="D1867" s="9">
        <v>45509</v>
      </c>
      <c r="E1867" t="s">
        <v>2324</v>
      </c>
      <c r="G1867" t="s">
        <v>2331</v>
      </c>
      <c r="H1867">
        <v>1200</v>
      </c>
      <c r="I1867" s="16" t="str">
        <f t="shared" si="29"/>
        <v>Normal</v>
      </c>
      <c r="J1867">
        <v>4</v>
      </c>
    </row>
    <row r="1868" spans="1:10">
      <c r="A1868" t="s">
        <v>4240</v>
      </c>
      <c r="B1868" t="s">
        <v>1288</v>
      </c>
      <c r="C1868" t="s">
        <v>2228</v>
      </c>
      <c r="D1868" s="9">
        <v>45927</v>
      </c>
      <c r="E1868" t="s">
        <v>2327</v>
      </c>
      <c r="F1868" s="20">
        <v>20</v>
      </c>
      <c r="G1868" t="s">
        <v>23</v>
      </c>
      <c r="H1868">
        <v>799</v>
      </c>
      <c r="I1868" s="16" t="str">
        <f t="shared" si="29"/>
        <v>Normal</v>
      </c>
      <c r="J1868" t="s">
        <v>39</v>
      </c>
    </row>
    <row r="1869" spans="1:10">
      <c r="A1869" t="s">
        <v>4241</v>
      </c>
      <c r="B1869" t="s">
        <v>630</v>
      </c>
      <c r="C1869" t="s">
        <v>2216</v>
      </c>
      <c r="D1869" s="9">
        <v>45275</v>
      </c>
      <c r="E1869" t="s">
        <v>2337</v>
      </c>
      <c r="F1869" s="20">
        <v>0</v>
      </c>
      <c r="G1869" t="s">
        <v>2345</v>
      </c>
      <c r="H1869">
        <v>1200</v>
      </c>
      <c r="I1869" s="16" t="str">
        <f t="shared" si="29"/>
        <v>Normal</v>
      </c>
      <c r="J1869" t="s">
        <v>39</v>
      </c>
    </row>
    <row r="1870" spans="1:10">
      <c r="A1870" t="s">
        <v>4242</v>
      </c>
      <c r="B1870" t="s">
        <v>1620</v>
      </c>
      <c r="C1870" t="s">
        <v>2261</v>
      </c>
      <c r="D1870" s="9">
        <v>45917</v>
      </c>
      <c r="E1870" t="s">
        <v>2324</v>
      </c>
      <c r="G1870" t="s">
        <v>23</v>
      </c>
      <c r="I1870" s="16" t="str">
        <f t="shared" si="29"/>
        <v>Unknown</v>
      </c>
      <c r="J1870">
        <v>2</v>
      </c>
    </row>
    <row r="1871" spans="1:10">
      <c r="A1871" t="s">
        <v>4243</v>
      </c>
      <c r="B1871" t="s">
        <v>1736</v>
      </c>
      <c r="C1871" t="s">
        <v>2205</v>
      </c>
      <c r="D1871" s="9">
        <v>45280</v>
      </c>
      <c r="E1871" t="s">
        <v>2324</v>
      </c>
      <c r="F1871" s="20">
        <v>10</v>
      </c>
      <c r="G1871" t="s">
        <v>23</v>
      </c>
      <c r="H1871">
        <v>1500</v>
      </c>
      <c r="I1871" s="16" t="str">
        <f t="shared" si="29"/>
        <v>Normal</v>
      </c>
      <c r="J1871">
        <v>5</v>
      </c>
    </row>
    <row r="1872" spans="1:10">
      <c r="A1872" t="s">
        <v>4244</v>
      </c>
      <c r="B1872" t="s">
        <v>784</v>
      </c>
      <c r="C1872" t="s">
        <v>2193</v>
      </c>
      <c r="D1872" s="9">
        <v>45577</v>
      </c>
      <c r="E1872" t="s">
        <v>23</v>
      </c>
      <c r="G1872" t="s">
        <v>2345</v>
      </c>
      <c r="H1872">
        <v>0</v>
      </c>
      <c r="I1872" s="16" t="str">
        <f t="shared" si="29"/>
        <v>Zero Amount</v>
      </c>
      <c r="J1872" t="s">
        <v>39</v>
      </c>
    </row>
    <row r="1873" spans="1:10">
      <c r="A1873" t="s">
        <v>4245</v>
      </c>
      <c r="B1873" t="s">
        <v>1782</v>
      </c>
      <c r="C1873" t="s">
        <v>2244</v>
      </c>
      <c r="D1873" s="9">
        <v>46163</v>
      </c>
      <c r="E1873" t="s">
        <v>2330</v>
      </c>
      <c r="F1873" s="20">
        <v>100</v>
      </c>
      <c r="G1873" t="s">
        <v>2345</v>
      </c>
      <c r="H1873">
        <v>982.78</v>
      </c>
      <c r="I1873" s="16" t="str">
        <f t="shared" si="29"/>
        <v>Normal</v>
      </c>
      <c r="J1873">
        <v>5</v>
      </c>
    </row>
    <row r="1874" spans="1:10">
      <c r="A1874" t="s">
        <v>4246</v>
      </c>
      <c r="B1874" t="s">
        <v>832</v>
      </c>
      <c r="C1874" t="s">
        <v>2202</v>
      </c>
      <c r="D1874" s="9">
        <v>44965</v>
      </c>
      <c r="E1874" t="s">
        <v>2324</v>
      </c>
      <c r="F1874" s="20">
        <v>40</v>
      </c>
      <c r="G1874" t="s">
        <v>2339</v>
      </c>
      <c r="H1874">
        <v>999.99</v>
      </c>
      <c r="I1874" s="16" t="str">
        <f t="shared" si="29"/>
        <v>Normal</v>
      </c>
      <c r="J1874">
        <v>1</v>
      </c>
    </row>
    <row r="1875" spans="1:10">
      <c r="A1875" t="s">
        <v>4247</v>
      </c>
      <c r="B1875" t="s">
        <v>1646</v>
      </c>
      <c r="C1875" t="s">
        <v>2222</v>
      </c>
      <c r="D1875" s="9">
        <v>45562</v>
      </c>
      <c r="E1875" t="s">
        <v>2330</v>
      </c>
      <c r="G1875" t="s">
        <v>23</v>
      </c>
      <c r="H1875">
        <v>0</v>
      </c>
      <c r="I1875" s="16" t="str">
        <f t="shared" si="29"/>
        <v>Zero Amount</v>
      </c>
      <c r="J1875">
        <v>5</v>
      </c>
    </row>
    <row r="1876" spans="1:10">
      <c r="A1876" t="s">
        <v>4248</v>
      </c>
      <c r="B1876" t="s">
        <v>704</v>
      </c>
      <c r="C1876" t="s">
        <v>2231</v>
      </c>
      <c r="D1876" s="9">
        <v>45285</v>
      </c>
      <c r="E1876" t="s">
        <v>2327</v>
      </c>
      <c r="G1876" t="s">
        <v>2328</v>
      </c>
      <c r="H1876">
        <v>1797.83</v>
      </c>
      <c r="I1876" s="16" t="str">
        <f t="shared" si="29"/>
        <v>Normal</v>
      </c>
      <c r="J1876" t="s">
        <v>39</v>
      </c>
    </row>
    <row r="1877" spans="1:10">
      <c r="A1877" t="s">
        <v>4249</v>
      </c>
      <c r="B1877" t="s">
        <v>1956</v>
      </c>
      <c r="C1877" t="s">
        <v>2231</v>
      </c>
      <c r="D1877" s="9">
        <v>45978</v>
      </c>
      <c r="E1877" t="s">
        <v>23</v>
      </c>
      <c r="G1877" t="s">
        <v>2345</v>
      </c>
      <c r="H1877">
        <v>3000</v>
      </c>
      <c r="I1877" s="16" t="str">
        <f t="shared" si="29"/>
        <v>Normal</v>
      </c>
      <c r="J1877" t="s">
        <v>39</v>
      </c>
    </row>
    <row r="1878" spans="1:10">
      <c r="A1878" t="s">
        <v>4250</v>
      </c>
      <c r="B1878" t="s">
        <v>4251</v>
      </c>
      <c r="C1878" t="s">
        <v>2235</v>
      </c>
      <c r="D1878" s="9">
        <v>45424</v>
      </c>
      <c r="E1878" t="s">
        <v>2337</v>
      </c>
      <c r="F1878" s="20">
        <v>15</v>
      </c>
      <c r="G1878" t="s">
        <v>2328</v>
      </c>
      <c r="H1878">
        <v>3000</v>
      </c>
      <c r="I1878" s="16" t="str">
        <f t="shared" si="29"/>
        <v>Normal</v>
      </c>
      <c r="J1878" t="s">
        <v>39</v>
      </c>
    </row>
    <row r="1879" spans="1:10">
      <c r="A1879" t="s">
        <v>4252</v>
      </c>
      <c r="B1879" t="s">
        <v>795</v>
      </c>
      <c r="C1879" t="s">
        <v>2205</v>
      </c>
      <c r="D1879" s="9">
        <v>45918</v>
      </c>
      <c r="E1879" t="s">
        <v>2324</v>
      </c>
      <c r="G1879" t="s">
        <v>2325</v>
      </c>
      <c r="H1879">
        <v>1500</v>
      </c>
      <c r="I1879" s="16" t="str">
        <f t="shared" si="29"/>
        <v>Normal</v>
      </c>
      <c r="J1879">
        <v>1</v>
      </c>
    </row>
    <row r="1880" spans="1:10">
      <c r="A1880" t="s">
        <v>4253</v>
      </c>
      <c r="B1880" t="s">
        <v>2030</v>
      </c>
      <c r="C1880" t="s">
        <v>2273</v>
      </c>
      <c r="D1880" s="9">
        <v>45902</v>
      </c>
      <c r="E1880" t="s">
        <v>23</v>
      </c>
      <c r="G1880" t="s">
        <v>2331</v>
      </c>
      <c r="H1880">
        <v>799</v>
      </c>
      <c r="I1880" s="16" t="str">
        <f t="shared" si="29"/>
        <v>Normal</v>
      </c>
      <c r="J1880">
        <v>4</v>
      </c>
    </row>
    <row r="1881" spans="1:10">
      <c r="A1881" t="s">
        <v>4254</v>
      </c>
      <c r="B1881" t="s">
        <v>498</v>
      </c>
      <c r="C1881" t="s">
        <v>2213</v>
      </c>
      <c r="D1881" s="9">
        <v>45535</v>
      </c>
      <c r="E1881" t="s">
        <v>2337</v>
      </c>
      <c r="G1881" t="s">
        <v>2328</v>
      </c>
      <c r="H1881">
        <v>1500</v>
      </c>
      <c r="I1881" s="16" t="str">
        <f t="shared" si="29"/>
        <v>Normal</v>
      </c>
      <c r="J1881">
        <v>5</v>
      </c>
    </row>
    <row r="1882" spans="1:10">
      <c r="A1882" t="s">
        <v>4255</v>
      </c>
      <c r="B1882" t="s">
        <v>155</v>
      </c>
      <c r="C1882" t="s">
        <v>2264</v>
      </c>
      <c r="D1882" s="9">
        <v>45601</v>
      </c>
      <c r="E1882" t="s">
        <v>2337</v>
      </c>
      <c r="G1882" t="s">
        <v>2331</v>
      </c>
      <c r="H1882">
        <v>2500</v>
      </c>
      <c r="I1882" s="16" t="str">
        <f t="shared" si="29"/>
        <v>Normal</v>
      </c>
      <c r="J1882">
        <v>1</v>
      </c>
    </row>
    <row r="1883" spans="1:10">
      <c r="A1883" t="s">
        <v>4256</v>
      </c>
      <c r="B1883" t="s">
        <v>1389</v>
      </c>
      <c r="C1883" t="s">
        <v>2261</v>
      </c>
      <c r="D1883" s="9">
        <v>45575</v>
      </c>
      <c r="E1883" t="s">
        <v>2330</v>
      </c>
      <c r="G1883" t="s">
        <v>2345</v>
      </c>
      <c r="I1883" s="16" t="str">
        <f t="shared" si="29"/>
        <v>Unknown</v>
      </c>
      <c r="J1883" t="s">
        <v>39</v>
      </c>
    </row>
    <row r="1884" spans="1:10">
      <c r="A1884" t="s">
        <v>4257</v>
      </c>
      <c r="B1884" t="s">
        <v>1945</v>
      </c>
      <c r="C1884" t="s">
        <v>2267</v>
      </c>
      <c r="D1884" s="9">
        <v>45420</v>
      </c>
      <c r="E1884" t="s">
        <v>2327</v>
      </c>
      <c r="F1884" s="20">
        <v>20</v>
      </c>
      <c r="G1884" t="s">
        <v>2331</v>
      </c>
      <c r="H1884">
        <v>999.99</v>
      </c>
      <c r="I1884" s="16" t="str">
        <f t="shared" si="29"/>
        <v>Normal</v>
      </c>
      <c r="J1884">
        <v>1</v>
      </c>
    </row>
    <row r="1885" spans="1:10">
      <c r="A1885" t="s">
        <v>4258</v>
      </c>
      <c r="B1885" t="s">
        <v>1239</v>
      </c>
      <c r="C1885" t="s">
        <v>2249</v>
      </c>
      <c r="D1885" s="9">
        <v>46108</v>
      </c>
      <c r="E1885" t="s">
        <v>2337</v>
      </c>
      <c r="F1885" s="20">
        <v>15</v>
      </c>
      <c r="G1885" t="s">
        <v>2331</v>
      </c>
      <c r="H1885">
        <v>1500</v>
      </c>
      <c r="I1885" s="16" t="str">
        <f t="shared" si="29"/>
        <v>Normal</v>
      </c>
      <c r="J1885" t="s">
        <v>39</v>
      </c>
    </row>
    <row r="1886" spans="1:10">
      <c r="A1886" t="s">
        <v>4259</v>
      </c>
      <c r="B1886" t="s">
        <v>1536</v>
      </c>
      <c r="C1886" t="s">
        <v>2235</v>
      </c>
      <c r="D1886" s="9">
        <v>45839</v>
      </c>
      <c r="E1886" t="s">
        <v>23</v>
      </c>
      <c r="G1886" t="s">
        <v>23</v>
      </c>
      <c r="H1886">
        <v>3000</v>
      </c>
      <c r="I1886" s="16" t="str">
        <f t="shared" si="29"/>
        <v>Normal</v>
      </c>
      <c r="J1886">
        <v>5</v>
      </c>
    </row>
    <row r="1887" spans="1:10">
      <c r="A1887" t="s">
        <v>4260</v>
      </c>
      <c r="B1887" t="s">
        <v>1853</v>
      </c>
      <c r="C1887" t="s">
        <v>2257</v>
      </c>
      <c r="D1887" s="9">
        <v>45670</v>
      </c>
      <c r="E1887" t="s">
        <v>2324</v>
      </c>
      <c r="F1887" s="20">
        <v>40</v>
      </c>
      <c r="G1887" t="s">
        <v>2331</v>
      </c>
      <c r="I1887" s="16" t="str">
        <f t="shared" si="29"/>
        <v>Unknown</v>
      </c>
      <c r="J1887" t="s">
        <v>39</v>
      </c>
    </row>
    <row r="1888" spans="1:10">
      <c r="A1888" t="s">
        <v>4261</v>
      </c>
      <c r="B1888" t="s">
        <v>1683</v>
      </c>
      <c r="C1888" t="s">
        <v>2257</v>
      </c>
      <c r="D1888" s="9">
        <v>45772</v>
      </c>
      <c r="E1888" t="s">
        <v>2330</v>
      </c>
      <c r="F1888" s="20">
        <v>100</v>
      </c>
      <c r="G1888" t="s">
        <v>2339</v>
      </c>
      <c r="I1888" s="16" t="str">
        <f t="shared" si="29"/>
        <v>Unknown</v>
      </c>
      <c r="J1888">
        <v>5</v>
      </c>
    </row>
    <row r="1889" spans="1:10">
      <c r="A1889" t="s">
        <v>4262</v>
      </c>
      <c r="B1889" t="s">
        <v>1770</v>
      </c>
      <c r="C1889" t="s">
        <v>2213</v>
      </c>
      <c r="D1889" s="9">
        <v>45299</v>
      </c>
      <c r="E1889" t="s">
        <v>2327</v>
      </c>
      <c r="F1889" s="20">
        <v>20</v>
      </c>
      <c r="G1889" t="s">
        <v>2339</v>
      </c>
      <c r="H1889">
        <v>1500</v>
      </c>
      <c r="I1889" s="16" t="str">
        <f t="shared" si="29"/>
        <v>Normal</v>
      </c>
      <c r="J1889">
        <v>1</v>
      </c>
    </row>
    <row r="1890" spans="1:10">
      <c r="A1890" t="s">
        <v>4263</v>
      </c>
      <c r="B1890" t="s">
        <v>684</v>
      </c>
      <c r="C1890" t="s">
        <v>2251</v>
      </c>
      <c r="D1890" s="9">
        <v>45810</v>
      </c>
      <c r="E1890" t="s">
        <v>23</v>
      </c>
      <c r="G1890" t="s">
        <v>2331</v>
      </c>
      <c r="H1890">
        <v>1500</v>
      </c>
      <c r="I1890" s="16" t="str">
        <f t="shared" si="29"/>
        <v>Normal</v>
      </c>
      <c r="J1890" t="s">
        <v>39</v>
      </c>
    </row>
    <row r="1891" spans="1:10">
      <c r="A1891" t="s">
        <v>4264</v>
      </c>
      <c r="B1891" t="s">
        <v>1723</v>
      </c>
      <c r="C1891" t="s">
        <v>2267</v>
      </c>
      <c r="D1891" s="9">
        <v>45253</v>
      </c>
      <c r="E1891" t="s">
        <v>23</v>
      </c>
      <c r="G1891" t="s">
        <v>23</v>
      </c>
      <c r="H1891">
        <v>999.99</v>
      </c>
      <c r="I1891" s="16" t="str">
        <f t="shared" si="29"/>
        <v>Normal</v>
      </c>
      <c r="J1891">
        <v>4</v>
      </c>
    </row>
    <row r="1892" spans="1:10">
      <c r="A1892" t="s">
        <v>4265</v>
      </c>
      <c r="B1892" t="s">
        <v>430</v>
      </c>
      <c r="C1892" t="s">
        <v>2233</v>
      </c>
      <c r="D1892" s="9">
        <v>45671</v>
      </c>
      <c r="E1892" t="s">
        <v>2330</v>
      </c>
      <c r="F1892" s="20">
        <v>100</v>
      </c>
      <c r="G1892" t="s">
        <v>2331</v>
      </c>
      <c r="H1892">
        <v>2500</v>
      </c>
      <c r="I1892" s="16" t="str">
        <f t="shared" si="29"/>
        <v>Normal</v>
      </c>
      <c r="J1892">
        <v>2</v>
      </c>
    </row>
    <row r="1893" spans="1:10">
      <c r="A1893" t="s">
        <v>4266</v>
      </c>
      <c r="B1893" t="s">
        <v>457</v>
      </c>
      <c r="C1893" t="s">
        <v>2222</v>
      </c>
      <c r="D1893" s="9">
        <v>45322</v>
      </c>
      <c r="E1893" t="s">
        <v>2337</v>
      </c>
      <c r="G1893" t="s">
        <v>2331</v>
      </c>
      <c r="H1893">
        <v>0</v>
      </c>
      <c r="I1893" s="16" t="str">
        <f t="shared" si="29"/>
        <v>Zero Amount</v>
      </c>
      <c r="J1893">
        <v>5</v>
      </c>
    </row>
    <row r="1894" spans="1:10">
      <c r="A1894" t="s">
        <v>4267</v>
      </c>
      <c r="B1894" t="s">
        <v>684</v>
      </c>
      <c r="C1894" t="s">
        <v>2202</v>
      </c>
      <c r="D1894" s="9">
        <v>45770</v>
      </c>
      <c r="E1894" t="s">
        <v>2330</v>
      </c>
      <c r="F1894" s="20">
        <v>100</v>
      </c>
      <c r="G1894" t="s">
        <v>2339</v>
      </c>
      <c r="H1894">
        <v>999.99</v>
      </c>
      <c r="I1894" s="16" t="str">
        <f t="shared" si="29"/>
        <v>Normal</v>
      </c>
      <c r="J1894">
        <v>1</v>
      </c>
    </row>
    <row r="1895" spans="1:10">
      <c r="A1895" t="s">
        <v>4268</v>
      </c>
      <c r="B1895" t="s">
        <v>4269</v>
      </c>
      <c r="C1895" t="s">
        <v>2187</v>
      </c>
      <c r="D1895" s="9">
        <v>45881</v>
      </c>
      <c r="E1895" t="s">
        <v>2337</v>
      </c>
      <c r="G1895" t="s">
        <v>2345</v>
      </c>
      <c r="H1895">
        <v>799</v>
      </c>
      <c r="I1895" s="16" t="str">
        <f t="shared" si="29"/>
        <v>Normal</v>
      </c>
      <c r="J1895">
        <v>5</v>
      </c>
    </row>
    <row r="1896" spans="1:10">
      <c r="A1896" t="s">
        <v>4270</v>
      </c>
      <c r="B1896" t="s">
        <v>713</v>
      </c>
      <c r="C1896" t="s">
        <v>2253</v>
      </c>
      <c r="D1896" s="9">
        <v>45931</v>
      </c>
      <c r="E1896" t="s">
        <v>2330</v>
      </c>
      <c r="G1896" t="s">
        <v>2345</v>
      </c>
      <c r="H1896">
        <v>1200</v>
      </c>
      <c r="I1896" s="16" t="str">
        <f t="shared" si="29"/>
        <v>Normal</v>
      </c>
      <c r="J1896">
        <v>5</v>
      </c>
    </row>
    <row r="1897" spans="1:10">
      <c r="A1897" t="s">
        <v>4271</v>
      </c>
      <c r="B1897" t="s">
        <v>1576</v>
      </c>
      <c r="C1897" t="s">
        <v>2244</v>
      </c>
      <c r="D1897" s="9">
        <v>45373</v>
      </c>
      <c r="E1897" t="s">
        <v>2324</v>
      </c>
      <c r="F1897" s="20">
        <v>55</v>
      </c>
      <c r="G1897" t="s">
        <v>2345</v>
      </c>
      <c r="H1897">
        <v>1200</v>
      </c>
      <c r="I1897" s="16" t="str">
        <f t="shared" si="29"/>
        <v>Normal</v>
      </c>
      <c r="J1897">
        <v>5</v>
      </c>
    </row>
    <row r="1898" spans="1:10">
      <c r="A1898" t="s">
        <v>4272</v>
      </c>
      <c r="B1898" t="s">
        <v>832</v>
      </c>
      <c r="C1898" t="s">
        <v>2264</v>
      </c>
      <c r="D1898" s="9">
        <v>45605</v>
      </c>
      <c r="E1898" t="s">
        <v>2337</v>
      </c>
      <c r="F1898" s="20">
        <v>5</v>
      </c>
      <c r="G1898" t="s">
        <v>2345</v>
      </c>
      <c r="H1898">
        <v>2500</v>
      </c>
      <c r="I1898" s="16" t="str">
        <f t="shared" si="29"/>
        <v>Normal</v>
      </c>
      <c r="J1898">
        <v>5</v>
      </c>
    </row>
    <row r="1899" spans="1:10">
      <c r="A1899" t="s">
        <v>4273</v>
      </c>
      <c r="B1899" t="s">
        <v>1291</v>
      </c>
      <c r="C1899" t="s">
        <v>2253</v>
      </c>
      <c r="D1899" s="9">
        <v>46124</v>
      </c>
      <c r="E1899" t="s">
        <v>2330</v>
      </c>
      <c r="F1899" s="20">
        <v>100</v>
      </c>
      <c r="G1899" t="s">
        <v>2325</v>
      </c>
      <c r="H1899">
        <v>1200</v>
      </c>
      <c r="I1899" s="16" t="str">
        <f t="shared" si="29"/>
        <v>Normal</v>
      </c>
      <c r="J1899">
        <v>2</v>
      </c>
    </row>
    <row r="1900" spans="1:10">
      <c r="A1900" t="s">
        <v>4274</v>
      </c>
      <c r="B1900" t="s">
        <v>717</v>
      </c>
      <c r="C1900" t="s">
        <v>2233</v>
      </c>
      <c r="D1900" s="9">
        <v>46057</v>
      </c>
      <c r="E1900" t="s">
        <v>2327</v>
      </c>
      <c r="F1900" s="20">
        <v>15</v>
      </c>
      <c r="G1900" t="s">
        <v>2325</v>
      </c>
      <c r="H1900">
        <v>1378.66</v>
      </c>
      <c r="I1900" s="16" t="str">
        <f t="shared" si="29"/>
        <v>Normal</v>
      </c>
      <c r="J1900">
        <v>2</v>
      </c>
    </row>
    <row r="1901" spans="1:10">
      <c r="A1901" t="s">
        <v>4275</v>
      </c>
      <c r="B1901" t="s">
        <v>453</v>
      </c>
      <c r="C1901" t="s">
        <v>2269</v>
      </c>
      <c r="D1901" s="9">
        <v>45887</v>
      </c>
      <c r="E1901" t="s">
        <v>2327</v>
      </c>
      <c r="G1901" t="s">
        <v>2328</v>
      </c>
      <c r="H1901">
        <v>499</v>
      </c>
      <c r="I1901" s="16" t="str">
        <f t="shared" si="29"/>
        <v>Normal</v>
      </c>
      <c r="J1901">
        <v>2</v>
      </c>
    </row>
    <row r="1902" spans="1:10">
      <c r="A1902" t="s">
        <v>4276</v>
      </c>
      <c r="B1902" t="s">
        <v>926</v>
      </c>
      <c r="C1902" t="s">
        <v>2273</v>
      </c>
      <c r="D1902" s="9">
        <v>46032</v>
      </c>
      <c r="E1902" t="s">
        <v>2330</v>
      </c>
      <c r="F1902" s="20">
        <v>100</v>
      </c>
      <c r="G1902" t="s">
        <v>2345</v>
      </c>
      <c r="H1902">
        <v>799</v>
      </c>
      <c r="I1902" s="16" t="str">
        <f t="shared" si="29"/>
        <v>Normal</v>
      </c>
      <c r="J1902">
        <v>5</v>
      </c>
    </row>
    <row r="1903" spans="1:10">
      <c r="A1903" t="s">
        <v>4277</v>
      </c>
      <c r="B1903" t="s">
        <v>1486</v>
      </c>
      <c r="C1903" t="s">
        <v>2261</v>
      </c>
      <c r="D1903" s="9">
        <v>45246</v>
      </c>
      <c r="E1903" t="s">
        <v>2330</v>
      </c>
      <c r="G1903" t="s">
        <v>2331</v>
      </c>
      <c r="I1903" s="16" t="str">
        <f t="shared" si="29"/>
        <v>Unknown</v>
      </c>
      <c r="J1903" t="s">
        <v>39</v>
      </c>
    </row>
    <row r="1904" spans="1:10">
      <c r="A1904" t="s">
        <v>4278</v>
      </c>
      <c r="B1904" t="s">
        <v>2038</v>
      </c>
      <c r="C1904" t="s">
        <v>2225</v>
      </c>
      <c r="D1904" s="9">
        <v>45672</v>
      </c>
      <c r="E1904" t="s">
        <v>2330</v>
      </c>
      <c r="F1904" s="20">
        <v>100</v>
      </c>
      <c r="G1904" t="s">
        <v>23</v>
      </c>
      <c r="I1904" s="16" t="str">
        <f t="shared" si="29"/>
        <v>Unknown</v>
      </c>
      <c r="J1904">
        <v>4</v>
      </c>
    </row>
    <row r="1905" spans="1:10">
      <c r="A1905" t="s">
        <v>4279</v>
      </c>
      <c r="B1905" t="s">
        <v>618</v>
      </c>
      <c r="C1905" t="s">
        <v>2261</v>
      </c>
      <c r="D1905" s="9">
        <v>46007</v>
      </c>
      <c r="E1905" t="s">
        <v>2327</v>
      </c>
      <c r="G1905" t="s">
        <v>2331</v>
      </c>
      <c r="I1905" s="16" t="str">
        <f t="shared" si="29"/>
        <v>Unknown</v>
      </c>
      <c r="J1905" t="s">
        <v>39</v>
      </c>
    </row>
    <row r="1906" spans="1:10">
      <c r="A1906" t="s">
        <v>4280</v>
      </c>
      <c r="B1906" t="s">
        <v>1449</v>
      </c>
      <c r="C1906" t="s">
        <v>2216</v>
      </c>
      <c r="D1906" s="9">
        <v>44933</v>
      </c>
      <c r="E1906" t="s">
        <v>2330</v>
      </c>
      <c r="F1906" s="20">
        <v>100</v>
      </c>
      <c r="G1906" t="s">
        <v>2328</v>
      </c>
      <c r="H1906">
        <v>1200</v>
      </c>
      <c r="I1906" s="16" t="str">
        <f t="shared" si="29"/>
        <v>Normal</v>
      </c>
      <c r="J1906">
        <v>2</v>
      </c>
    </row>
    <row r="1907" spans="1:10">
      <c r="A1907" t="s">
        <v>4281</v>
      </c>
      <c r="B1907" t="s">
        <v>258</v>
      </c>
      <c r="C1907" t="s">
        <v>2205</v>
      </c>
      <c r="D1907" s="9">
        <v>45554</v>
      </c>
      <c r="E1907" t="s">
        <v>2337</v>
      </c>
      <c r="F1907" s="20">
        <v>20</v>
      </c>
      <c r="G1907" t="s">
        <v>2339</v>
      </c>
      <c r="H1907">
        <v>1500</v>
      </c>
      <c r="I1907" s="16" t="str">
        <f t="shared" si="29"/>
        <v>Normal</v>
      </c>
      <c r="J1907">
        <v>4</v>
      </c>
    </row>
    <row r="1908" spans="1:10">
      <c r="A1908" t="s">
        <v>4282</v>
      </c>
      <c r="B1908" t="s">
        <v>1689</v>
      </c>
      <c r="C1908" t="s">
        <v>2269</v>
      </c>
      <c r="D1908" s="9">
        <v>45262</v>
      </c>
      <c r="E1908" t="s">
        <v>2330</v>
      </c>
      <c r="G1908" t="s">
        <v>23</v>
      </c>
      <c r="H1908">
        <v>499</v>
      </c>
      <c r="I1908" s="16" t="str">
        <f t="shared" si="29"/>
        <v>Normal</v>
      </c>
      <c r="J1908">
        <v>3</v>
      </c>
    </row>
    <row r="1909" spans="1:10">
      <c r="A1909" t="s">
        <v>4283</v>
      </c>
      <c r="B1909" t="s">
        <v>1011</v>
      </c>
      <c r="C1909" t="s">
        <v>2249</v>
      </c>
      <c r="D1909" s="9">
        <v>45171</v>
      </c>
      <c r="E1909" t="s">
        <v>2324</v>
      </c>
      <c r="F1909" s="20">
        <v>10</v>
      </c>
      <c r="G1909" t="s">
        <v>2328</v>
      </c>
      <c r="H1909">
        <v>1004.91</v>
      </c>
      <c r="I1909" s="16" t="str">
        <f t="shared" si="29"/>
        <v>Normal</v>
      </c>
      <c r="J1909">
        <v>5</v>
      </c>
    </row>
    <row r="1910" spans="1:10">
      <c r="A1910" t="s">
        <v>4284</v>
      </c>
      <c r="B1910" t="s">
        <v>1145</v>
      </c>
      <c r="C1910" t="s">
        <v>2267</v>
      </c>
      <c r="D1910" s="9">
        <v>46168</v>
      </c>
      <c r="E1910" t="s">
        <v>2337</v>
      </c>
      <c r="F1910" s="20">
        <v>20</v>
      </c>
      <c r="G1910" t="s">
        <v>2345</v>
      </c>
      <c r="H1910">
        <v>999.99</v>
      </c>
      <c r="I1910" s="16" t="str">
        <f t="shared" si="29"/>
        <v>Normal</v>
      </c>
      <c r="J1910">
        <v>3</v>
      </c>
    </row>
    <row r="1911" spans="1:10">
      <c r="A1911" t="s">
        <v>4285</v>
      </c>
      <c r="B1911" t="s">
        <v>664</v>
      </c>
      <c r="C1911" t="s">
        <v>2193</v>
      </c>
      <c r="D1911" s="9">
        <v>45439</v>
      </c>
      <c r="E1911" t="s">
        <v>2330</v>
      </c>
      <c r="F1911" s="20">
        <v>100</v>
      </c>
      <c r="G1911" t="s">
        <v>2339</v>
      </c>
      <c r="H1911">
        <v>0</v>
      </c>
      <c r="I1911" s="16" t="str">
        <f t="shared" si="29"/>
        <v>Zero Amount</v>
      </c>
      <c r="J1911" t="s">
        <v>39</v>
      </c>
    </row>
    <row r="1912" spans="1:10">
      <c r="A1912" t="s">
        <v>4286</v>
      </c>
      <c r="B1912" t="s">
        <v>213</v>
      </c>
      <c r="C1912" t="s">
        <v>2193</v>
      </c>
      <c r="D1912" s="9">
        <v>45303</v>
      </c>
      <c r="E1912" t="s">
        <v>2327</v>
      </c>
      <c r="F1912" s="20">
        <v>0</v>
      </c>
      <c r="G1912" t="s">
        <v>2345</v>
      </c>
      <c r="H1912">
        <v>0</v>
      </c>
      <c r="I1912" s="16" t="str">
        <f t="shared" si="29"/>
        <v>Zero Amount</v>
      </c>
      <c r="J1912">
        <v>3</v>
      </c>
    </row>
    <row r="1913" spans="1:10">
      <c r="A1913" t="s">
        <v>4287</v>
      </c>
      <c r="B1913" t="s">
        <v>910</v>
      </c>
      <c r="C1913" t="s">
        <v>2249</v>
      </c>
      <c r="D1913" s="9">
        <v>45858</v>
      </c>
      <c r="E1913" t="s">
        <v>2330</v>
      </c>
      <c r="G1913" t="s">
        <v>2345</v>
      </c>
      <c r="H1913">
        <v>900.26</v>
      </c>
      <c r="I1913" s="16" t="str">
        <f t="shared" si="29"/>
        <v>Normal</v>
      </c>
      <c r="J1913">
        <v>2</v>
      </c>
    </row>
    <row r="1914" spans="1:10">
      <c r="A1914" t="s">
        <v>4288</v>
      </c>
      <c r="B1914" t="s">
        <v>2155</v>
      </c>
      <c r="C1914" t="s">
        <v>2216</v>
      </c>
      <c r="D1914" s="9">
        <v>45687</v>
      </c>
      <c r="E1914" t="s">
        <v>2327</v>
      </c>
      <c r="F1914" s="20">
        <v>15</v>
      </c>
      <c r="G1914" t="s">
        <v>2339</v>
      </c>
      <c r="H1914">
        <v>1200</v>
      </c>
      <c r="I1914" s="16" t="str">
        <f t="shared" si="29"/>
        <v>Normal</v>
      </c>
      <c r="J1914">
        <v>1</v>
      </c>
    </row>
    <row r="1915" spans="1:10">
      <c r="A1915" t="s">
        <v>4289</v>
      </c>
      <c r="B1915" t="s">
        <v>48</v>
      </c>
      <c r="C1915" t="s">
        <v>2209</v>
      </c>
      <c r="D1915" s="9">
        <v>45460</v>
      </c>
      <c r="E1915" t="s">
        <v>2324</v>
      </c>
      <c r="F1915" s="20">
        <v>10</v>
      </c>
      <c r="G1915" t="s">
        <v>2331</v>
      </c>
      <c r="H1915">
        <v>499</v>
      </c>
      <c r="I1915" s="16" t="str">
        <f t="shared" si="29"/>
        <v>Normal</v>
      </c>
      <c r="J1915" t="s">
        <v>39</v>
      </c>
    </row>
    <row r="1916" spans="1:10">
      <c r="A1916" t="s">
        <v>4290</v>
      </c>
      <c r="B1916" t="s">
        <v>1251</v>
      </c>
      <c r="C1916" t="s">
        <v>2228</v>
      </c>
      <c r="D1916" s="9">
        <v>45164</v>
      </c>
      <c r="E1916" t="s">
        <v>2324</v>
      </c>
      <c r="F1916" s="20">
        <v>60</v>
      </c>
      <c r="G1916" t="s">
        <v>2345</v>
      </c>
      <c r="I1916" s="16" t="str">
        <f t="shared" si="29"/>
        <v>Unknown</v>
      </c>
      <c r="J1916">
        <v>1</v>
      </c>
    </row>
    <row r="1917" spans="1:10">
      <c r="A1917" t="s">
        <v>4291</v>
      </c>
      <c r="B1917" t="s">
        <v>1242</v>
      </c>
      <c r="C1917" t="s">
        <v>2264</v>
      </c>
      <c r="D1917" s="9">
        <v>45611</v>
      </c>
      <c r="E1917" t="s">
        <v>2330</v>
      </c>
      <c r="F1917" s="20">
        <v>100</v>
      </c>
      <c r="G1917" t="s">
        <v>2345</v>
      </c>
      <c r="H1917">
        <v>2500</v>
      </c>
      <c r="I1917" s="16" t="str">
        <f t="shared" si="29"/>
        <v>Normal</v>
      </c>
      <c r="J1917">
        <v>1</v>
      </c>
    </row>
    <row r="1918" spans="1:10">
      <c r="A1918" t="s">
        <v>4292</v>
      </c>
      <c r="B1918" t="s">
        <v>803</v>
      </c>
      <c r="C1918" t="s">
        <v>2249</v>
      </c>
      <c r="D1918" s="9">
        <v>45269</v>
      </c>
      <c r="E1918" t="s">
        <v>2330</v>
      </c>
      <c r="F1918" s="20">
        <v>100</v>
      </c>
      <c r="G1918" t="s">
        <v>2345</v>
      </c>
      <c r="H1918">
        <v>1500</v>
      </c>
      <c r="I1918" s="16" t="str">
        <f t="shared" si="29"/>
        <v>Normal</v>
      </c>
      <c r="J1918">
        <v>1</v>
      </c>
    </row>
    <row r="1919" spans="1:10">
      <c r="A1919" t="s">
        <v>4293</v>
      </c>
      <c r="B1919" t="s">
        <v>943</v>
      </c>
      <c r="C1919" t="s">
        <v>2231</v>
      </c>
      <c r="D1919" s="9">
        <v>45482</v>
      </c>
      <c r="E1919" t="s">
        <v>2337</v>
      </c>
      <c r="F1919" s="20">
        <v>5</v>
      </c>
      <c r="G1919" t="s">
        <v>2345</v>
      </c>
      <c r="H1919">
        <v>3000</v>
      </c>
      <c r="I1919" s="16" t="str">
        <f t="shared" si="29"/>
        <v>Normal</v>
      </c>
      <c r="J1919" t="s">
        <v>39</v>
      </c>
    </row>
    <row r="1920" spans="1:10">
      <c r="A1920" t="s">
        <v>4294</v>
      </c>
      <c r="B1920" t="s">
        <v>1308</v>
      </c>
      <c r="C1920" t="s">
        <v>2247</v>
      </c>
      <c r="D1920" s="9">
        <v>45710</v>
      </c>
      <c r="E1920" t="s">
        <v>2330</v>
      </c>
      <c r="F1920" s="20">
        <v>100</v>
      </c>
      <c r="G1920" t="s">
        <v>2345</v>
      </c>
      <c r="I1920" s="16" t="str">
        <f t="shared" si="29"/>
        <v>Unknown</v>
      </c>
      <c r="J1920" t="s">
        <v>39</v>
      </c>
    </row>
    <row r="1921" spans="1:10">
      <c r="A1921" t="s">
        <v>4295</v>
      </c>
      <c r="B1921" t="s">
        <v>1030</v>
      </c>
      <c r="C1921" t="s">
        <v>2198</v>
      </c>
      <c r="D1921" s="9">
        <v>45345</v>
      </c>
      <c r="E1921" t="s">
        <v>2330</v>
      </c>
      <c r="F1921" s="20">
        <v>100</v>
      </c>
      <c r="G1921" t="s">
        <v>2328</v>
      </c>
      <c r="I1921" s="16" t="str">
        <f t="shared" si="29"/>
        <v>Unknown</v>
      </c>
      <c r="J1921">
        <v>5</v>
      </c>
    </row>
    <row r="1922" spans="1:10">
      <c r="A1922" t="s">
        <v>4296</v>
      </c>
      <c r="B1922" t="s">
        <v>1187</v>
      </c>
      <c r="C1922" t="s">
        <v>2273</v>
      </c>
      <c r="D1922" s="9">
        <v>45787</v>
      </c>
      <c r="E1922" t="s">
        <v>2327</v>
      </c>
      <c r="F1922" s="20">
        <v>0</v>
      </c>
      <c r="G1922" t="s">
        <v>23</v>
      </c>
      <c r="I1922" s="16" t="str">
        <f t="shared" si="29"/>
        <v>Unknown</v>
      </c>
      <c r="J1922" t="s">
        <v>39</v>
      </c>
    </row>
    <row r="1923" spans="1:10">
      <c r="A1923" t="s">
        <v>4297</v>
      </c>
      <c r="B1923" t="s">
        <v>1500</v>
      </c>
      <c r="C1923" t="s">
        <v>2213</v>
      </c>
      <c r="D1923" s="9">
        <v>46114</v>
      </c>
      <c r="E1923" t="s">
        <v>23</v>
      </c>
      <c r="G1923" t="s">
        <v>2331</v>
      </c>
      <c r="H1923">
        <v>1500</v>
      </c>
      <c r="I1923" s="16" t="str">
        <f t="shared" ref="I1923:I1986" si="30">IF(H1923="", "Unknown", IF(H1923=0, "Zero Amount", IF(H1923&lt;1, "Review", IF(H1923&gt;1, "Normal"))))</f>
        <v>Normal</v>
      </c>
      <c r="J1923">
        <v>5</v>
      </c>
    </row>
    <row r="1924" spans="1:10">
      <c r="A1924" t="s">
        <v>4298</v>
      </c>
      <c r="B1924" t="s">
        <v>1058</v>
      </c>
      <c r="C1924" t="s">
        <v>2209</v>
      </c>
      <c r="D1924" s="9">
        <v>45398</v>
      </c>
      <c r="E1924" t="s">
        <v>2330</v>
      </c>
      <c r="F1924" s="20">
        <v>100</v>
      </c>
      <c r="G1924" t="s">
        <v>2345</v>
      </c>
      <c r="H1924">
        <v>499</v>
      </c>
      <c r="I1924" s="16" t="str">
        <f t="shared" si="30"/>
        <v>Normal</v>
      </c>
      <c r="J1924">
        <v>4</v>
      </c>
    </row>
    <row r="1925" spans="1:10">
      <c r="A1925" t="s">
        <v>4299</v>
      </c>
      <c r="B1925" t="s">
        <v>380</v>
      </c>
      <c r="C1925" t="s">
        <v>2247</v>
      </c>
      <c r="D1925" s="9">
        <v>45997</v>
      </c>
      <c r="E1925" t="s">
        <v>23</v>
      </c>
      <c r="G1925" t="s">
        <v>2331</v>
      </c>
      <c r="I1925" s="16" t="str">
        <f t="shared" si="30"/>
        <v>Unknown</v>
      </c>
      <c r="J1925">
        <v>3</v>
      </c>
    </row>
    <row r="1926" spans="1:10">
      <c r="A1926" t="s">
        <v>4300</v>
      </c>
      <c r="B1926" t="s">
        <v>1683</v>
      </c>
      <c r="C1926" t="s">
        <v>2205</v>
      </c>
      <c r="D1926" s="9">
        <v>46049</v>
      </c>
      <c r="E1926" t="s">
        <v>2337</v>
      </c>
      <c r="F1926" s="20">
        <v>20</v>
      </c>
      <c r="G1926" t="s">
        <v>2331</v>
      </c>
      <c r="H1926">
        <v>1500</v>
      </c>
      <c r="I1926" s="16" t="str">
        <f t="shared" si="30"/>
        <v>Normal</v>
      </c>
      <c r="J1926" t="s">
        <v>39</v>
      </c>
    </row>
    <row r="1927" spans="1:10">
      <c r="A1927" t="s">
        <v>4301</v>
      </c>
      <c r="B1927" t="s">
        <v>1786</v>
      </c>
      <c r="C1927" t="s">
        <v>2228</v>
      </c>
      <c r="D1927" s="9">
        <v>45738</v>
      </c>
      <c r="E1927" t="s">
        <v>2337</v>
      </c>
      <c r="F1927" s="20">
        <v>5</v>
      </c>
      <c r="G1927" t="s">
        <v>2345</v>
      </c>
      <c r="H1927">
        <v>799</v>
      </c>
      <c r="I1927" s="16" t="str">
        <f t="shared" si="30"/>
        <v>Normal</v>
      </c>
      <c r="J1927">
        <v>4</v>
      </c>
    </row>
    <row r="1928" spans="1:10">
      <c r="A1928" t="s">
        <v>4302</v>
      </c>
      <c r="B1928" t="s">
        <v>1755</v>
      </c>
      <c r="C1928" t="s">
        <v>2225</v>
      </c>
      <c r="D1928" s="9">
        <v>45433</v>
      </c>
      <c r="E1928" t="s">
        <v>2337</v>
      </c>
      <c r="F1928" s="20">
        <v>15</v>
      </c>
      <c r="G1928" t="s">
        <v>2339</v>
      </c>
      <c r="I1928" s="16" t="str">
        <f t="shared" si="30"/>
        <v>Unknown</v>
      </c>
      <c r="J1928">
        <v>4</v>
      </c>
    </row>
    <row r="1929" spans="1:10">
      <c r="A1929" t="s">
        <v>4303</v>
      </c>
      <c r="B1929" t="s">
        <v>137</v>
      </c>
      <c r="C1929" t="s">
        <v>2271</v>
      </c>
      <c r="D1929" s="9">
        <v>45782</v>
      </c>
      <c r="E1929" t="s">
        <v>2337</v>
      </c>
      <c r="F1929" s="20">
        <v>0</v>
      </c>
      <c r="G1929" t="s">
        <v>2325</v>
      </c>
      <c r="H1929">
        <v>1200</v>
      </c>
      <c r="I1929" s="16" t="str">
        <f t="shared" si="30"/>
        <v>Normal</v>
      </c>
      <c r="J1929">
        <v>5</v>
      </c>
    </row>
    <row r="1930" spans="1:10">
      <c r="A1930" t="s">
        <v>4304</v>
      </c>
      <c r="B1930" t="s">
        <v>141</v>
      </c>
      <c r="C1930" t="s">
        <v>2187</v>
      </c>
      <c r="D1930" s="9">
        <v>45539</v>
      </c>
      <c r="E1930" t="s">
        <v>2327</v>
      </c>
      <c r="G1930" t="s">
        <v>2339</v>
      </c>
      <c r="H1930">
        <v>799</v>
      </c>
      <c r="I1930" s="16" t="str">
        <f t="shared" si="30"/>
        <v>Normal</v>
      </c>
      <c r="J1930">
        <v>2</v>
      </c>
    </row>
    <row r="1931" spans="1:10">
      <c r="A1931" t="s">
        <v>4305</v>
      </c>
      <c r="B1931" t="s">
        <v>1030</v>
      </c>
      <c r="C1931" t="s">
        <v>2193</v>
      </c>
      <c r="D1931" s="9">
        <v>45377</v>
      </c>
      <c r="E1931" t="s">
        <v>2327</v>
      </c>
      <c r="F1931" s="20">
        <v>0</v>
      </c>
      <c r="G1931" t="s">
        <v>2325</v>
      </c>
      <c r="H1931">
        <v>0</v>
      </c>
      <c r="I1931" s="16" t="str">
        <f t="shared" si="30"/>
        <v>Zero Amount</v>
      </c>
      <c r="J1931" t="s">
        <v>39</v>
      </c>
    </row>
    <row r="1932" spans="1:10">
      <c r="A1932" t="s">
        <v>4306</v>
      </c>
      <c r="B1932" t="s">
        <v>1251</v>
      </c>
      <c r="C1932" t="s">
        <v>2228</v>
      </c>
      <c r="D1932" s="9">
        <v>45690</v>
      </c>
      <c r="E1932" t="s">
        <v>2324</v>
      </c>
      <c r="F1932" s="20">
        <v>10</v>
      </c>
      <c r="G1932" t="s">
        <v>2339</v>
      </c>
      <c r="H1932">
        <v>799</v>
      </c>
      <c r="I1932" s="16" t="str">
        <f t="shared" si="30"/>
        <v>Normal</v>
      </c>
      <c r="J1932">
        <v>2</v>
      </c>
    </row>
    <row r="1933" spans="1:10">
      <c r="A1933" t="s">
        <v>4307</v>
      </c>
      <c r="B1933" t="s">
        <v>2401</v>
      </c>
      <c r="C1933" t="s">
        <v>2247</v>
      </c>
      <c r="D1933" s="9">
        <v>45820</v>
      </c>
      <c r="E1933" t="s">
        <v>2324</v>
      </c>
      <c r="F1933" s="20">
        <v>40</v>
      </c>
      <c r="G1933" t="s">
        <v>2345</v>
      </c>
      <c r="I1933" s="16" t="str">
        <f t="shared" si="30"/>
        <v>Unknown</v>
      </c>
      <c r="J1933">
        <v>1</v>
      </c>
    </row>
    <row r="1934" spans="1:10">
      <c r="A1934" t="s">
        <v>4308</v>
      </c>
      <c r="B1934" t="s">
        <v>1914</v>
      </c>
      <c r="C1934" t="s">
        <v>2269</v>
      </c>
      <c r="D1934" s="9">
        <v>45182</v>
      </c>
      <c r="E1934" t="s">
        <v>23</v>
      </c>
      <c r="G1934" t="s">
        <v>2339</v>
      </c>
      <c r="H1934">
        <v>399.68</v>
      </c>
      <c r="I1934" s="16" t="str">
        <f t="shared" si="30"/>
        <v>Normal</v>
      </c>
      <c r="J1934">
        <v>4</v>
      </c>
    </row>
    <row r="1935" spans="1:10">
      <c r="A1935" t="s">
        <v>4309</v>
      </c>
      <c r="B1935" t="s">
        <v>997</v>
      </c>
      <c r="C1935" t="s">
        <v>2235</v>
      </c>
      <c r="D1935" s="9">
        <v>45265</v>
      </c>
      <c r="E1935" t="s">
        <v>2327</v>
      </c>
      <c r="F1935" s="20">
        <v>15</v>
      </c>
      <c r="G1935" t="s">
        <v>2339</v>
      </c>
      <c r="H1935">
        <v>3000</v>
      </c>
      <c r="I1935" s="16" t="str">
        <f t="shared" si="30"/>
        <v>Normal</v>
      </c>
      <c r="J1935">
        <v>2</v>
      </c>
    </row>
    <row r="1936" spans="1:10">
      <c r="A1936" t="s">
        <v>4310</v>
      </c>
      <c r="B1936" t="s">
        <v>380</v>
      </c>
      <c r="C1936" t="s">
        <v>2241</v>
      </c>
      <c r="D1936" s="9">
        <v>45898</v>
      </c>
      <c r="E1936" t="s">
        <v>2330</v>
      </c>
      <c r="F1936" s="20">
        <v>100</v>
      </c>
      <c r="G1936" t="s">
        <v>2331</v>
      </c>
      <c r="H1936">
        <v>2500</v>
      </c>
      <c r="I1936" s="16" t="str">
        <f t="shared" si="30"/>
        <v>Normal</v>
      </c>
      <c r="J1936">
        <v>2</v>
      </c>
    </row>
    <row r="1937" spans="1:10">
      <c r="A1937" t="s">
        <v>4311</v>
      </c>
      <c r="B1937" t="s">
        <v>1999</v>
      </c>
      <c r="C1937" t="s">
        <v>2264</v>
      </c>
      <c r="D1937" s="9">
        <v>45404</v>
      </c>
      <c r="E1937" t="s">
        <v>2327</v>
      </c>
      <c r="F1937" s="20">
        <v>0</v>
      </c>
      <c r="G1937" t="s">
        <v>23</v>
      </c>
      <c r="H1937">
        <v>2500</v>
      </c>
      <c r="I1937" s="16" t="str">
        <f t="shared" si="30"/>
        <v>Normal</v>
      </c>
      <c r="J1937">
        <v>2</v>
      </c>
    </row>
    <row r="1938" spans="1:10">
      <c r="A1938" t="s">
        <v>4312</v>
      </c>
      <c r="B1938" t="s">
        <v>1827</v>
      </c>
      <c r="C1938" t="s">
        <v>2193</v>
      </c>
      <c r="D1938" s="9">
        <v>45386</v>
      </c>
      <c r="E1938" t="s">
        <v>23</v>
      </c>
      <c r="G1938" t="s">
        <v>2325</v>
      </c>
      <c r="H1938">
        <v>0</v>
      </c>
      <c r="I1938" s="16" t="str">
        <f t="shared" si="30"/>
        <v>Zero Amount</v>
      </c>
      <c r="J1938">
        <v>4</v>
      </c>
    </row>
    <row r="1939" spans="1:10">
      <c r="A1939" t="s">
        <v>4313</v>
      </c>
      <c r="B1939" t="s">
        <v>803</v>
      </c>
      <c r="C1939" t="s">
        <v>2271</v>
      </c>
      <c r="D1939" s="9">
        <v>45210</v>
      </c>
      <c r="E1939" t="s">
        <v>2327</v>
      </c>
      <c r="G1939" t="s">
        <v>2328</v>
      </c>
      <c r="H1939">
        <v>1200</v>
      </c>
      <c r="I1939" s="16" t="str">
        <f t="shared" si="30"/>
        <v>Normal</v>
      </c>
      <c r="J1939">
        <v>4</v>
      </c>
    </row>
    <row r="1940" spans="1:10">
      <c r="A1940" t="s">
        <v>4314</v>
      </c>
      <c r="B1940" t="s">
        <v>1333</v>
      </c>
      <c r="C1940" t="s">
        <v>2202</v>
      </c>
      <c r="D1940" s="9">
        <v>45941</v>
      </c>
      <c r="E1940" t="s">
        <v>2330</v>
      </c>
      <c r="F1940" s="20">
        <v>100</v>
      </c>
      <c r="G1940" t="s">
        <v>2345</v>
      </c>
      <c r="I1940" s="16" t="str">
        <f t="shared" si="30"/>
        <v>Unknown</v>
      </c>
      <c r="J1940" t="s">
        <v>39</v>
      </c>
    </row>
    <row r="1941" spans="1:10">
      <c r="A1941" t="s">
        <v>4315</v>
      </c>
      <c r="B1941" t="s">
        <v>1614</v>
      </c>
      <c r="C1941" t="s">
        <v>2218</v>
      </c>
      <c r="D1941" s="9">
        <v>45741</v>
      </c>
      <c r="E1941" t="s">
        <v>2324</v>
      </c>
      <c r="F1941" s="20">
        <v>75</v>
      </c>
      <c r="G1941" t="s">
        <v>2331</v>
      </c>
      <c r="H1941">
        <v>1255.8399999999999</v>
      </c>
      <c r="I1941" s="16" t="str">
        <f t="shared" si="30"/>
        <v>Normal</v>
      </c>
      <c r="J1941">
        <v>5</v>
      </c>
    </row>
    <row r="1942" spans="1:10">
      <c r="A1942" t="s">
        <v>4316</v>
      </c>
      <c r="B1942" t="s">
        <v>1952</v>
      </c>
      <c r="C1942" t="s">
        <v>2241</v>
      </c>
      <c r="D1942" s="9">
        <v>45937</v>
      </c>
      <c r="E1942" t="s">
        <v>2327</v>
      </c>
      <c r="F1942" s="20">
        <v>15</v>
      </c>
      <c r="G1942" t="s">
        <v>23</v>
      </c>
      <c r="H1942">
        <v>2500</v>
      </c>
      <c r="I1942" s="16" t="str">
        <f t="shared" si="30"/>
        <v>Normal</v>
      </c>
      <c r="J1942">
        <v>4</v>
      </c>
    </row>
    <row r="1943" spans="1:10">
      <c r="A1943" t="s">
        <v>4317</v>
      </c>
      <c r="B1943" t="s">
        <v>535</v>
      </c>
      <c r="C1943" t="s">
        <v>2231</v>
      </c>
      <c r="D1943" s="9">
        <v>45459</v>
      </c>
      <c r="E1943" t="s">
        <v>2330</v>
      </c>
      <c r="F1943" s="20">
        <v>100</v>
      </c>
      <c r="G1943" t="s">
        <v>23</v>
      </c>
      <c r="H1943">
        <v>3000</v>
      </c>
      <c r="I1943" s="16" t="str">
        <f t="shared" si="30"/>
        <v>Normal</v>
      </c>
      <c r="J1943">
        <v>5</v>
      </c>
    </row>
    <row r="1944" spans="1:10">
      <c r="A1944" t="s">
        <v>4318</v>
      </c>
      <c r="B1944" t="s">
        <v>498</v>
      </c>
      <c r="C1944" t="s">
        <v>2253</v>
      </c>
      <c r="D1944" s="9">
        <v>45944</v>
      </c>
      <c r="E1944" t="s">
        <v>2327</v>
      </c>
      <c r="F1944" s="20">
        <v>15</v>
      </c>
      <c r="G1944" t="s">
        <v>2331</v>
      </c>
      <c r="H1944">
        <v>1200</v>
      </c>
      <c r="I1944" s="16" t="str">
        <f t="shared" si="30"/>
        <v>Normal</v>
      </c>
      <c r="J1944">
        <v>2</v>
      </c>
    </row>
    <row r="1945" spans="1:10">
      <c r="A1945" t="s">
        <v>4319</v>
      </c>
      <c r="B1945" t="s">
        <v>1401</v>
      </c>
      <c r="C1945" t="s">
        <v>2198</v>
      </c>
      <c r="D1945" s="9">
        <v>45747</v>
      </c>
      <c r="E1945" t="s">
        <v>2337</v>
      </c>
      <c r="F1945" s="20">
        <v>5</v>
      </c>
      <c r="G1945" t="s">
        <v>2339</v>
      </c>
      <c r="I1945" s="16" t="str">
        <f t="shared" si="30"/>
        <v>Unknown</v>
      </c>
      <c r="J1945">
        <v>5</v>
      </c>
    </row>
    <row r="1946" spans="1:10">
      <c r="A1946" t="s">
        <v>4320</v>
      </c>
      <c r="B1946" t="s">
        <v>1319</v>
      </c>
      <c r="C1946" t="s">
        <v>2187</v>
      </c>
      <c r="D1946" s="9">
        <v>45401</v>
      </c>
      <c r="E1946" t="s">
        <v>2327</v>
      </c>
      <c r="F1946" s="20">
        <v>15</v>
      </c>
      <c r="G1946" t="s">
        <v>2345</v>
      </c>
      <c r="H1946">
        <v>799</v>
      </c>
      <c r="I1946" s="16" t="str">
        <f t="shared" si="30"/>
        <v>Normal</v>
      </c>
      <c r="J1946">
        <v>4</v>
      </c>
    </row>
    <row r="1947" spans="1:10">
      <c r="A1947" t="s">
        <v>4321</v>
      </c>
      <c r="B1947" t="s">
        <v>1666</v>
      </c>
      <c r="C1947" t="s">
        <v>2209</v>
      </c>
      <c r="D1947" s="9">
        <v>45982</v>
      </c>
      <c r="E1947" t="s">
        <v>2337</v>
      </c>
      <c r="F1947" s="20">
        <v>5</v>
      </c>
      <c r="G1947" t="s">
        <v>2339</v>
      </c>
      <c r="H1947">
        <v>499</v>
      </c>
      <c r="I1947" s="16" t="str">
        <f t="shared" si="30"/>
        <v>Normal</v>
      </c>
      <c r="J1947">
        <v>4</v>
      </c>
    </row>
    <row r="1948" spans="1:10">
      <c r="A1948" t="s">
        <v>4322</v>
      </c>
      <c r="B1948" t="s">
        <v>80</v>
      </c>
      <c r="C1948" t="s">
        <v>2198</v>
      </c>
      <c r="D1948" s="9">
        <v>46052</v>
      </c>
      <c r="E1948" t="s">
        <v>2327</v>
      </c>
      <c r="F1948" s="20">
        <v>5</v>
      </c>
      <c r="G1948" t="s">
        <v>2339</v>
      </c>
      <c r="I1948" s="16" t="str">
        <f t="shared" si="30"/>
        <v>Unknown</v>
      </c>
      <c r="J1948">
        <v>2</v>
      </c>
    </row>
    <row r="1949" spans="1:10">
      <c r="A1949" t="s">
        <v>4323</v>
      </c>
      <c r="B1949" t="s">
        <v>1354</v>
      </c>
      <c r="C1949" t="s">
        <v>2187</v>
      </c>
      <c r="D1949" s="9">
        <v>45830</v>
      </c>
      <c r="E1949" t="s">
        <v>2337</v>
      </c>
      <c r="F1949" s="20">
        <v>20</v>
      </c>
      <c r="G1949" t="s">
        <v>23</v>
      </c>
      <c r="H1949">
        <v>799</v>
      </c>
      <c r="I1949" s="16" t="str">
        <f t="shared" si="30"/>
        <v>Normal</v>
      </c>
      <c r="J1949" t="s">
        <v>39</v>
      </c>
    </row>
    <row r="1950" spans="1:10">
      <c r="A1950" t="s">
        <v>4324</v>
      </c>
      <c r="B1950" t="s">
        <v>192</v>
      </c>
      <c r="C1950" t="s">
        <v>2205</v>
      </c>
      <c r="D1950" s="9">
        <v>45616</v>
      </c>
      <c r="E1950" t="s">
        <v>2337</v>
      </c>
      <c r="F1950" s="20">
        <v>0</v>
      </c>
      <c r="G1950" t="s">
        <v>2331</v>
      </c>
      <c r="H1950">
        <v>1500</v>
      </c>
      <c r="I1950" s="16" t="str">
        <f t="shared" si="30"/>
        <v>Normal</v>
      </c>
      <c r="J1950">
        <v>2</v>
      </c>
    </row>
    <row r="1951" spans="1:10">
      <c r="A1951" t="s">
        <v>4325</v>
      </c>
      <c r="B1951" t="s">
        <v>236</v>
      </c>
      <c r="C1951" t="s">
        <v>2247</v>
      </c>
      <c r="D1951" s="9">
        <v>45282</v>
      </c>
      <c r="E1951" t="s">
        <v>2337</v>
      </c>
      <c r="F1951" s="20">
        <v>5</v>
      </c>
      <c r="G1951" t="s">
        <v>2345</v>
      </c>
      <c r="I1951" s="16" t="str">
        <f t="shared" si="30"/>
        <v>Unknown</v>
      </c>
      <c r="J1951" t="s">
        <v>39</v>
      </c>
    </row>
    <row r="1952" spans="1:10">
      <c r="A1952" t="s">
        <v>4326</v>
      </c>
      <c r="B1952" t="s">
        <v>192</v>
      </c>
      <c r="C1952" t="s">
        <v>2187</v>
      </c>
      <c r="D1952" s="9">
        <v>45956</v>
      </c>
      <c r="E1952" t="s">
        <v>2330</v>
      </c>
      <c r="F1952" s="20">
        <v>100</v>
      </c>
      <c r="G1952" t="s">
        <v>2331</v>
      </c>
      <c r="H1952">
        <v>799</v>
      </c>
      <c r="I1952" s="16" t="str">
        <f t="shared" si="30"/>
        <v>Normal</v>
      </c>
      <c r="J1952">
        <v>4</v>
      </c>
    </row>
    <row r="1953" spans="1:10">
      <c r="A1953" t="s">
        <v>4327</v>
      </c>
      <c r="B1953" t="s">
        <v>2119</v>
      </c>
      <c r="C1953" t="s">
        <v>2216</v>
      </c>
      <c r="D1953" s="9">
        <v>46182</v>
      </c>
      <c r="E1953" t="s">
        <v>2324</v>
      </c>
      <c r="G1953" t="s">
        <v>2339</v>
      </c>
      <c r="H1953">
        <v>1200</v>
      </c>
      <c r="I1953" s="16" t="str">
        <f t="shared" si="30"/>
        <v>Normal</v>
      </c>
      <c r="J1953">
        <v>1</v>
      </c>
    </row>
    <row r="1954" spans="1:10">
      <c r="A1954" t="s">
        <v>4328</v>
      </c>
      <c r="B1954" t="s">
        <v>531</v>
      </c>
      <c r="C1954" t="s">
        <v>2209</v>
      </c>
      <c r="D1954" s="9">
        <v>45198</v>
      </c>
      <c r="E1954" t="s">
        <v>23</v>
      </c>
      <c r="G1954" t="s">
        <v>2325</v>
      </c>
      <c r="H1954">
        <v>499</v>
      </c>
      <c r="I1954" s="16" t="str">
        <f t="shared" si="30"/>
        <v>Normal</v>
      </c>
      <c r="J1954" t="s">
        <v>39</v>
      </c>
    </row>
    <row r="1955" spans="1:10">
      <c r="A1955" t="s">
        <v>4329</v>
      </c>
      <c r="B1955" t="s">
        <v>1432</v>
      </c>
      <c r="C1955" t="s">
        <v>2269</v>
      </c>
      <c r="D1955" s="9">
        <v>45978</v>
      </c>
      <c r="E1955" t="s">
        <v>2330</v>
      </c>
      <c r="F1955" s="20">
        <v>100</v>
      </c>
      <c r="G1955" t="s">
        <v>2339</v>
      </c>
      <c r="H1955">
        <v>499</v>
      </c>
      <c r="I1955" s="16" t="str">
        <f t="shared" si="30"/>
        <v>Normal</v>
      </c>
      <c r="J1955">
        <v>4</v>
      </c>
    </row>
    <row r="1956" spans="1:10">
      <c r="A1956" t="s">
        <v>4330</v>
      </c>
      <c r="B1956" t="s">
        <v>1713</v>
      </c>
      <c r="C1956" t="s">
        <v>2237</v>
      </c>
      <c r="D1956" s="9">
        <v>45258</v>
      </c>
      <c r="E1956" t="s">
        <v>2330</v>
      </c>
      <c r="F1956" s="20">
        <v>100</v>
      </c>
      <c r="G1956" t="s">
        <v>2328</v>
      </c>
      <c r="H1956">
        <v>-1500</v>
      </c>
      <c r="I1956" s="16" t="str">
        <f t="shared" si="30"/>
        <v>Review</v>
      </c>
      <c r="J1956">
        <v>3</v>
      </c>
    </row>
    <row r="1957" spans="1:10">
      <c r="A1957" t="s">
        <v>4331</v>
      </c>
      <c r="B1957" t="s">
        <v>445</v>
      </c>
      <c r="C1957" t="s">
        <v>2273</v>
      </c>
      <c r="D1957" s="9">
        <v>45278</v>
      </c>
      <c r="E1957" t="s">
        <v>2337</v>
      </c>
      <c r="F1957" s="20">
        <v>0</v>
      </c>
      <c r="G1957" t="s">
        <v>2339</v>
      </c>
      <c r="H1957">
        <v>799</v>
      </c>
      <c r="I1957" s="16" t="str">
        <f t="shared" si="30"/>
        <v>Normal</v>
      </c>
      <c r="J1957">
        <v>5</v>
      </c>
    </row>
    <row r="1958" spans="1:10">
      <c r="A1958" t="s">
        <v>4332</v>
      </c>
      <c r="B1958" t="s">
        <v>1460</v>
      </c>
      <c r="C1958" t="s">
        <v>2222</v>
      </c>
      <c r="D1958" s="9">
        <v>46056</v>
      </c>
      <c r="E1958" t="s">
        <v>2324</v>
      </c>
      <c r="F1958" s="20">
        <v>10</v>
      </c>
      <c r="G1958" t="s">
        <v>2325</v>
      </c>
      <c r="H1958">
        <v>0</v>
      </c>
      <c r="I1958" s="16" t="str">
        <f t="shared" si="30"/>
        <v>Zero Amount</v>
      </c>
      <c r="J1958" t="s">
        <v>39</v>
      </c>
    </row>
    <row r="1959" spans="1:10">
      <c r="A1959" t="s">
        <v>4333</v>
      </c>
      <c r="B1959" t="s">
        <v>1719</v>
      </c>
      <c r="C1959" t="s">
        <v>2209</v>
      </c>
      <c r="D1959" s="9">
        <v>45452</v>
      </c>
      <c r="E1959" t="s">
        <v>2330</v>
      </c>
      <c r="G1959" t="s">
        <v>2328</v>
      </c>
      <c r="H1959">
        <v>-499</v>
      </c>
      <c r="I1959" s="16" t="str">
        <f t="shared" si="30"/>
        <v>Review</v>
      </c>
      <c r="J1959">
        <v>4</v>
      </c>
    </row>
    <row r="1960" spans="1:10">
      <c r="A1960" t="s">
        <v>4334</v>
      </c>
      <c r="B1960" t="s">
        <v>578</v>
      </c>
      <c r="C1960" t="s">
        <v>2269</v>
      </c>
      <c r="D1960" s="9">
        <v>46079</v>
      </c>
      <c r="E1960" t="s">
        <v>2324</v>
      </c>
      <c r="F1960" s="20">
        <v>25</v>
      </c>
      <c r="G1960" t="s">
        <v>2331</v>
      </c>
      <c r="H1960">
        <v>499</v>
      </c>
      <c r="I1960" s="16" t="str">
        <f t="shared" si="30"/>
        <v>Normal</v>
      </c>
      <c r="J1960">
        <v>1</v>
      </c>
    </row>
    <row r="1961" spans="1:10">
      <c r="A1961" t="s">
        <v>4335</v>
      </c>
      <c r="B1961" t="s">
        <v>75</v>
      </c>
      <c r="C1961" t="s">
        <v>2251</v>
      </c>
      <c r="D1961" s="9">
        <v>45155</v>
      </c>
      <c r="E1961" t="s">
        <v>2330</v>
      </c>
      <c r="G1961" t="s">
        <v>2328</v>
      </c>
      <c r="H1961">
        <v>1500</v>
      </c>
      <c r="I1961" s="16" t="str">
        <f t="shared" si="30"/>
        <v>Normal</v>
      </c>
      <c r="J1961">
        <v>2</v>
      </c>
    </row>
    <row r="1962" spans="1:10">
      <c r="A1962" t="s">
        <v>4336</v>
      </c>
      <c r="B1962" t="s">
        <v>1140</v>
      </c>
      <c r="C1962" t="s">
        <v>2205</v>
      </c>
      <c r="D1962" s="9">
        <v>45658</v>
      </c>
      <c r="E1962" t="s">
        <v>2324</v>
      </c>
      <c r="F1962" s="20">
        <v>55</v>
      </c>
      <c r="G1962" t="s">
        <v>2345</v>
      </c>
      <c r="H1962">
        <v>1500</v>
      </c>
      <c r="I1962" s="16" t="str">
        <f t="shared" si="30"/>
        <v>Normal</v>
      </c>
      <c r="J1962">
        <v>3</v>
      </c>
    </row>
    <row r="1963" spans="1:10">
      <c r="A1963" t="s">
        <v>4337</v>
      </c>
      <c r="B1963" t="s">
        <v>466</v>
      </c>
      <c r="C1963" t="s">
        <v>2273</v>
      </c>
      <c r="D1963" s="9">
        <v>45579</v>
      </c>
      <c r="E1963" t="s">
        <v>2330</v>
      </c>
      <c r="F1963" s="20">
        <v>100</v>
      </c>
      <c r="G1963" t="s">
        <v>23</v>
      </c>
      <c r="H1963">
        <v>799</v>
      </c>
      <c r="I1963" s="16" t="str">
        <f t="shared" si="30"/>
        <v>Normal</v>
      </c>
      <c r="J1963">
        <v>5</v>
      </c>
    </row>
    <row r="1964" spans="1:10">
      <c r="A1964" t="s">
        <v>4338</v>
      </c>
      <c r="B1964" t="s">
        <v>1452</v>
      </c>
      <c r="C1964" t="s">
        <v>2241</v>
      </c>
      <c r="D1964" s="9">
        <v>45826</v>
      </c>
      <c r="E1964" t="s">
        <v>23</v>
      </c>
      <c r="G1964" t="s">
        <v>2345</v>
      </c>
      <c r="H1964">
        <v>1881.36</v>
      </c>
      <c r="I1964" s="16" t="str">
        <f t="shared" si="30"/>
        <v>Normal</v>
      </c>
      <c r="J1964">
        <v>4</v>
      </c>
    </row>
    <row r="1965" spans="1:10">
      <c r="A1965" t="s">
        <v>4339</v>
      </c>
      <c r="B1965" t="s">
        <v>1576</v>
      </c>
      <c r="C1965" t="s">
        <v>2269</v>
      </c>
      <c r="D1965" s="9">
        <v>45456</v>
      </c>
      <c r="E1965" t="s">
        <v>2330</v>
      </c>
      <c r="F1965" s="20">
        <v>100</v>
      </c>
      <c r="G1965" t="s">
        <v>2339</v>
      </c>
      <c r="I1965" s="16" t="str">
        <f t="shared" si="30"/>
        <v>Unknown</v>
      </c>
      <c r="J1965">
        <v>2</v>
      </c>
    </row>
    <row r="1966" spans="1:10">
      <c r="A1966" t="s">
        <v>4340</v>
      </c>
      <c r="B1966" t="s">
        <v>213</v>
      </c>
      <c r="C1966" t="s">
        <v>2267</v>
      </c>
      <c r="D1966" s="9">
        <v>45646</v>
      </c>
      <c r="E1966" t="s">
        <v>2337</v>
      </c>
      <c r="F1966" s="20">
        <v>0</v>
      </c>
      <c r="G1966" t="s">
        <v>2331</v>
      </c>
      <c r="H1966">
        <v>999.99</v>
      </c>
      <c r="I1966" s="16" t="str">
        <f t="shared" si="30"/>
        <v>Normal</v>
      </c>
      <c r="J1966">
        <v>5</v>
      </c>
    </row>
    <row r="1967" spans="1:10">
      <c r="A1967" t="s">
        <v>4341</v>
      </c>
      <c r="B1967" t="s">
        <v>2401</v>
      </c>
      <c r="C1967" t="s">
        <v>2241</v>
      </c>
      <c r="D1967" s="9">
        <v>45226</v>
      </c>
      <c r="E1967" t="s">
        <v>23</v>
      </c>
      <c r="G1967" t="s">
        <v>23</v>
      </c>
      <c r="H1967">
        <v>2500</v>
      </c>
      <c r="I1967" s="16" t="str">
        <f t="shared" si="30"/>
        <v>Normal</v>
      </c>
      <c r="J1967" t="s">
        <v>39</v>
      </c>
    </row>
    <row r="1968" spans="1:10">
      <c r="A1968" t="s">
        <v>4342</v>
      </c>
      <c r="B1968" t="s">
        <v>2087</v>
      </c>
      <c r="C1968" t="s">
        <v>2213</v>
      </c>
      <c r="D1968" s="9">
        <v>45711</v>
      </c>
      <c r="E1968" t="s">
        <v>2330</v>
      </c>
      <c r="G1968" t="s">
        <v>2339</v>
      </c>
      <c r="H1968">
        <v>1500</v>
      </c>
      <c r="I1968" s="16" t="str">
        <f t="shared" si="30"/>
        <v>Normal</v>
      </c>
      <c r="J1968" t="s">
        <v>39</v>
      </c>
    </row>
    <row r="1969" spans="1:10">
      <c r="A1969" t="s">
        <v>4343</v>
      </c>
      <c r="B1969" t="s">
        <v>1091</v>
      </c>
      <c r="C1969" t="s">
        <v>2244</v>
      </c>
      <c r="D1969" s="9">
        <v>45511</v>
      </c>
      <c r="E1969" t="s">
        <v>23</v>
      </c>
      <c r="G1969" t="s">
        <v>2345</v>
      </c>
      <c r="H1969">
        <v>1200</v>
      </c>
      <c r="I1969" s="16" t="str">
        <f t="shared" si="30"/>
        <v>Normal</v>
      </c>
      <c r="J1969">
        <v>2</v>
      </c>
    </row>
    <row r="1970" spans="1:10">
      <c r="A1970" t="s">
        <v>4344</v>
      </c>
      <c r="B1970" t="s">
        <v>324</v>
      </c>
      <c r="C1970" t="s">
        <v>2261</v>
      </c>
      <c r="D1970" s="9">
        <v>45520</v>
      </c>
      <c r="E1970" t="s">
        <v>2327</v>
      </c>
      <c r="F1970" s="20">
        <v>5</v>
      </c>
      <c r="G1970" t="s">
        <v>2331</v>
      </c>
      <c r="I1970" s="16" t="str">
        <f t="shared" si="30"/>
        <v>Unknown</v>
      </c>
      <c r="J1970">
        <v>2</v>
      </c>
    </row>
    <row r="1971" spans="1:10">
      <c r="A1971" t="s">
        <v>4345</v>
      </c>
      <c r="B1971" t="s">
        <v>758</v>
      </c>
      <c r="C1971" t="s">
        <v>2241</v>
      </c>
      <c r="D1971" s="9">
        <v>45618</v>
      </c>
      <c r="E1971" t="s">
        <v>2330</v>
      </c>
      <c r="G1971" t="s">
        <v>2345</v>
      </c>
      <c r="H1971">
        <v>2500</v>
      </c>
      <c r="I1971" s="16" t="str">
        <f t="shared" si="30"/>
        <v>Normal</v>
      </c>
      <c r="J1971">
        <v>5</v>
      </c>
    </row>
    <row r="1972" spans="1:10">
      <c r="A1972" t="s">
        <v>4346</v>
      </c>
      <c r="B1972" t="s">
        <v>649</v>
      </c>
      <c r="C1972" t="s">
        <v>2228</v>
      </c>
      <c r="D1972" s="9">
        <v>45439</v>
      </c>
      <c r="E1972" t="s">
        <v>2324</v>
      </c>
      <c r="F1972" s="20">
        <v>75</v>
      </c>
      <c r="G1972" t="s">
        <v>2339</v>
      </c>
      <c r="H1972">
        <v>799</v>
      </c>
      <c r="I1972" s="16" t="str">
        <f t="shared" si="30"/>
        <v>Normal</v>
      </c>
      <c r="J1972">
        <v>1</v>
      </c>
    </row>
    <row r="1973" spans="1:10">
      <c r="A1973" t="s">
        <v>4347</v>
      </c>
      <c r="B1973" t="s">
        <v>1561</v>
      </c>
      <c r="C1973" t="s">
        <v>2244</v>
      </c>
      <c r="D1973" s="9">
        <v>45670</v>
      </c>
      <c r="E1973" t="s">
        <v>2330</v>
      </c>
      <c r="F1973" s="20">
        <v>100</v>
      </c>
      <c r="G1973" t="s">
        <v>2339</v>
      </c>
      <c r="H1973">
        <v>1200</v>
      </c>
      <c r="I1973" s="16" t="str">
        <f t="shared" si="30"/>
        <v>Normal</v>
      </c>
      <c r="J1973">
        <v>2</v>
      </c>
    </row>
    <row r="1974" spans="1:10">
      <c r="A1974" t="s">
        <v>4348</v>
      </c>
      <c r="B1974" t="s">
        <v>762</v>
      </c>
      <c r="C1974" t="s">
        <v>2241</v>
      </c>
      <c r="D1974" s="9">
        <v>45679</v>
      </c>
      <c r="E1974" t="s">
        <v>2330</v>
      </c>
      <c r="G1974" t="s">
        <v>2345</v>
      </c>
      <c r="H1974">
        <v>2500</v>
      </c>
      <c r="I1974" s="16" t="str">
        <f t="shared" si="30"/>
        <v>Normal</v>
      </c>
      <c r="J1974" t="s">
        <v>39</v>
      </c>
    </row>
    <row r="1975" spans="1:10">
      <c r="A1975" t="s">
        <v>4349</v>
      </c>
      <c r="B1975" t="s">
        <v>213</v>
      </c>
      <c r="C1975" t="s">
        <v>2225</v>
      </c>
      <c r="D1975" s="9">
        <v>46066</v>
      </c>
      <c r="E1975" t="s">
        <v>2324</v>
      </c>
      <c r="F1975" s="20">
        <v>75</v>
      </c>
      <c r="G1975" t="s">
        <v>2345</v>
      </c>
      <c r="I1975" s="16" t="str">
        <f t="shared" si="30"/>
        <v>Unknown</v>
      </c>
      <c r="J1975">
        <v>3</v>
      </c>
    </row>
    <row r="1976" spans="1:10">
      <c r="A1976" t="s">
        <v>4350</v>
      </c>
      <c r="B1976" t="s">
        <v>682</v>
      </c>
      <c r="C1976" t="s">
        <v>2198</v>
      </c>
      <c r="D1976" s="9">
        <v>46021</v>
      </c>
      <c r="E1976" t="s">
        <v>2330</v>
      </c>
      <c r="G1976" t="s">
        <v>2345</v>
      </c>
      <c r="I1976" s="16" t="str">
        <f t="shared" si="30"/>
        <v>Unknown</v>
      </c>
      <c r="J1976">
        <v>1</v>
      </c>
    </row>
    <row r="1977" spans="1:10">
      <c r="A1977" t="s">
        <v>4351</v>
      </c>
      <c r="B1977" t="s">
        <v>167</v>
      </c>
      <c r="C1977" t="s">
        <v>2247</v>
      </c>
      <c r="D1977" s="9">
        <v>46145</v>
      </c>
      <c r="E1977" t="s">
        <v>23</v>
      </c>
      <c r="G1977" t="s">
        <v>2328</v>
      </c>
      <c r="I1977" s="16" t="str">
        <f t="shared" si="30"/>
        <v>Unknown</v>
      </c>
      <c r="J1977">
        <v>5</v>
      </c>
    </row>
    <row r="1978" spans="1:10">
      <c r="A1978" t="s">
        <v>4352</v>
      </c>
      <c r="B1978" t="s">
        <v>231</v>
      </c>
      <c r="C1978" t="s">
        <v>2222</v>
      </c>
      <c r="D1978" s="9">
        <v>46134</v>
      </c>
      <c r="E1978" t="s">
        <v>2337</v>
      </c>
      <c r="F1978" s="20">
        <v>0</v>
      </c>
      <c r="G1978" t="s">
        <v>2345</v>
      </c>
      <c r="H1978">
        <v>0</v>
      </c>
      <c r="I1978" s="16" t="str">
        <f t="shared" si="30"/>
        <v>Zero Amount</v>
      </c>
      <c r="J1978">
        <v>2</v>
      </c>
    </row>
    <row r="1979" spans="1:10">
      <c r="A1979" t="s">
        <v>4353</v>
      </c>
      <c r="B1979" t="s">
        <v>1051</v>
      </c>
      <c r="C1979" t="s">
        <v>2213</v>
      </c>
      <c r="D1979" s="9">
        <v>46011</v>
      </c>
      <c r="E1979" t="s">
        <v>2330</v>
      </c>
      <c r="F1979" s="20">
        <v>100</v>
      </c>
      <c r="G1979" t="s">
        <v>2331</v>
      </c>
      <c r="H1979">
        <v>1500</v>
      </c>
      <c r="I1979" s="16" t="str">
        <f t="shared" si="30"/>
        <v>Normal</v>
      </c>
      <c r="J1979">
        <v>4</v>
      </c>
    </row>
    <row r="1980" spans="1:10">
      <c r="A1980" t="s">
        <v>4354</v>
      </c>
      <c r="B1980" t="s">
        <v>2010</v>
      </c>
      <c r="C1980" t="s">
        <v>2261</v>
      </c>
      <c r="D1980" s="9">
        <v>45877</v>
      </c>
      <c r="E1980" t="s">
        <v>2324</v>
      </c>
      <c r="F1980" s="20">
        <v>55</v>
      </c>
      <c r="G1980" t="s">
        <v>23</v>
      </c>
      <c r="I1980" s="16" t="str">
        <f t="shared" si="30"/>
        <v>Unknown</v>
      </c>
      <c r="J1980">
        <v>2</v>
      </c>
    </row>
    <row r="1981" spans="1:10">
      <c r="A1981" t="s">
        <v>4355</v>
      </c>
      <c r="B1981" t="s">
        <v>520</v>
      </c>
      <c r="C1981" t="s">
        <v>2253</v>
      </c>
      <c r="D1981" s="9">
        <v>46018</v>
      </c>
      <c r="E1981" t="s">
        <v>2330</v>
      </c>
      <c r="F1981" s="20">
        <v>100</v>
      </c>
      <c r="G1981" t="s">
        <v>2331</v>
      </c>
      <c r="H1981">
        <v>1200</v>
      </c>
      <c r="I1981" s="16" t="str">
        <f t="shared" si="30"/>
        <v>Normal</v>
      </c>
      <c r="J1981">
        <v>4</v>
      </c>
    </row>
    <row r="1982" spans="1:10">
      <c r="A1982" t="s">
        <v>4356</v>
      </c>
      <c r="B1982" t="s">
        <v>1380</v>
      </c>
      <c r="C1982" t="s">
        <v>2253</v>
      </c>
      <c r="D1982" s="9">
        <v>45712</v>
      </c>
      <c r="E1982" t="s">
        <v>2324</v>
      </c>
      <c r="F1982" s="20">
        <v>60</v>
      </c>
      <c r="G1982" t="s">
        <v>2345</v>
      </c>
      <c r="H1982">
        <v>1200</v>
      </c>
      <c r="I1982" s="16" t="str">
        <f t="shared" si="30"/>
        <v>Normal</v>
      </c>
      <c r="J1982">
        <v>3</v>
      </c>
    </row>
    <row r="1983" spans="1:10">
      <c r="A1983" t="s">
        <v>4357</v>
      </c>
      <c r="B1983" t="s">
        <v>261</v>
      </c>
      <c r="C1983" t="s">
        <v>2205</v>
      </c>
      <c r="D1983" s="9">
        <v>45547</v>
      </c>
      <c r="E1983" t="s">
        <v>23</v>
      </c>
      <c r="G1983" t="s">
        <v>2331</v>
      </c>
      <c r="H1983">
        <v>1500</v>
      </c>
      <c r="I1983" s="16" t="str">
        <f t="shared" si="30"/>
        <v>Normal</v>
      </c>
      <c r="J1983" t="s">
        <v>39</v>
      </c>
    </row>
    <row r="1984" spans="1:10">
      <c r="A1984" t="s">
        <v>4358</v>
      </c>
      <c r="B1984" t="s">
        <v>71</v>
      </c>
      <c r="C1984" t="s">
        <v>2261</v>
      </c>
      <c r="D1984" s="9">
        <v>45962</v>
      </c>
      <c r="E1984" t="s">
        <v>2330</v>
      </c>
      <c r="G1984" t="s">
        <v>23</v>
      </c>
      <c r="I1984" s="16" t="str">
        <f t="shared" si="30"/>
        <v>Unknown</v>
      </c>
      <c r="J1984">
        <v>3</v>
      </c>
    </row>
    <row r="1985" spans="1:10">
      <c r="A1985" t="s">
        <v>4359</v>
      </c>
      <c r="B1985" t="s">
        <v>2077</v>
      </c>
      <c r="C1985" t="s">
        <v>2231</v>
      </c>
      <c r="D1985" s="9">
        <v>45849</v>
      </c>
      <c r="E1985" t="s">
        <v>2330</v>
      </c>
      <c r="G1985" t="s">
        <v>2328</v>
      </c>
      <c r="H1985">
        <v>3000</v>
      </c>
      <c r="I1985" s="16" t="str">
        <f t="shared" si="30"/>
        <v>Normal</v>
      </c>
      <c r="J1985">
        <v>1</v>
      </c>
    </row>
    <row r="1986" spans="1:10">
      <c r="A1986" t="s">
        <v>4360</v>
      </c>
      <c r="B1986" t="s">
        <v>170</v>
      </c>
      <c r="C1986" t="s">
        <v>2225</v>
      </c>
      <c r="D1986" s="9">
        <v>45709</v>
      </c>
      <c r="E1986" t="s">
        <v>2330</v>
      </c>
      <c r="F1986" s="20">
        <v>100</v>
      </c>
      <c r="G1986" t="s">
        <v>2328</v>
      </c>
      <c r="I1986" s="16" t="str">
        <f t="shared" si="30"/>
        <v>Unknown</v>
      </c>
      <c r="J1986">
        <v>1</v>
      </c>
    </row>
    <row r="1987" spans="1:10">
      <c r="A1987" t="s">
        <v>4361</v>
      </c>
      <c r="B1987" t="s">
        <v>1218</v>
      </c>
      <c r="C1987" t="s">
        <v>2241</v>
      </c>
      <c r="D1987" s="9">
        <v>45575</v>
      </c>
      <c r="E1987" t="s">
        <v>2330</v>
      </c>
      <c r="F1987" s="20">
        <v>100</v>
      </c>
      <c r="G1987" t="s">
        <v>23</v>
      </c>
      <c r="H1987">
        <v>2500</v>
      </c>
      <c r="I1987" s="16" t="str">
        <f t="shared" ref="I1987:I2050" si="31">IF(H1987="", "Unknown", IF(H1987=0, "Zero Amount", IF(H1987&lt;1, "Review", IF(H1987&gt;1, "Normal"))))</f>
        <v>Normal</v>
      </c>
      <c r="J1987" t="s">
        <v>39</v>
      </c>
    </row>
    <row r="1988" spans="1:10">
      <c r="A1988" t="s">
        <v>4362</v>
      </c>
      <c r="B1988" t="s">
        <v>813</v>
      </c>
      <c r="C1988" t="s">
        <v>2187</v>
      </c>
      <c r="D1988" s="9">
        <v>45450</v>
      </c>
      <c r="E1988" t="s">
        <v>23</v>
      </c>
      <c r="G1988" t="s">
        <v>2339</v>
      </c>
      <c r="H1988">
        <v>799</v>
      </c>
      <c r="I1988" s="16" t="str">
        <f t="shared" si="31"/>
        <v>Normal</v>
      </c>
      <c r="J1988" t="s">
        <v>39</v>
      </c>
    </row>
    <row r="1989" spans="1:10">
      <c r="A1989" t="s">
        <v>4363</v>
      </c>
      <c r="B1989" t="s">
        <v>710</v>
      </c>
      <c r="C1989" t="s">
        <v>2259</v>
      </c>
      <c r="D1989" s="9">
        <v>45125</v>
      </c>
      <c r="E1989" t="s">
        <v>2337</v>
      </c>
      <c r="F1989" s="20">
        <v>20</v>
      </c>
      <c r="G1989" t="s">
        <v>2345</v>
      </c>
      <c r="H1989">
        <v>0</v>
      </c>
      <c r="I1989" s="16" t="str">
        <f t="shared" si="31"/>
        <v>Zero Amount</v>
      </c>
      <c r="J1989">
        <v>5</v>
      </c>
    </row>
    <row r="1990" spans="1:10">
      <c r="A1990" t="s">
        <v>4364</v>
      </c>
      <c r="B1990" t="s">
        <v>339</v>
      </c>
      <c r="C1990" t="s">
        <v>2249</v>
      </c>
      <c r="D1990" s="9">
        <v>45498</v>
      </c>
      <c r="E1990" t="s">
        <v>23</v>
      </c>
      <c r="G1990" t="s">
        <v>2328</v>
      </c>
      <c r="H1990">
        <v>1500</v>
      </c>
      <c r="I1990" s="16" t="str">
        <f t="shared" si="31"/>
        <v>Normal</v>
      </c>
      <c r="J1990">
        <v>5</v>
      </c>
    </row>
    <row r="1991" spans="1:10">
      <c r="A1991" t="s">
        <v>4365</v>
      </c>
      <c r="B1991" t="s">
        <v>1242</v>
      </c>
      <c r="C1991" t="s">
        <v>2213</v>
      </c>
      <c r="D1991" s="9">
        <v>45608</v>
      </c>
      <c r="E1991" t="s">
        <v>2324</v>
      </c>
      <c r="F1991" s="20">
        <v>75</v>
      </c>
      <c r="G1991" t="s">
        <v>2345</v>
      </c>
      <c r="H1991">
        <v>1500</v>
      </c>
      <c r="I1991" s="16" t="str">
        <f t="shared" si="31"/>
        <v>Normal</v>
      </c>
      <c r="J1991">
        <v>4</v>
      </c>
    </row>
    <row r="1992" spans="1:10">
      <c r="A1992" t="s">
        <v>4366</v>
      </c>
      <c r="B1992" t="s">
        <v>1449</v>
      </c>
      <c r="C1992" t="s">
        <v>2237</v>
      </c>
      <c r="D1992" s="9">
        <v>45832</v>
      </c>
      <c r="E1992" t="s">
        <v>2337</v>
      </c>
      <c r="F1992" s="20">
        <v>5</v>
      </c>
      <c r="G1992" t="s">
        <v>2339</v>
      </c>
      <c r="H1992">
        <v>1500</v>
      </c>
      <c r="I1992" s="16" t="str">
        <f t="shared" si="31"/>
        <v>Normal</v>
      </c>
      <c r="J1992">
        <v>2</v>
      </c>
    </row>
    <row r="1993" spans="1:10">
      <c r="A1993" t="s">
        <v>4367</v>
      </c>
      <c r="B1993" t="s">
        <v>1907</v>
      </c>
      <c r="C1993" t="s">
        <v>2257</v>
      </c>
      <c r="D1993" s="9">
        <v>45896</v>
      </c>
      <c r="E1993" t="s">
        <v>23</v>
      </c>
      <c r="G1993" t="s">
        <v>2331</v>
      </c>
      <c r="I1993" s="16" t="str">
        <f t="shared" si="31"/>
        <v>Unknown</v>
      </c>
      <c r="J1993">
        <v>4</v>
      </c>
    </row>
    <row r="1994" spans="1:10">
      <c r="A1994" t="s">
        <v>4368</v>
      </c>
      <c r="B1994" t="s">
        <v>1222</v>
      </c>
      <c r="C1994" t="s">
        <v>2269</v>
      </c>
      <c r="D1994" s="9">
        <v>45332</v>
      </c>
      <c r="E1994" t="s">
        <v>2330</v>
      </c>
      <c r="G1994" t="s">
        <v>2331</v>
      </c>
      <c r="H1994">
        <v>499</v>
      </c>
      <c r="I1994" s="16" t="str">
        <f t="shared" si="31"/>
        <v>Normal</v>
      </c>
      <c r="J1994">
        <v>4</v>
      </c>
    </row>
    <row r="1995" spans="1:10">
      <c r="A1995" t="s">
        <v>4369</v>
      </c>
      <c r="B1995" t="s">
        <v>1696</v>
      </c>
      <c r="C1995" t="s">
        <v>2193</v>
      </c>
      <c r="D1995" s="9">
        <v>45711</v>
      </c>
      <c r="E1995" t="s">
        <v>2337</v>
      </c>
      <c r="F1995" s="20">
        <v>0</v>
      </c>
      <c r="G1995" t="s">
        <v>23</v>
      </c>
      <c r="H1995">
        <v>0</v>
      </c>
      <c r="I1995" s="16" t="str">
        <f t="shared" si="31"/>
        <v>Zero Amount</v>
      </c>
      <c r="J1995">
        <v>5</v>
      </c>
    </row>
    <row r="1996" spans="1:10">
      <c r="A1996" t="s">
        <v>4370</v>
      </c>
      <c r="B1996" t="s">
        <v>155</v>
      </c>
      <c r="C1996" t="s">
        <v>2233</v>
      </c>
      <c r="D1996" s="9">
        <v>46191</v>
      </c>
      <c r="E1996" t="s">
        <v>2330</v>
      </c>
      <c r="F1996" s="20">
        <v>100</v>
      </c>
      <c r="G1996" t="s">
        <v>2331</v>
      </c>
      <c r="H1996">
        <v>2500</v>
      </c>
      <c r="I1996" s="16" t="str">
        <f t="shared" si="31"/>
        <v>Normal</v>
      </c>
      <c r="J1996" t="s">
        <v>39</v>
      </c>
    </row>
    <row r="1997" spans="1:10">
      <c r="A1997" t="s">
        <v>4371</v>
      </c>
      <c r="B1997" t="s">
        <v>1500</v>
      </c>
      <c r="C1997" t="s">
        <v>2261</v>
      </c>
      <c r="D1997" s="9">
        <v>46127</v>
      </c>
      <c r="E1997" t="s">
        <v>2330</v>
      </c>
      <c r="F1997" s="20">
        <v>100</v>
      </c>
      <c r="G1997" t="s">
        <v>2339</v>
      </c>
      <c r="I1997" s="16" t="str">
        <f t="shared" si="31"/>
        <v>Unknown</v>
      </c>
      <c r="J1997">
        <v>5</v>
      </c>
    </row>
    <row r="1998" spans="1:10">
      <c r="A1998" t="s">
        <v>4372</v>
      </c>
      <c r="B1998" t="s">
        <v>1887</v>
      </c>
      <c r="C1998" t="s">
        <v>2267</v>
      </c>
      <c r="D1998" s="9">
        <v>45517</v>
      </c>
      <c r="E1998" t="s">
        <v>2324</v>
      </c>
      <c r="F1998" s="20">
        <v>75</v>
      </c>
      <c r="G1998" t="s">
        <v>2339</v>
      </c>
      <c r="H1998">
        <v>999.99</v>
      </c>
      <c r="I1998" s="16" t="str">
        <f t="shared" si="31"/>
        <v>Normal</v>
      </c>
      <c r="J1998">
        <v>4</v>
      </c>
    </row>
    <row r="1999" spans="1:10">
      <c r="A1999" t="s">
        <v>4373</v>
      </c>
      <c r="B1999" t="s">
        <v>1820</v>
      </c>
      <c r="C1999" t="s">
        <v>2202</v>
      </c>
      <c r="D1999" s="9">
        <v>45294</v>
      </c>
      <c r="E1999" t="s">
        <v>2327</v>
      </c>
      <c r="F1999" s="20">
        <v>20</v>
      </c>
      <c r="G1999" t="s">
        <v>2325</v>
      </c>
      <c r="H1999">
        <v>647</v>
      </c>
      <c r="I1999" s="16" t="str">
        <f t="shared" si="31"/>
        <v>Normal</v>
      </c>
      <c r="J1999">
        <v>3</v>
      </c>
    </row>
    <row r="2000" spans="1:10">
      <c r="A2000" t="s">
        <v>4374</v>
      </c>
      <c r="B2000" t="s">
        <v>894</v>
      </c>
      <c r="C2000" t="s">
        <v>2235</v>
      </c>
      <c r="D2000" s="9">
        <v>45917</v>
      </c>
      <c r="E2000" t="s">
        <v>23</v>
      </c>
      <c r="G2000" t="s">
        <v>2345</v>
      </c>
      <c r="H2000">
        <v>3000</v>
      </c>
      <c r="I2000" s="16" t="str">
        <f t="shared" si="31"/>
        <v>Normal</v>
      </c>
      <c r="J2000" t="s">
        <v>39</v>
      </c>
    </row>
    <row r="2001" spans="1:10">
      <c r="A2001" t="s">
        <v>4375</v>
      </c>
      <c r="B2001" t="s">
        <v>1001</v>
      </c>
      <c r="C2001" t="s">
        <v>2209</v>
      </c>
      <c r="D2001" s="9">
        <v>44964</v>
      </c>
      <c r="E2001" t="s">
        <v>2330</v>
      </c>
      <c r="G2001" t="s">
        <v>2325</v>
      </c>
      <c r="H2001">
        <v>499</v>
      </c>
      <c r="I2001" s="16" t="str">
        <f t="shared" si="31"/>
        <v>Normal</v>
      </c>
      <c r="J2001" t="s">
        <v>39</v>
      </c>
    </row>
    <row r="2002" spans="1:10">
      <c r="A2002" t="s">
        <v>4376</v>
      </c>
      <c r="B2002" t="s">
        <v>360</v>
      </c>
      <c r="C2002" t="s">
        <v>2253</v>
      </c>
      <c r="D2002" s="9">
        <v>45582</v>
      </c>
      <c r="E2002" t="s">
        <v>2324</v>
      </c>
      <c r="F2002" s="20">
        <v>40</v>
      </c>
      <c r="G2002" t="s">
        <v>2331</v>
      </c>
      <c r="H2002">
        <v>1200</v>
      </c>
      <c r="I2002" s="16" t="str">
        <f t="shared" si="31"/>
        <v>Normal</v>
      </c>
      <c r="J2002">
        <v>4</v>
      </c>
    </row>
    <row r="2003" spans="1:10">
      <c r="A2003" t="s">
        <v>4377</v>
      </c>
      <c r="B2003" t="s">
        <v>1075</v>
      </c>
      <c r="C2003" t="s">
        <v>2228</v>
      </c>
      <c r="D2003" s="9">
        <v>45674</v>
      </c>
      <c r="E2003" t="s">
        <v>2337</v>
      </c>
      <c r="F2003" s="20">
        <v>20</v>
      </c>
      <c r="G2003" t="s">
        <v>2339</v>
      </c>
      <c r="H2003">
        <v>799</v>
      </c>
      <c r="I2003" s="16" t="str">
        <f t="shared" si="31"/>
        <v>Normal</v>
      </c>
      <c r="J2003" t="s">
        <v>39</v>
      </c>
    </row>
    <row r="2004" spans="1:10">
      <c r="A2004" t="s">
        <v>4378</v>
      </c>
      <c r="B2004" t="s">
        <v>4379</v>
      </c>
      <c r="C2004" t="s">
        <v>2249</v>
      </c>
      <c r="D2004" s="9">
        <v>45104</v>
      </c>
      <c r="E2004" t="s">
        <v>23</v>
      </c>
      <c r="G2004" t="s">
        <v>2345</v>
      </c>
      <c r="H2004">
        <v>-1500</v>
      </c>
      <c r="I2004" s="16" t="str">
        <f t="shared" si="31"/>
        <v>Review</v>
      </c>
      <c r="J2004">
        <v>1</v>
      </c>
    </row>
    <row r="2005" spans="1:10">
      <c r="A2005" t="s">
        <v>4380</v>
      </c>
      <c r="B2005" t="s">
        <v>1967</v>
      </c>
      <c r="C2005" t="s">
        <v>2209</v>
      </c>
      <c r="D2005" s="9">
        <v>45438</v>
      </c>
      <c r="E2005" t="s">
        <v>2330</v>
      </c>
      <c r="F2005" s="20">
        <v>100</v>
      </c>
      <c r="G2005" t="s">
        <v>2345</v>
      </c>
      <c r="H2005">
        <v>376.67</v>
      </c>
      <c r="I2005" s="16" t="str">
        <f t="shared" si="31"/>
        <v>Normal</v>
      </c>
      <c r="J2005">
        <v>5</v>
      </c>
    </row>
    <row r="2006" spans="1:10">
      <c r="A2006" t="s">
        <v>4381</v>
      </c>
      <c r="B2006" t="s">
        <v>940</v>
      </c>
      <c r="C2006" t="s">
        <v>2264</v>
      </c>
      <c r="D2006" s="9">
        <v>45201</v>
      </c>
      <c r="E2006" t="s">
        <v>2327</v>
      </c>
      <c r="F2006" s="20">
        <v>0</v>
      </c>
      <c r="G2006" t="s">
        <v>2331</v>
      </c>
      <c r="I2006" s="16" t="str">
        <f t="shared" si="31"/>
        <v>Unknown</v>
      </c>
      <c r="J2006">
        <v>5</v>
      </c>
    </row>
    <row r="2007" spans="1:10">
      <c r="A2007" t="s">
        <v>4382</v>
      </c>
      <c r="B2007" t="s">
        <v>1548</v>
      </c>
      <c r="C2007" t="s">
        <v>2237</v>
      </c>
      <c r="D2007" s="9">
        <v>45502</v>
      </c>
      <c r="E2007" t="s">
        <v>2330</v>
      </c>
      <c r="F2007" s="20">
        <v>100</v>
      </c>
      <c r="G2007" t="s">
        <v>2345</v>
      </c>
      <c r="H2007">
        <v>1500</v>
      </c>
      <c r="I2007" s="16" t="str">
        <f t="shared" si="31"/>
        <v>Normal</v>
      </c>
      <c r="J2007">
        <v>4</v>
      </c>
    </row>
    <row r="2008" spans="1:10">
      <c r="A2008" t="s">
        <v>4383</v>
      </c>
      <c r="B2008" t="s">
        <v>854</v>
      </c>
      <c r="C2008" t="s">
        <v>2253</v>
      </c>
      <c r="D2008" s="9">
        <v>45376</v>
      </c>
      <c r="E2008" t="s">
        <v>2324</v>
      </c>
      <c r="F2008" s="20">
        <v>75</v>
      </c>
      <c r="G2008" t="s">
        <v>2345</v>
      </c>
      <c r="H2008">
        <v>-1200</v>
      </c>
      <c r="I2008" s="16" t="str">
        <f t="shared" si="31"/>
        <v>Review</v>
      </c>
      <c r="J2008">
        <v>5</v>
      </c>
    </row>
    <row r="2009" spans="1:10">
      <c r="A2009" t="s">
        <v>4384</v>
      </c>
      <c r="B2009" t="s">
        <v>414</v>
      </c>
      <c r="C2009" t="s">
        <v>2231</v>
      </c>
      <c r="D2009" s="9">
        <v>46108</v>
      </c>
      <c r="E2009" t="s">
        <v>2330</v>
      </c>
      <c r="G2009" t="s">
        <v>2339</v>
      </c>
      <c r="H2009">
        <v>3000</v>
      </c>
      <c r="I2009" s="16" t="str">
        <f t="shared" si="31"/>
        <v>Normal</v>
      </c>
      <c r="J2009">
        <v>4</v>
      </c>
    </row>
    <row r="2010" spans="1:10">
      <c r="A2010" t="s">
        <v>4385</v>
      </c>
      <c r="B2010" t="s">
        <v>1894</v>
      </c>
      <c r="C2010" t="s">
        <v>2198</v>
      </c>
      <c r="D2010" s="9">
        <v>45763</v>
      </c>
      <c r="E2010" t="s">
        <v>2330</v>
      </c>
      <c r="F2010" s="20">
        <v>100</v>
      </c>
      <c r="G2010" t="s">
        <v>2345</v>
      </c>
      <c r="I2010" s="16" t="str">
        <f t="shared" si="31"/>
        <v>Unknown</v>
      </c>
      <c r="J2010">
        <v>1</v>
      </c>
    </row>
    <row r="2011" spans="1:10">
      <c r="A2011" t="s">
        <v>4386</v>
      </c>
      <c r="B2011" t="s">
        <v>460</v>
      </c>
      <c r="C2011" t="s">
        <v>2237</v>
      </c>
      <c r="D2011" s="9">
        <v>45134</v>
      </c>
      <c r="E2011" t="s">
        <v>2327</v>
      </c>
      <c r="F2011" s="20">
        <v>20</v>
      </c>
      <c r="G2011" t="s">
        <v>2345</v>
      </c>
      <c r="H2011">
        <v>-1500</v>
      </c>
      <c r="I2011" s="16" t="str">
        <f t="shared" si="31"/>
        <v>Review</v>
      </c>
      <c r="J2011">
        <v>2</v>
      </c>
    </row>
    <row r="2012" spans="1:10">
      <c r="A2012" t="s">
        <v>4387</v>
      </c>
      <c r="B2012" t="s">
        <v>784</v>
      </c>
      <c r="C2012" t="s">
        <v>2187</v>
      </c>
      <c r="D2012" s="9">
        <v>45399</v>
      </c>
      <c r="E2012" t="s">
        <v>2330</v>
      </c>
      <c r="F2012" s="20">
        <v>100</v>
      </c>
      <c r="G2012" t="s">
        <v>2331</v>
      </c>
      <c r="H2012">
        <v>799</v>
      </c>
      <c r="I2012" s="16" t="str">
        <f t="shared" si="31"/>
        <v>Normal</v>
      </c>
      <c r="J2012">
        <v>5</v>
      </c>
    </row>
    <row r="2013" spans="1:10">
      <c r="A2013" t="s">
        <v>4388</v>
      </c>
      <c r="B2013" t="s">
        <v>1693</v>
      </c>
      <c r="C2013" t="s">
        <v>2209</v>
      </c>
      <c r="D2013" s="9">
        <v>45622</v>
      </c>
      <c r="E2013" t="s">
        <v>2327</v>
      </c>
      <c r="G2013" t="s">
        <v>2328</v>
      </c>
      <c r="H2013">
        <v>499</v>
      </c>
      <c r="I2013" s="16" t="str">
        <f t="shared" si="31"/>
        <v>Normal</v>
      </c>
      <c r="J2013" t="s">
        <v>39</v>
      </c>
    </row>
    <row r="2014" spans="1:10">
      <c r="A2014" t="s">
        <v>4389</v>
      </c>
      <c r="B2014" t="s">
        <v>2038</v>
      </c>
      <c r="C2014" t="s">
        <v>2209</v>
      </c>
      <c r="D2014" s="9">
        <v>45146</v>
      </c>
      <c r="E2014" t="s">
        <v>2330</v>
      </c>
      <c r="G2014" t="s">
        <v>2331</v>
      </c>
      <c r="H2014">
        <v>499</v>
      </c>
      <c r="I2014" s="16" t="str">
        <f t="shared" si="31"/>
        <v>Normal</v>
      </c>
      <c r="J2014">
        <v>2</v>
      </c>
    </row>
    <row r="2015" spans="1:10">
      <c r="A2015" t="s">
        <v>4390</v>
      </c>
      <c r="B2015" t="s">
        <v>155</v>
      </c>
      <c r="C2015" t="s">
        <v>2253</v>
      </c>
      <c r="D2015" s="9">
        <v>45860</v>
      </c>
      <c r="E2015" t="s">
        <v>23</v>
      </c>
      <c r="G2015" t="s">
        <v>2331</v>
      </c>
      <c r="H2015">
        <v>1200</v>
      </c>
      <c r="I2015" s="16" t="str">
        <f t="shared" si="31"/>
        <v>Normal</v>
      </c>
      <c r="J2015" t="s">
        <v>39</v>
      </c>
    </row>
    <row r="2016" spans="1:10">
      <c r="A2016" t="s">
        <v>4391</v>
      </c>
      <c r="B2016" t="s">
        <v>2087</v>
      </c>
      <c r="C2016" t="s">
        <v>2209</v>
      </c>
      <c r="D2016" s="9">
        <v>45375</v>
      </c>
      <c r="E2016" t="s">
        <v>23</v>
      </c>
      <c r="G2016" t="s">
        <v>2328</v>
      </c>
      <c r="H2016">
        <v>499</v>
      </c>
      <c r="I2016" s="16" t="str">
        <f t="shared" si="31"/>
        <v>Normal</v>
      </c>
      <c r="J2016">
        <v>2</v>
      </c>
    </row>
    <row r="2017" spans="1:10">
      <c r="A2017" t="s">
        <v>4392</v>
      </c>
      <c r="B2017" t="s">
        <v>1999</v>
      </c>
      <c r="C2017" t="s">
        <v>2187</v>
      </c>
      <c r="D2017" s="9">
        <v>45813</v>
      </c>
      <c r="E2017" t="s">
        <v>2324</v>
      </c>
      <c r="F2017" s="20">
        <v>75</v>
      </c>
      <c r="G2017" t="s">
        <v>2328</v>
      </c>
      <c r="H2017">
        <v>-799</v>
      </c>
      <c r="I2017" s="16" t="str">
        <f t="shared" si="31"/>
        <v>Review</v>
      </c>
      <c r="J2017">
        <v>4</v>
      </c>
    </row>
    <row r="2018" spans="1:10">
      <c r="A2018" t="s">
        <v>4393</v>
      </c>
      <c r="B2018" t="s">
        <v>4394</v>
      </c>
      <c r="C2018" t="s">
        <v>2209</v>
      </c>
      <c r="D2018" s="9">
        <v>46162</v>
      </c>
      <c r="E2018" t="s">
        <v>2337</v>
      </c>
      <c r="F2018" s="20">
        <v>20</v>
      </c>
      <c r="G2018" t="s">
        <v>2345</v>
      </c>
      <c r="H2018">
        <v>499</v>
      </c>
      <c r="I2018" s="16" t="str">
        <f t="shared" si="31"/>
        <v>Normal</v>
      </c>
      <c r="J2018" t="s">
        <v>39</v>
      </c>
    </row>
    <row r="2019" spans="1:10">
      <c r="A2019" t="s">
        <v>4395</v>
      </c>
      <c r="B2019" t="s">
        <v>1967</v>
      </c>
      <c r="C2019" t="s">
        <v>2205</v>
      </c>
      <c r="D2019" s="9">
        <v>46000</v>
      </c>
      <c r="E2019" t="s">
        <v>2330</v>
      </c>
      <c r="F2019" s="20">
        <v>100</v>
      </c>
      <c r="G2019" t="s">
        <v>2345</v>
      </c>
      <c r="H2019">
        <v>1500</v>
      </c>
      <c r="I2019" s="16" t="str">
        <f t="shared" si="31"/>
        <v>Normal</v>
      </c>
      <c r="J2019">
        <v>4</v>
      </c>
    </row>
    <row r="2020" spans="1:10">
      <c r="A2020" t="s">
        <v>4396</v>
      </c>
      <c r="B2020" t="s">
        <v>684</v>
      </c>
      <c r="C2020" t="s">
        <v>2273</v>
      </c>
      <c r="D2020" s="9">
        <v>46044</v>
      </c>
      <c r="E2020" t="s">
        <v>2330</v>
      </c>
      <c r="F2020" s="20">
        <v>100</v>
      </c>
      <c r="G2020" t="s">
        <v>2325</v>
      </c>
      <c r="H2020">
        <v>-799</v>
      </c>
      <c r="I2020" s="16" t="str">
        <f t="shared" si="31"/>
        <v>Review</v>
      </c>
      <c r="J2020">
        <v>2</v>
      </c>
    </row>
    <row r="2021" spans="1:10">
      <c r="A2021" t="s">
        <v>4397</v>
      </c>
      <c r="B2021" t="s">
        <v>1233</v>
      </c>
      <c r="C2021" t="s">
        <v>2264</v>
      </c>
      <c r="D2021" s="9">
        <v>46114</v>
      </c>
      <c r="E2021" t="s">
        <v>2337</v>
      </c>
      <c r="F2021" s="20">
        <v>5</v>
      </c>
      <c r="G2021" t="s">
        <v>23</v>
      </c>
      <c r="H2021">
        <v>2500</v>
      </c>
      <c r="I2021" s="16" t="str">
        <f t="shared" si="31"/>
        <v>Normal</v>
      </c>
      <c r="J2021">
        <v>2</v>
      </c>
    </row>
    <row r="2022" spans="1:10">
      <c r="A2022" t="s">
        <v>4398</v>
      </c>
      <c r="B2022" t="s">
        <v>48</v>
      </c>
      <c r="C2022" t="s">
        <v>2198</v>
      </c>
      <c r="D2022" s="9">
        <v>46190</v>
      </c>
      <c r="E2022" t="s">
        <v>2330</v>
      </c>
      <c r="F2022" s="20">
        <v>100</v>
      </c>
      <c r="G2022" t="s">
        <v>2339</v>
      </c>
      <c r="I2022" s="16" t="str">
        <f t="shared" si="31"/>
        <v>Unknown</v>
      </c>
      <c r="J2022">
        <v>2</v>
      </c>
    </row>
    <row r="2023" spans="1:10">
      <c r="A2023" t="s">
        <v>4399</v>
      </c>
      <c r="B2023" t="s">
        <v>1137</v>
      </c>
      <c r="C2023" t="s">
        <v>2209</v>
      </c>
      <c r="D2023" s="9">
        <v>45790</v>
      </c>
      <c r="E2023" t="s">
        <v>2324</v>
      </c>
      <c r="F2023" s="20">
        <v>25</v>
      </c>
      <c r="G2023" t="s">
        <v>2331</v>
      </c>
      <c r="H2023">
        <v>499</v>
      </c>
      <c r="I2023" s="16" t="str">
        <f t="shared" si="31"/>
        <v>Normal</v>
      </c>
      <c r="J2023">
        <v>4</v>
      </c>
    </row>
    <row r="2024" spans="1:10">
      <c r="A2024" t="s">
        <v>4400</v>
      </c>
      <c r="B2024" t="s">
        <v>611</v>
      </c>
      <c r="C2024" t="s">
        <v>2216</v>
      </c>
      <c r="D2024" s="9">
        <v>45547</v>
      </c>
      <c r="E2024" t="s">
        <v>2324</v>
      </c>
      <c r="F2024" s="20">
        <v>25</v>
      </c>
      <c r="G2024" t="s">
        <v>2345</v>
      </c>
      <c r="H2024">
        <v>1200</v>
      </c>
      <c r="I2024" s="16" t="str">
        <f t="shared" si="31"/>
        <v>Normal</v>
      </c>
      <c r="J2024" t="s">
        <v>39</v>
      </c>
    </row>
    <row r="2025" spans="1:10">
      <c r="A2025" t="s">
        <v>4401</v>
      </c>
      <c r="B2025" t="s">
        <v>2104</v>
      </c>
      <c r="C2025" t="s">
        <v>2235</v>
      </c>
      <c r="D2025" s="9">
        <v>45616</v>
      </c>
      <c r="E2025" t="s">
        <v>2330</v>
      </c>
      <c r="F2025" s="20">
        <v>100</v>
      </c>
      <c r="G2025" t="s">
        <v>23</v>
      </c>
      <c r="H2025">
        <v>1812.77</v>
      </c>
      <c r="I2025" s="16" t="str">
        <f t="shared" si="31"/>
        <v>Normal</v>
      </c>
      <c r="J2025">
        <v>1</v>
      </c>
    </row>
    <row r="2026" spans="1:10">
      <c r="A2026" t="s">
        <v>4402</v>
      </c>
      <c r="B2026" t="s">
        <v>12</v>
      </c>
      <c r="C2026" t="s">
        <v>2205</v>
      </c>
      <c r="D2026" s="9">
        <v>46083</v>
      </c>
      <c r="E2026" t="s">
        <v>2330</v>
      </c>
      <c r="F2026" s="20">
        <v>100</v>
      </c>
      <c r="G2026" t="s">
        <v>2345</v>
      </c>
      <c r="H2026">
        <v>1500</v>
      </c>
      <c r="I2026" s="16" t="str">
        <f t="shared" si="31"/>
        <v>Normal</v>
      </c>
      <c r="J2026">
        <v>4</v>
      </c>
    </row>
    <row r="2027" spans="1:10">
      <c r="A2027" t="s">
        <v>4403</v>
      </c>
      <c r="B2027" t="s">
        <v>203</v>
      </c>
      <c r="C2027" t="s">
        <v>2228</v>
      </c>
      <c r="D2027" s="9">
        <v>45920</v>
      </c>
      <c r="E2027" t="s">
        <v>2330</v>
      </c>
      <c r="F2027" s="20">
        <v>100</v>
      </c>
      <c r="G2027" t="s">
        <v>2331</v>
      </c>
      <c r="H2027">
        <v>701.93</v>
      </c>
      <c r="I2027" s="16" t="str">
        <f t="shared" si="31"/>
        <v>Normal</v>
      </c>
      <c r="J2027">
        <v>4</v>
      </c>
    </row>
    <row r="2028" spans="1:10">
      <c r="A2028" t="s">
        <v>4404</v>
      </c>
      <c r="B2028" t="s">
        <v>1974</v>
      </c>
      <c r="C2028" t="s">
        <v>2267</v>
      </c>
      <c r="D2028" s="9">
        <v>45982</v>
      </c>
      <c r="E2028" t="s">
        <v>2324</v>
      </c>
      <c r="G2028" t="s">
        <v>2325</v>
      </c>
      <c r="H2028">
        <v>999.99</v>
      </c>
      <c r="I2028" s="16" t="str">
        <f t="shared" si="31"/>
        <v>Normal</v>
      </c>
      <c r="J2028">
        <v>2</v>
      </c>
    </row>
    <row r="2029" spans="1:10">
      <c r="A2029" t="s">
        <v>4405</v>
      </c>
      <c r="B2029" t="s">
        <v>1492</v>
      </c>
      <c r="C2029" t="s">
        <v>2267</v>
      </c>
      <c r="D2029" s="9">
        <v>45139</v>
      </c>
      <c r="E2029" t="s">
        <v>2330</v>
      </c>
      <c r="G2029" t="s">
        <v>2331</v>
      </c>
      <c r="H2029">
        <v>999.99</v>
      </c>
      <c r="I2029" s="16" t="str">
        <f t="shared" si="31"/>
        <v>Normal</v>
      </c>
      <c r="J2029">
        <v>5</v>
      </c>
    </row>
    <row r="2030" spans="1:10">
      <c r="A2030" t="s">
        <v>4406</v>
      </c>
      <c r="B2030" t="s">
        <v>1327</v>
      </c>
      <c r="C2030" t="s">
        <v>2269</v>
      </c>
      <c r="D2030" s="9">
        <v>45129</v>
      </c>
      <c r="E2030" t="s">
        <v>23</v>
      </c>
      <c r="G2030" t="s">
        <v>2331</v>
      </c>
      <c r="H2030">
        <v>499</v>
      </c>
      <c r="I2030" s="16" t="str">
        <f t="shared" si="31"/>
        <v>Normal</v>
      </c>
      <c r="J2030">
        <v>5</v>
      </c>
    </row>
    <row r="2031" spans="1:10">
      <c r="A2031" t="s">
        <v>4407</v>
      </c>
      <c r="B2031" t="s">
        <v>1054</v>
      </c>
      <c r="C2031" t="s">
        <v>2257</v>
      </c>
      <c r="D2031" s="9">
        <v>46078</v>
      </c>
      <c r="E2031" t="s">
        <v>2337</v>
      </c>
      <c r="F2031" s="20">
        <v>5</v>
      </c>
      <c r="G2031" t="s">
        <v>2325</v>
      </c>
      <c r="I2031" s="16" t="str">
        <f t="shared" si="31"/>
        <v>Unknown</v>
      </c>
      <c r="J2031">
        <v>1</v>
      </c>
    </row>
    <row r="2032" spans="1:10">
      <c r="A2032" t="s">
        <v>4408</v>
      </c>
      <c r="B2032" t="s">
        <v>1596</v>
      </c>
      <c r="C2032" t="s">
        <v>2193</v>
      </c>
      <c r="D2032" s="9">
        <v>45058</v>
      </c>
      <c r="E2032" t="s">
        <v>2337</v>
      </c>
      <c r="F2032" s="20">
        <v>20</v>
      </c>
      <c r="G2032" t="s">
        <v>2328</v>
      </c>
      <c r="H2032">
        <v>0</v>
      </c>
      <c r="I2032" s="16" t="str">
        <f t="shared" si="31"/>
        <v>Zero Amount</v>
      </c>
      <c r="J2032">
        <v>4</v>
      </c>
    </row>
    <row r="2033" spans="1:10">
      <c r="A2033" t="s">
        <v>4409</v>
      </c>
      <c r="B2033" t="s">
        <v>1079</v>
      </c>
      <c r="C2033" t="s">
        <v>2247</v>
      </c>
      <c r="D2033" s="9">
        <v>45904</v>
      </c>
      <c r="E2033" t="s">
        <v>2327</v>
      </c>
      <c r="F2033" s="20">
        <v>15</v>
      </c>
      <c r="G2033" t="s">
        <v>23</v>
      </c>
      <c r="I2033" s="16" t="str">
        <f t="shared" si="31"/>
        <v>Unknown</v>
      </c>
      <c r="J2033">
        <v>4</v>
      </c>
    </row>
    <row r="2034" spans="1:10">
      <c r="A2034" t="s">
        <v>4410</v>
      </c>
      <c r="B2034" t="s">
        <v>682</v>
      </c>
      <c r="C2034" t="s">
        <v>2205</v>
      </c>
      <c r="D2034" s="9">
        <v>46052</v>
      </c>
      <c r="E2034" t="s">
        <v>2330</v>
      </c>
      <c r="F2034" s="20">
        <v>100</v>
      </c>
      <c r="G2034" t="s">
        <v>2328</v>
      </c>
      <c r="H2034">
        <v>1500</v>
      </c>
      <c r="I2034" s="16" t="str">
        <f t="shared" si="31"/>
        <v>Normal</v>
      </c>
      <c r="J2034">
        <v>2</v>
      </c>
    </row>
    <row r="2035" spans="1:10">
      <c r="A2035" t="s">
        <v>4411</v>
      </c>
      <c r="B2035" t="s">
        <v>713</v>
      </c>
      <c r="C2035" t="s">
        <v>2209</v>
      </c>
      <c r="D2035" s="9">
        <v>45271</v>
      </c>
      <c r="E2035" t="s">
        <v>2327</v>
      </c>
      <c r="F2035" s="20">
        <v>0</v>
      </c>
      <c r="G2035" t="s">
        <v>2331</v>
      </c>
      <c r="H2035">
        <v>499</v>
      </c>
      <c r="I2035" s="16" t="str">
        <f t="shared" si="31"/>
        <v>Normal</v>
      </c>
      <c r="J2035">
        <v>4</v>
      </c>
    </row>
    <row r="2036" spans="1:10">
      <c r="A2036" t="s">
        <v>4412</v>
      </c>
      <c r="B2036" t="s">
        <v>1689</v>
      </c>
      <c r="C2036" t="s">
        <v>2273</v>
      </c>
      <c r="D2036" s="9">
        <v>45557</v>
      </c>
      <c r="E2036" t="s">
        <v>2337</v>
      </c>
      <c r="F2036" s="20">
        <v>5</v>
      </c>
      <c r="G2036" t="s">
        <v>2328</v>
      </c>
      <c r="H2036">
        <v>799</v>
      </c>
      <c r="I2036" s="16" t="str">
        <f t="shared" si="31"/>
        <v>Normal</v>
      </c>
      <c r="J2036">
        <v>1</v>
      </c>
    </row>
    <row r="2037" spans="1:10">
      <c r="A2037" t="s">
        <v>4413</v>
      </c>
      <c r="B2037" t="s">
        <v>729</v>
      </c>
      <c r="C2037" t="s">
        <v>2273</v>
      </c>
      <c r="D2037" s="9">
        <v>46025</v>
      </c>
      <c r="E2037" t="s">
        <v>2327</v>
      </c>
      <c r="G2037" t="s">
        <v>2325</v>
      </c>
      <c r="H2037">
        <v>799</v>
      </c>
      <c r="I2037" s="16" t="str">
        <f t="shared" si="31"/>
        <v>Normal</v>
      </c>
      <c r="J2037">
        <v>4</v>
      </c>
    </row>
    <row r="2038" spans="1:10">
      <c r="A2038" t="s">
        <v>4414</v>
      </c>
      <c r="B2038" t="s">
        <v>828</v>
      </c>
      <c r="C2038" t="s">
        <v>2225</v>
      </c>
      <c r="D2038" s="9">
        <v>45159</v>
      </c>
      <c r="E2038" t="s">
        <v>23</v>
      </c>
      <c r="G2038" t="s">
        <v>23</v>
      </c>
      <c r="I2038" s="16" t="str">
        <f t="shared" si="31"/>
        <v>Unknown</v>
      </c>
      <c r="J2038">
        <v>4</v>
      </c>
    </row>
    <row r="2039" spans="1:10">
      <c r="A2039" t="s">
        <v>4415</v>
      </c>
      <c r="B2039" t="s">
        <v>4416</v>
      </c>
      <c r="C2039" t="s">
        <v>2235</v>
      </c>
      <c r="D2039" s="9">
        <v>45796</v>
      </c>
      <c r="E2039" t="s">
        <v>2327</v>
      </c>
      <c r="F2039" s="20">
        <v>15</v>
      </c>
      <c r="G2039" t="s">
        <v>2331</v>
      </c>
      <c r="I2039" s="16" t="str">
        <f t="shared" si="31"/>
        <v>Unknown</v>
      </c>
      <c r="J2039">
        <v>4</v>
      </c>
    </row>
    <row r="2040" spans="1:10">
      <c r="A2040" t="s">
        <v>4417</v>
      </c>
      <c r="B2040" t="s">
        <v>943</v>
      </c>
      <c r="C2040" t="s">
        <v>2218</v>
      </c>
      <c r="D2040" s="9">
        <v>45166</v>
      </c>
      <c r="E2040" t="s">
        <v>2327</v>
      </c>
      <c r="F2040" s="20">
        <v>0</v>
      </c>
      <c r="G2040" t="s">
        <v>2345</v>
      </c>
      <c r="I2040" s="16" t="str">
        <f t="shared" si="31"/>
        <v>Unknown</v>
      </c>
      <c r="J2040">
        <v>5</v>
      </c>
    </row>
    <row r="2041" spans="1:10">
      <c r="A2041" t="s">
        <v>4418</v>
      </c>
      <c r="B2041" t="s">
        <v>943</v>
      </c>
      <c r="C2041" t="s">
        <v>2202</v>
      </c>
      <c r="D2041" s="9">
        <v>45056</v>
      </c>
      <c r="E2041" t="s">
        <v>2330</v>
      </c>
      <c r="F2041" s="20">
        <v>100</v>
      </c>
      <c r="G2041" t="s">
        <v>2325</v>
      </c>
      <c r="H2041">
        <v>536.24</v>
      </c>
      <c r="I2041" s="16" t="str">
        <f t="shared" si="31"/>
        <v>Normal</v>
      </c>
      <c r="J2041">
        <v>4</v>
      </c>
    </row>
    <row r="2042" spans="1:10">
      <c r="A2042" t="s">
        <v>4419</v>
      </c>
      <c r="B2042" t="s">
        <v>1798</v>
      </c>
      <c r="C2042" t="s">
        <v>2198</v>
      </c>
      <c r="D2042" s="9">
        <v>45694</v>
      </c>
      <c r="E2042" t="s">
        <v>2327</v>
      </c>
      <c r="F2042" s="20">
        <v>20</v>
      </c>
      <c r="G2042" t="s">
        <v>2331</v>
      </c>
      <c r="I2042" s="16" t="str">
        <f t="shared" si="31"/>
        <v>Unknown</v>
      </c>
      <c r="J2042" t="s">
        <v>39</v>
      </c>
    </row>
    <row r="2043" spans="1:10">
      <c r="A2043" t="s">
        <v>4420</v>
      </c>
      <c r="B2043" t="s">
        <v>1103</v>
      </c>
      <c r="C2043" t="s">
        <v>2222</v>
      </c>
      <c r="D2043" s="9">
        <v>46175</v>
      </c>
      <c r="E2043" t="s">
        <v>23</v>
      </c>
      <c r="G2043" t="s">
        <v>2331</v>
      </c>
      <c r="H2043">
        <v>0</v>
      </c>
      <c r="I2043" s="16" t="str">
        <f t="shared" si="31"/>
        <v>Zero Amount</v>
      </c>
      <c r="J2043">
        <v>4</v>
      </c>
    </row>
    <row r="2044" spans="1:10">
      <c r="A2044" t="s">
        <v>4421</v>
      </c>
      <c r="B2044" t="s">
        <v>1158</v>
      </c>
      <c r="C2044" t="s">
        <v>2259</v>
      </c>
      <c r="D2044" s="9">
        <v>45310</v>
      </c>
      <c r="E2044" t="s">
        <v>2330</v>
      </c>
      <c r="F2044" s="20">
        <v>100</v>
      </c>
      <c r="G2044" t="s">
        <v>2331</v>
      </c>
      <c r="H2044">
        <v>0</v>
      </c>
      <c r="I2044" s="16" t="str">
        <f t="shared" si="31"/>
        <v>Zero Amount</v>
      </c>
      <c r="J2044" t="s">
        <v>39</v>
      </c>
    </row>
    <row r="2045" spans="1:10">
      <c r="A2045" t="s">
        <v>4422</v>
      </c>
      <c r="B2045" t="s">
        <v>836</v>
      </c>
      <c r="C2045" t="s">
        <v>2222</v>
      </c>
      <c r="D2045" s="9">
        <v>45770</v>
      </c>
      <c r="E2045" t="s">
        <v>2330</v>
      </c>
      <c r="F2045" s="20">
        <v>100</v>
      </c>
      <c r="G2045" t="s">
        <v>23</v>
      </c>
      <c r="H2045">
        <v>0</v>
      </c>
      <c r="I2045" s="16" t="str">
        <f t="shared" si="31"/>
        <v>Zero Amount</v>
      </c>
      <c r="J2045">
        <v>1</v>
      </c>
    </row>
    <row r="2046" spans="1:10">
      <c r="A2046" t="s">
        <v>4423</v>
      </c>
      <c r="B2046" t="s">
        <v>1218</v>
      </c>
      <c r="C2046" t="s">
        <v>2205</v>
      </c>
      <c r="D2046" s="9">
        <v>45116</v>
      </c>
      <c r="E2046" t="s">
        <v>23</v>
      </c>
      <c r="G2046" t="s">
        <v>2328</v>
      </c>
      <c r="H2046">
        <v>1500</v>
      </c>
      <c r="I2046" s="16" t="str">
        <f t="shared" si="31"/>
        <v>Normal</v>
      </c>
      <c r="J2046" t="s">
        <v>39</v>
      </c>
    </row>
    <row r="2047" spans="1:10">
      <c r="A2047" t="s">
        <v>4424</v>
      </c>
      <c r="B2047" t="s">
        <v>1239</v>
      </c>
      <c r="C2047" t="s">
        <v>2267</v>
      </c>
      <c r="D2047" s="9">
        <v>46015</v>
      </c>
      <c r="E2047" t="s">
        <v>2337</v>
      </c>
      <c r="F2047" s="20">
        <v>15</v>
      </c>
      <c r="G2047" t="s">
        <v>2339</v>
      </c>
      <c r="H2047">
        <v>999.99</v>
      </c>
      <c r="I2047" s="16" t="str">
        <f t="shared" si="31"/>
        <v>Normal</v>
      </c>
      <c r="J2047" t="s">
        <v>39</v>
      </c>
    </row>
    <row r="2048" spans="1:10">
      <c r="A2048" t="s">
        <v>4425</v>
      </c>
      <c r="B2048" t="s">
        <v>1129</v>
      </c>
      <c r="C2048" t="s">
        <v>2273</v>
      </c>
      <c r="D2048" s="9">
        <v>46027</v>
      </c>
      <c r="E2048" t="s">
        <v>2324</v>
      </c>
      <c r="F2048" s="20">
        <v>60</v>
      </c>
      <c r="G2048" t="s">
        <v>2339</v>
      </c>
      <c r="H2048">
        <v>799</v>
      </c>
      <c r="I2048" s="16" t="str">
        <f t="shared" si="31"/>
        <v>Normal</v>
      </c>
      <c r="J2048" t="s">
        <v>39</v>
      </c>
    </row>
    <row r="2049" spans="1:10">
      <c r="A2049" t="s">
        <v>4426</v>
      </c>
      <c r="B2049" t="s">
        <v>896</v>
      </c>
      <c r="C2049" t="s">
        <v>2225</v>
      </c>
      <c r="D2049" s="9">
        <v>45444</v>
      </c>
      <c r="E2049" t="s">
        <v>2330</v>
      </c>
      <c r="F2049" s="20">
        <v>100</v>
      </c>
      <c r="G2049" t="s">
        <v>2328</v>
      </c>
      <c r="I2049" s="16" t="str">
        <f t="shared" si="31"/>
        <v>Unknown</v>
      </c>
      <c r="J2049">
        <v>4</v>
      </c>
    </row>
    <row r="2050" spans="1:10">
      <c r="A2050" t="s">
        <v>4427</v>
      </c>
      <c r="B2050" t="s">
        <v>1596</v>
      </c>
      <c r="C2050" t="s">
        <v>2249</v>
      </c>
      <c r="D2050" s="9">
        <v>45875</v>
      </c>
      <c r="E2050" t="s">
        <v>2330</v>
      </c>
      <c r="G2050" t="s">
        <v>2328</v>
      </c>
      <c r="H2050">
        <v>1500</v>
      </c>
      <c r="I2050" s="16" t="str">
        <f t="shared" si="31"/>
        <v>Normal</v>
      </c>
      <c r="J2050">
        <v>5</v>
      </c>
    </row>
    <row r="2051" spans="1:10">
      <c r="A2051" t="s">
        <v>4428</v>
      </c>
      <c r="B2051" t="s">
        <v>498</v>
      </c>
      <c r="C2051" t="s">
        <v>2273</v>
      </c>
      <c r="D2051" s="9">
        <v>46090</v>
      </c>
      <c r="E2051" t="s">
        <v>2330</v>
      </c>
      <c r="F2051" s="20">
        <v>100</v>
      </c>
      <c r="G2051" t="s">
        <v>2339</v>
      </c>
      <c r="H2051">
        <v>799</v>
      </c>
      <c r="I2051" s="16" t="str">
        <f t="shared" ref="I2051:I2114" si="32">IF(H2051="", "Unknown", IF(H2051=0, "Zero Amount", IF(H2051&lt;1, "Review", IF(H2051&gt;1, "Normal"))))</f>
        <v>Normal</v>
      </c>
      <c r="J2051">
        <v>3</v>
      </c>
    </row>
    <row r="2052" spans="1:10">
      <c r="A2052" t="s">
        <v>4429</v>
      </c>
      <c r="B2052" t="s">
        <v>40</v>
      </c>
      <c r="C2052" t="s">
        <v>2198</v>
      </c>
      <c r="D2052" s="9">
        <v>45741</v>
      </c>
      <c r="E2052" t="s">
        <v>2324</v>
      </c>
      <c r="F2052" s="20">
        <v>25</v>
      </c>
      <c r="G2052" t="s">
        <v>2328</v>
      </c>
      <c r="I2052" s="16" t="str">
        <f t="shared" si="32"/>
        <v>Unknown</v>
      </c>
      <c r="J2052" t="s">
        <v>39</v>
      </c>
    </row>
    <row r="2053" spans="1:10">
      <c r="A2053" t="s">
        <v>4430</v>
      </c>
      <c r="B2053" t="s">
        <v>1524</v>
      </c>
      <c r="C2053" t="s">
        <v>2202</v>
      </c>
      <c r="D2053" s="9">
        <v>46132</v>
      </c>
      <c r="E2053" t="s">
        <v>2337</v>
      </c>
      <c r="G2053" t="s">
        <v>2339</v>
      </c>
      <c r="I2053" s="16" t="str">
        <f t="shared" si="32"/>
        <v>Unknown</v>
      </c>
      <c r="J2053">
        <v>3</v>
      </c>
    </row>
    <row r="2054" spans="1:10">
      <c r="A2054" t="s">
        <v>4431</v>
      </c>
      <c r="B2054" t="s">
        <v>1107</v>
      </c>
      <c r="C2054" t="s">
        <v>2269</v>
      </c>
      <c r="D2054" s="9">
        <v>45663</v>
      </c>
      <c r="E2054" t="s">
        <v>2330</v>
      </c>
      <c r="G2054" t="s">
        <v>2345</v>
      </c>
      <c r="H2054">
        <v>499</v>
      </c>
      <c r="I2054" s="16" t="str">
        <f t="shared" si="32"/>
        <v>Normal</v>
      </c>
      <c r="J2054">
        <v>1</v>
      </c>
    </row>
    <row r="2055" spans="1:10">
      <c r="A2055" t="s">
        <v>4432</v>
      </c>
      <c r="B2055" t="s">
        <v>1820</v>
      </c>
      <c r="C2055" t="s">
        <v>2218</v>
      </c>
      <c r="D2055" s="9">
        <v>46128</v>
      </c>
      <c r="E2055" t="s">
        <v>2327</v>
      </c>
      <c r="F2055" s="20">
        <v>15</v>
      </c>
      <c r="G2055" t="s">
        <v>2325</v>
      </c>
      <c r="H2055">
        <v>1500</v>
      </c>
      <c r="I2055" s="16" t="str">
        <f t="shared" si="32"/>
        <v>Normal</v>
      </c>
      <c r="J2055">
        <v>1</v>
      </c>
    </row>
    <row r="2056" spans="1:10">
      <c r="A2056" t="s">
        <v>4433</v>
      </c>
      <c r="B2056" t="s">
        <v>1786</v>
      </c>
      <c r="C2056" t="s">
        <v>2253</v>
      </c>
      <c r="D2056" s="9">
        <v>45539</v>
      </c>
      <c r="E2056" t="s">
        <v>2324</v>
      </c>
      <c r="G2056" t="s">
        <v>2345</v>
      </c>
      <c r="H2056">
        <v>1200</v>
      </c>
      <c r="I2056" s="16" t="str">
        <f t="shared" si="32"/>
        <v>Normal</v>
      </c>
      <c r="J2056">
        <v>4</v>
      </c>
    </row>
    <row r="2057" spans="1:10">
      <c r="A2057" t="s">
        <v>4434</v>
      </c>
      <c r="B2057" t="s">
        <v>1842</v>
      </c>
      <c r="C2057" t="s">
        <v>2237</v>
      </c>
      <c r="D2057" s="9">
        <v>46016</v>
      </c>
      <c r="E2057" t="s">
        <v>2330</v>
      </c>
      <c r="F2057" s="20">
        <v>100</v>
      </c>
      <c r="G2057" t="s">
        <v>2331</v>
      </c>
      <c r="H2057">
        <v>1500</v>
      </c>
      <c r="I2057" s="16" t="str">
        <f t="shared" si="32"/>
        <v>Normal</v>
      </c>
      <c r="J2057" t="s">
        <v>39</v>
      </c>
    </row>
    <row r="2058" spans="1:10">
      <c r="A2058" t="s">
        <v>4435</v>
      </c>
      <c r="B2058" t="s">
        <v>267</v>
      </c>
      <c r="C2058" t="s">
        <v>2216</v>
      </c>
      <c r="D2058" s="9">
        <v>45831</v>
      </c>
      <c r="E2058" t="s">
        <v>2324</v>
      </c>
      <c r="G2058" t="s">
        <v>2339</v>
      </c>
      <c r="H2058">
        <v>1200</v>
      </c>
      <c r="I2058" s="16" t="str">
        <f t="shared" si="32"/>
        <v>Normal</v>
      </c>
      <c r="J2058">
        <v>4</v>
      </c>
    </row>
    <row r="2059" spans="1:10">
      <c r="A2059" t="s">
        <v>4436</v>
      </c>
      <c r="B2059" t="s">
        <v>213</v>
      </c>
      <c r="C2059" t="s">
        <v>2205</v>
      </c>
      <c r="D2059" s="9">
        <v>45169</v>
      </c>
      <c r="E2059" t="s">
        <v>2324</v>
      </c>
      <c r="G2059" t="s">
        <v>2331</v>
      </c>
      <c r="H2059">
        <v>801.95</v>
      </c>
      <c r="I2059" s="16" t="str">
        <f t="shared" si="32"/>
        <v>Normal</v>
      </c>
      <c r="J2059">
        <v>4</v>
      </c>
    </row>
    <row r="2060" spans="1:10">
      <c r="A2060" t="s">
        <v>4437</v>
      </c>
      <c r="B2060" t="s">
        <v>729</v>
      </c>
      <c r="C2060" t="s">
        <v>2213</v>
      </c>
      <c r="D2060" s="9">
        <v>46002</v>
      </c>
      <c r="E2060" t="s">
        <v>23</v>
      </c>
      <c r="G2060" t="s">
        <v>2345</v>
      </c>
      <c r="H2060">
        <v>1500</v>
      </c>
      <c r="I2060" s="16" t="str">
        <f t="shared" si="32"/>
        <v>Normal</v>
      </c>
      <c r="J2060">
        <v>1</v>
      </c>
    </row>
    <row r="2061" spans="1:10">
      <c r="A2061" t="s">
        <v>4438</v>
      </c>
      <c r="B2061" t="s">
        <v>735</v>
      </c>
      <c r="C2061" t="s">
        <v>2222</v>
      </c>
      <c r="D2061" s="9">
        <v>45647</v>
      </c>
      <c r="E2061" t="s">
        <v>2327</v>
      </c>
      <c r="F2061" s="20">
        <v>15</v>
      </c>
      <c r="G2061" t="s">
        <v>23</v>
      </c>
      <c r="H2061">
        <v>0</v>
      </c>
      <c r="I2061" s="16" t="str">
        <f t="shared" si="32"/>
        <v>Zero Amount</v>
      </c>
      <c r="J2061">
        <v>2</v>
      </c>
    </row>
    <row r="2062" spans="1:10">
      <c r="A2062" t="s">
        <v>4439</v>
      </c>
      <c r="B2062" t="s">
        <v>1091</v>
      </c>
      <c r="C2062" t="s">
        <v>2244</v>
      </c>
      <c r="D2062" s="9">
        <v>45896</v>
      </c>
      <c r="E2062" t="s">
        <v>2330</v>
      </c>
      <c r="F2062" s="20">
        <v>100</v>
      </c>
      <c r="G2062" t="s">
        <v>2345</v>
      </c>
      <c r="H2062">
        <v>1200</v>
      </c>
      <c r="I2062" s="16" t="str">
        <f t="shared" si="32"/>
        <v>Normal</v>
      </c>
      <c r="J2062">
        <v>2</v>
      </c>
    </row>
    <row r="2063" spans="1:10">
      <c r="A2063" t="s">
        <v>4440</v>
      </c>
      <c r="B2063" t="s">
        <v>1654</v>
      </c>
      <c r="C2063" t="s">
        <v>2259</v>
      </c>
      <c r="D2063" s="9">
        <v>45190</v>
      </c>
      <c r="E2063" t="s">
        <v>2337</v>
      </c>
      <c r="F2063" s="20">
        <v>5</v>
      </c>
      <c r="G2063" t="s">
        <v>2331</v>
      </c>
      <c r="H2063">
        <v>0</v>
      </c>
      <c r="I2063" s="16" t="str">
        <f t="shared" si="32"/>
        <v>Zero Amount</v>
      </c>
      <c r="J2063">
        <v>1</v>
      </c>
    </row>
    <row r="2064" spans="1:10">
      <c r="A2064" t="s">
        <v>4441</v>
      </c>
      <c r="B2064" t="s">
        <v>44</v>
      </c>
      <c r="C2064" t="s">
        <v>2257</v>
      </c>
      <c r="D2064" s="9">
        <v>45583</v>
      </c>
      <c r="E2064" t="s">
        <v>2337</v>
      </c>
      <c r="F2064" s="20">
        <v>15</v>
      </c>
      <c r="G2064" t="s">
        <v>2331</v>
      </c>
      <c r="I2064" s="16" t="str">
        <f t="shared" si="32"/>
        <v>Unknown</v>
      </c>
      <c r="J2064" t="s">
        <v>39</v>
      </c>
    </row>
    <row r="2065" spans="1:10">
      <c r="A2065" t="s">
        <v>4442</v>
      </c>
      <c r="B2065" t="s">
        <v>1748</v>
      </c>
      <c r="C2065" t="s">
        <v>2251</v>
      </c>
      <c r="D2065" s="9">
        <v>45399</v>
      </c>
      <c r="E2065" t="s">
        <v>2324</v>
      </c>
      <c r="F2065" s="20">
        <v>10</v>
      </c>
      <c r="G2065" t="s">
        <v>2339</v>
      </c>
      <c r="H2065">
        <v>1500</v>
      </c>
      <c r="I2065" s="16" t="str">
        <f t="shared" si="32"/>
        <v>Normal</v>
      </c>
      <c r="J2065">
        <v>5</v>
      </c>
    </row>
    <row r="2066" spans="1:10">
      <c r="A2066" t="s">
        <v>4443</v>
      </c>
      <c r="B2066" t="s">
        <v>1995</v>
      </c>
      <c r="C2066" t="s">
        <v>2247</v>
      </c>
      <c r="D2066" s="9">
        <v>45315</v>
      </c>
      <c r="E2066" t="s">
        <v>2324</v>
      </c>
      <c r="F2066" s="20">
        <v>40</v>
      </c>
      <c r="G2066" t="s">
        <v>2345</v>
      </c>
      <c r="I2066" s="16" t="str">
        <f t="shared" si="32"/>
        <v>Unknown</v>
      </c>
      <c r="J2066">
        <v>3</v>
      </c>
    </row>
    <row r="2067" spans="1:10">
      <c r="A2067" t="s">
        <v>4444</v>
      </c>
      <c r="B2067" t="s">
        <v>181</v>
      </c>
      <c r="C2067" t="s">
        <v>2249</v>
      </c>
      <c r="D2067" s="9">
        <v>45651</v>
      </c>
      <c r="E2067" t="s">
        <v>2324</v>
      </c>
      <c r="F2067" s="20">
        <v>60</v>
      </c>
      <c r="G2067" t="s">
        <v>2331</v>
      </c>
      <c r="H2067">
        <v>1500</v>
      </c>
      <c r="I2067" s="16" t="str">
        <f t="shared" si="32"/>
        <v>Normal</v>
      </c>
      <c r="J2067" t="s">
        <v>39</v>
      </c>
    </row>
    <row r="2068" spans="1:10">
      <c r="A2068" t="s">
        <v>4445</v>
      </c>
      <c r="B2068" t="s">
        <v>387</v>
      </c>
      <c r="C2068" t="s">
        <v>2225</v>
      </c>
      <c r="D2068" s="9">
        <v>45287</v>
      </c>
      <c r="E2068" t="s">
        <v>2330</v>
      </c>
      <c r="G2068" t="s">
        <v>2328</v>
      </c>
      <c r="I2068" s="16" t="str">
        <f t="shared" si="32"/>
        <v>Unknown</v>
      </c>
      <c r="J2068">
        <v>2</v>
      </c>
    </row>
    <row r="2069" spans="1:10">
      <c r="A2069" t="s">
        <v>4446</v>
      </c>
      <c r="B2069" t="s">
        <v>1373</v>
      </c>
      <c r="C2069" t="s">
        <v>2216</v>
      </c>
      <c r="D2069" s="9">
        <v>45916</v>
      </c>
      <c r="E2069" t="s">
        <v>2324</v>
      </c>
      <c r="F2069" s="20">
        <v>55</v>
      </c>
      <c r="G2069" t="s">
        <v>23</v>
      </c>
      <c r="H2069">
        <v>1200</v>
      </c>
      <c r="I2069" s="16" t="str">
        <f t="shared" si="32"/>
        <v>Normal</v>
      </c>
      <c r="J2069" t="s">
        <v>39</v>
      </c>
    </row>
    <row r="2070" spans="1:10">
      <c r="A2070" t="s">
        <v>4447</v>
      </c>
      <c r="B2070" t="s">
        <v>28</v>
      </c>
      <c r="C2070" t="s">
        <v>2193</v>
      </c>
      <c r="D2070" s="9">
        <v>46016</v>
      </c>
      <c r="E2070" t="s">
        <v>2330</v>
      </c>
      <c r="F2070" s="20">
        <v>100</v>
      </c>
      <c r="G2070" t="s">
        <v>2345</v>
      </c>
      <c r="H2070">
        <v>0</v>
      </c>
      <c r="I2070" s="16" t="str">
        <f t="shared" si="32"/>
        <v>Zero Amount</v>
      </c>
      <c r="J2070">
        <v>4</v>
      </c>
    </row>
    <row r="2071" spans="1:10">
      <c r="A2071" t="s">
        <v>4448</v>
      </c>
      <c r="B2071" t="s">
        <v>1181</v>
      </c>
      <c r="C2071" t="s">
        <v>2225</v>
      </c>
      <c r="D2071" s="9">
        <v>45101</v>
      </c>
      <c r="E2071" t="s">
        <v>2324</v>
      </c>
      <c r="F2071" s="20">
        <v>60</v>
      </c>
      <c r="G2071" t="s">
        <v>2325</v>
      </c>
      <c r="I2071" s="16" t="str">
        <f t="shared" si="32"/>
        <v>Unknown</v>
      </c>
      <c r="J2071">
        <v>2</v>
      </c>
    </row>
    <row r="2072" spans="1:10">
      <c r="A2072" t="s">
        <v>4449</v>
      </c>
      <c r="B2072" t="s">
        <v>2024</v>
      </c>
      <c r="C2072" t="s">
        <v>2205</v>
      </c>
      <c r="D2072" s="9">
        <v>45398</v>
      </c>
      <c r="E2072" t="s">
        <v>2324</v>
      </c>
      <c r="G2072" t="s">
        <v>2325</v>
      </c>
      <c r="I2072" s="16" t="str">
        <f t="shared" si="32"/>
        <v>Unknown</v>
      </c>
      <c r="J2072">
        <v>5</v>
      </c>
    </row>
    <row r="2073" spans="1:10">
      <c r="A2073" t="s">
        <v>4450</v>
      </c>
      <c r="B2073" t="s">
        <v>1907</v>
      </c>
      <c r="C2073" t="s">
        <v>2231</v>
      </c>
      <c r="D2073" s="9">
        <v>45542</v>
      </c>
      <c r="E2073" t="s">
        <v>2327</v>
      </c>
      <c r="F2073" s="20">
        <v>0</v>
      </c>
      <c r="G2073" t="s">
        <v>2328</v>
      </c>
      <c r="H2073">
        <v>3000</v>
      </c>
      <c r="I2073" s="16" t="str">
        <f t="shared" si="32"/>
        <v>Normal</v>
      </c>
      <c r="J2073">
        <v>1</v>
      </c>
    </row>
    <row r="2074" spans="1:10">
      <c r="A2074" t="s">
        <v>4451</v>
      </c>
      <c r="B2074" t="s">
        <v>1061</v>
      </c>
      <c r="C2074" t="s">
        <v>2251</v>
      </c>
      <c r="D2074" s="9">
        <v>45472</v>
      </c>
      <c r="E2074" t="s">
        <v>2330</v>
      </c>
      <c r="F2074" s="20">
        <v>100</v>
      </c>
      <c r="G2074" t="s">
        <v>2345</v>
      </c>
      <c r="H2074">
        <v>1500</v>
      </c>
      <c r="I2074" s="16" t="str">
        <f t="shared" si="32"/>
        <v>Normal</v>
      </c>
      <c r="J2074">
        <v>5</v>
      </c>
    </row>
    <row r="2075" spans="1:10">
      <c r="A2075" t="s">
        <v>4452</v>
      </c>
      <c r="B2075" t="s">
        <v>597</v>
      </c>
      <c r="C2075" t="s">
        <v>2231</v>
      </c>
      <c r="D2075" s="9">
        <v>45750</v>
      </c>
      <c r="E2075" t="s">
        <v>2327</v>
      </c>
      <c r="G2075" t="s">
        <v>2328</v>
      </c>
      <c r="H2075">
        <v>3000</v>
      </c>
      <c r="I2075" s="16" t="str">
        <f t="shared" si="32"/>
        <v>Normal</v>
      </c>
      <c r="J2075">
        <v>3</v>
      </c>
    </row>
    <row r="2076" spans="1:10">
      <c r="A2076" t="s">
        <v>4453</v>
      </c>
      <c r="B2076" t="s">
        <v>1075</v>
      </c>
      <c r="C2076" t="s">
        <v>2257</v>
      </c>
      <c r="D2076" s="9">
        <v>45861</v>
      </c>
      <c r="E2076" t="s">
        <v>2330</v>
      </c>
      <c r="F2076" s="20">
        <v>100</v>
      </c>
      <c r="G2076" t="s">
        <v>2331</v>
      </c>
      <c r="I2076" s="16" t="str">
        <f t="shared" si="32"/>
        <v>Unknown</v>
      </c>
      <c r="J2076">
        <v>1</v>
      </c>
    </row>
    <row r="2077" spans="1:10">
      <c r="A2077" t="s">
        <v>4454</v>
      </c>
      <c r="B2077" t="s">
        <v>1558</v>
      </c>
      <c r="C2077" t="s">
        <v>2205</v>
      </c>
      <c r="D2077" s="9">
        <v>45718</v>
      </c>
      <c r="E2077" t="s">
        <v>2330</v>
      </c>
      <c r="F2077" s="20">
        <v>100</v>
      </c>
      <c r="G2077" t="s">
        <v>23</v>
      </c>
      <c r="H2077">
        <v>-1500</v>
      </c>
      <c r="I2077" s="16" t="str">
        <f t="shared" si="32"/>
        <v>Review</v>
      </c>
      <c r="J2077">
        <v>1</v>
      </c>
    </row>
    <row r="2078" spans="1:10">
      <c r="A2078" t="s">
        <v>4455</v>
      </c>
      <c r="B2078" t="s">
        <v>1143</v>
      </c>
      <c r="C2078" t="s">
        <v>2218</v>
      </c>
      <c r="D2078" s="9">
        <v>45605</v>
      </c>
      <c r="E2078" t="s">
        <v>2330</v>
      </c>
      <c r="F2078" s="20">
        <v>100</v>
      </c>
      <c r="G2078" t="s">
        <v>23</v>
      </c>
      <c r="H2078">
        <v>1500</v>
      </c>
      <c r="I2078" s="16" t="str">
        <f t="shared" si="32"/>
        <v>Normal</v>
      </c>
      <c r="J2078">
        <v>4</v>
      </c>
    </row>
    <row r="2079" spans="1:10">
      <c r="A2079" t="s">
        <v>4456</v>
      </c>
      <c r="B2079" t="s">
        <v>203</v>
      </c>
      <c r="C2079" t="s">
        <v>2249</v>
      </c>
      <c r="D2079" s="9">
        <v>45225</v>
      </c>
      <c r="E2079" t="s">
        <v>2330</v>
      </c>
      <c r="F2079" s="20">
        <v>100</v>
      </c>
      <c r="G2079" t="s">
        <v>2331</v>
      </c>
      <c r="H2079">
        <v>1500</v>
      </c>
      <c r="I2079" s="16" t="str">
        <f t="shared" si="32"/>
        <v>Normal</v>
      </c>
      <c r="J2079" t="s">
        <v>39</v>
      </c>
    </row>
    <row r="2080" spans="1:10">
      <c r="A2080" t="s">
        <v>4457</v>
      </c>
      <c r="B2080" t="s">
        <v>2003</v>
      </c>
      <c r="C2080" t="s">
        <v>2267</v>
      </c>
      <c r="D2080" s="9">
        <v>45197</v>
      </c>
      <c r="E2080" t="s">
        <v>2330</v>
      </c>
      <c r="G2080" t="s">
        <v>2325</v>
      </c>
      <c r="H2080">
        <v>539.96</v>
      </c>
      <c r="I2080" s="16" t="str">
        <f t="shared" si="32"/>
        <v>Normal</v>
      </c>
      <c r="J2080">
        <v>1</v>
      </c>
    </row>
    <row r="2081" spans="1:10">
      <c r="A2081" t="s">
        <v>4458</v>
      </c>
      <c r="B2081" t="s">
        <v>570</v>
      </c>
      <c r="C2081" t="s">
        <v>2264</v>
      </c>
      <c r="D2081" s="9">
        <v>45897</v>
      </c>
      <c r="E2081" t="s">
        <v>2337</v>
      </c>
      <c r="F2081" s="20">
        <v>0</v>
      </c>
      <c r="G2081" t="s">
        <v>2345</v>
      </c>
      <c r="H2081">
        <v>2500</v>
      </c>
      <c r="I2081" s="16" t="str">
        <f t="shared" si="32"/>
        <v>Normal</v>
      </c>
      <c r="J2081" t="s">
        <v>39</v>
      </c>
    </row>
    <row r="2082" spans="1:10">
      <c r="A2082" t="s">
        <v>4459</v>
      </c>
      <c r="B2082" t="s">
        <v>2047</v>
      </c>
      <c r="C2082" t="s">
        <v>2225</v>
      </c>
      <c r="D2082" s="9">
        <v>45301</v>
      </c>
      <c r="E2082" t="s">
        <v>2330</v>
      </c>
      <c r="F2082" s="20">
        <v>100</v>
      </c>
      <c r="G2082" t="s">
        <v>2328</v>
      </c>
      <c r="I2082" s="16" t="str">
        <f t="shared" si="32"/>
        <v>Unknown</v>
      </c>
      <c r="J2082">
        <v>3</v>
      </c>
    </row>
    <row r="2083" spans="1:10">
      <c r="A2083" t="s">
        <v>4460</v>
      </c>
      <c r="B2083" t="s">
        <v>922</v>
      </c>
      <c r="C2083" t="s">
        <v>2209</v>
      </c>
      <c r="D2083" s="9">
        <v>45745</v>
      </c>
      <c r="E2083" t="s">
        <v>2324</v>
      </c>
      <c r="F2083" s="20">
        <v>10</v>
      </c>
      <c r="G2083" t="s">
        <v>2345</v>
      </c>
      <c r="H2083">
        <v>499</v>
      </c>
      <c r="I2083" s="16" t="str">
        <f t="shared" si="32"/>
        <v>Normal</v>
      </c>
      <c r="J2083">
        <v>4</v>
      </c>
    </row>
    <row r="2084" spans="1:10">
      <c r="A2084" t="s">
        <v>4461</v>
      </c>
      <c r="B2084" t="s">
        <v>1126</v>
      </c>
      <c r="C2084" t="s">
        <v>2235</v>
      </c>
      <c r="D2084" s="9">
        <v>46156</v>
      </c>
      <c r="E2084" t="s">
        <v>2327</v>
      </c>
      <c r="F2084" s="20">
        <v>5</v>
      </c>
      <c r="G2084" t="s">
        <v>23</v>
      </c>
      <c r="H2084">
        <v>1961.79</v>
      </c>
      <c r="I2084" s="16" t="str">
        <f t="shared" si="32"/>
        <v>Normal</v>
      </c>
      <c r="J2084" t="s">
        <v>39</v>
      </c>
    </row>
    <row r="2085" spans="1:10">
      <c r="A2085" t="s">
        <v>4462</v>
      </c>
      <c r="B2085" t="s">
        <v>51</v>
      </c>
      <c r="C2085" t="s">
        <v>2237</v>
      </c>
      <c r="D2085" s="9">
        <v>45879</v>
      </c>
      <c r="E2085" t="s">
        <v>2330</v>
      </c>
      <c r="G2085" t="s">
        <v>2345</v>
      </c>
      <c r="H2085">
        <v>1500</v>
      </c>
      <c r="I2085" s="16" t="str">
        <f t="shared" si="32"/>
        <v>Normal</v>
      </c>
      <c r="J2085">
        <v>3</v>
      </c>
    </row>
    <row r="2086" spans="1:10">
      <c r="A2086" t="s">
        <v>4463</v>
      </c>
      <c r="B2086" t="s">
        <v>1779</v>
      </c>
      <c r="C2086" t="s">
        <v>2259</v>
      </c>
      <c r="D2086" s="9">
        <v>45962</v>
      </c>
      <c r="E2086" t="s">
        <v>2330</v>
      </c>
      <c r="F2086" s="20">
        <v>100</v>
      </c>
      <c r="G2086" t="s">
        <v>2339</v>
      </c>
      <c r="H2086">
        <v>0</v>
      </c>
      <c r="I2086" s="16" t="str">
        <f t="shared" si="32"/>
        <v>Zero Amount</v>
      </c>
      <c r="J2086">
        <v>5</v>
      </c>
    </row>
    <row r="2087" spans="1:10">
      <c r="A2087" t="s">
        <v>4464</v>
      </c>
      <c r="B2087" t="s">
        <v>758</v>
      </c>
      <c r="C2087" t="s">
        <v>2198</v>
      </c>
      <c r="D2087" s="9">
        <v>45336</v>
      </c>
      <c r="E2087" t="s">
        <v>2324</v>
      </c>
      <c r="F2087" s="20">
        <v>40</v>
      </c>
      <c r="G2087" t="s">
        <v>2331</v>
      </c>
      <c r="I2087" s="16" t="str">
        <f t="shared" si="32"/>
        <v>Unknown</v>
      </c>
      <c r="J2087">
        <v>4</v>
      </c>
    </row>
    <row r="2088" spans="1:10">
      <c r="A2088" t="s">
        <v>4465</v>
      </c>
      <c r="B2088" t="s">
        <v>932</v>
      </c>
      <c r="C2088" t="s">
        <v>2247</v>
      </c>
      <c r="D2088" s="9">
        <v>45390</v>
      </c>
      <c r="E2088" t="s">
        <v>2337</v>
      </c>
      <c r="F2088" s="20">
        <v>20</v>
      </c>
      <c r="G2088" t="s">
        <v>2339</v>
      </c>
      <c r="I2088" s="16" t="str">
        <f t="shared" si="32"/>
        <v>Unknown</v>
      </c>
      <c r="J2088">
        <v>4</v>
      </c>
    </row>
    <row r="2089" spans="1:10">
      <c r="A2089" t="s">
        <v>4466</v>
      </c>
      <c r="B2089" t="s">
        <v>1520</v>
      </c>
      <c r="C2089" t="s">
        <v>2209</v>
      </c>
      <c r="D2089" s="9">
        <v>45187</v>
      </c>
      <c r="E2089" t="s">
        <v>2324</v>
      </c>
      <c r="F2089" s="20">
        <v>75</v>
      </c>
      <c r="G2089" t="s">
        <v>2345</v>
      </c>
      <c r="H2089">
        <v>499</v>
      </c>
      <c r="I2089" s="16" t="str">
        <f t="shared" si="32"/>
        <v>Normal</v>
      </c>
      <c r="J2089">
        <v>4</v>
      </c>
    </row>
    <row r="2090" spans="1:10">
      <c r="A2090" t="s">
        <v>4467</v>
      </c>
      <c r="B2090" t="s">
        <v>1365</v>
      </c>
      <c r="C2090" t="s">
        <v>2216</v>
      </c>
      <c r="D2090" s="9">
        <v>45891</v>
      </c>
      <c r="E2090" t="s">
        <v>2327</v>
      </c>
      <c r="F2090" s="20">
        <v>20</v>
      </c>
      <c r="G2090" t="s">
        <v>2345</v>
      </c>
      <c r="H2090">
        <v>1200</v>
      </c>
      <c r="I2090" s="16" t="str">
        <f t="shared" si="32"/>
        <v>Normal</v>
      </c>
      <c r="J2090" t="s">
        <v>39</v>
      </c>
    </row>
    <row r="2091" spans="1:10">
      <c r="A2091" t="s">
        <v>4468</v>
      </c>
      <c r="B2091" t="s">
        <v>95</v>
      </c>
      <c r="C2091" t="s">
        <v>2205</v>
      </c>
      <c r="D2091" s="9">
        <v>45368</v>
      </c>
      <c r="E2091" t="s">
        <v>23</v>
      </c>
      <c r="G2091" t="s">
        <v>2345</v>
      </c>
      <c r="H2091">
        <v>1500</v>
      </c>
      <c r="I2091" s="16" t="str">
        <f t="shared" si="32"/>
        <v>Normal</v>
      </c>
      <c r="J2091">
        <v>5</v>
      </c>
    </row>
    <row r="2092" spans="1:10">
      <c r="A2092" t="s">
        <v>4469</v>
      </c>
      <c r="B2092" t="s">
        <v>832</v>
      </c>
      <c r="C2092" t="s">
        <v>2273</v>
      </c>
      <c r="D2092" s="9">
        <v>46015</v>
      </c>
      <c r="E2092" t="s">
        <v>2337</v>
      </c>
      <c r="F2092" s="20">
        <v>0</v>
      </c>
      <c r="G2092" t="s">
        <v>2345</v>
      </c>
      <c r="H2092">
        <v>799</v>
      </c>
      <c r="I2092" s="16" t="str">
        <f t="shared" si="32"/>
        <v>Normal</v>
      </c>
      <c r="J2092">
        <v>3</v>
      </c>
    </row>
    <row r="2093" spans="1:10">
      <c r="A2093" t="s">
        <v>4470</v>
      </c>
      <c r="B2093" t="s">
        <v>1468</v>
      </c>
      <c r="C2093" t="s">
        <v>2216</v>
      </c>
      <c r="D2093" s="9">
        <v>45801</v>
      </c>
      <c r="E2093" t="s">
        <v>2337</v>
      </c>
      <c r="F2093" s="20">
        <v>20</v>
      </c>
      <c r="G2093" t="s">
        <v>2345</v>
      </c>
      <c r="H2093">
        <v>1200</v>
      </c>
      <c r="I2093" s="16" t="str">
        <f t="shared" si="32"/>
        <v>Normal</v>
      </c>
      <c r="J2093">
        <v>1</v>
      </c>
    </row>
    <row r="2094" spans="1:10">
      <c r="A2094" t="s">
        <v>4471</v>
      </c>
      <c r="B2094" t="s">
        <v>1389</v>
      </c>
      <c r="C2094" t="s">
        <v>2193</v>
      </c>
      <c r="D2094" s="9">
        <v>46086</v>
      </c>
      <c r="E2094" t="s">
        <v>2324</v>
      </c>
      <c r="F2094" s="20">
        <v>75</v>
      </c>
      <c r="G2094" t="s">
        <v>2345</v>
      </c>
      <c r="H2094">
        <v>0</v>
      </c>
      <c r="I2094" s="16" t="str">
        <f t="shared" si="32"/>
        <v>Zero Amount</v>
      </c>
      <c r="J2094">
        <v>4</v>
      </c>
    </row>
    <row r="2095" spans="1:10">
      <c r="A2095" t="s">
        <v>4472</v>
      </c>
      <c r="B2095" t="s">
        <v>2022</v>
      </c>
      <c r="C2095" t="s">
        <v>2247</v>
      </c>
      <c r="D2095" s="9">
        <v>45307</v>
      </c>
      <c r="E2095" t="s">
        <v>2330</v>
      </c>
      <c r="F2095" s="20">
        <v>100</v>
      </c>
      <c r="G2095" t="s">
        <v>2331</v>
      </c>
      <c r="I2095" s="16" t="str">
        <f t="shared" si="32"/>
        <v>Unknown</v>
      </c>
      <c r="J2095">
        <v>1</v>
      </c>
    </row>
    <row r="2096" spans="1:10">
      <c r="A2096" t="s">
        <v>4473</v>
      </c>
      <c r="B2096" t="s">
        <v>645</v>
      </c>
      <c r="C2096" t="s">
        <v>2193</v>
      </c>
      <c r="D2096" s="9">
        <v>45926</v>
      </c>
      <c r="E2096" t="s">
        <v>2330</v>
      </c>
      <c r="F2096" s="20">
        <v>100</v>
      </c>
      <c r="G2096" t="s">
        <v>2339</v>
      </c>
      <c r="H2096">
        <v>0</v>
      </c>
      <c r="I2096" s="16" t="str">
        <f t="shared" si="32"/>
        <v>Zero Amount</v>
      </c>
      <c r="J2096" t="s">
        <v>39</v>
      </c>
    </row>
    <row r="2097" spans="1:10">
      <c r="A2097" t="s">
        <v>4474</v>
      </c>
      <c r="B2097" t="s">
        <v>125</v>
      </c>
      <c r="C2097" t="s">
        <v>2249</v>
      </c>
      <c r="D2097" s="9">
        <v>45243</v>
      </c>
      <c r="E2097" t="s">
        <v>2324</v>
      </c>
      <c r="F2097" s="20">
        <v>25</v>
      </c>
      <c r="G2097" t="s">
        <v>23</v>
      </c>
      <c r="H2097">
        <v>1500</v>
      </c>
      <c r="I2097" s="16" t="str">
        <f t="shared" si="32"/>
        <v>Normal</v>
      </c>
      <c r="J2097">
        <v>1</v>
      </c>
    </row>
    <row r="2098" spans="1:10">
      <c r="A2098" t="s">
        <v>4475</v>
      </c>
      <c r="B2098" t="s">
        <v>1389</v>
      </c>
      <c r="C2098" t="s">
        <v>2247</v>
      </c>
      <c r="D2098" s="9">
        <v>45156</v>
      </c>
      <c r="E2098" t="s">
        <v>2324</v>
      </c>
      <c r="F2098" s="20">
        <v>25</v>
      </c>
      <c r="G2098" t="s">
        <v>2339</v>
      </c>
      <c r="I2098" s="16" t="str">
        <f t="shared" si="32"/>
        <v>Unknown</v>
      </c>
      <c r="J2098" t="s">
        <v>39</v>
      </c>
    </row>
    <row r="2099" spans="1:10">
      <c r="A2099" t="s">
        <v>4476</v>
      </c>
      <c r="B2099" t="s">
        <v>1464</v>
      </c>
      <c r="C2099" t="s">
        <v>2193</v>
      </c>
      <c r="D2099" s="9">
        <v>45871</v>
      </c>
      <c r="E2099" t="s">
        <v>2337</v>
      </c>
      <c r="F2099" s="20">
        <v>0</v>
      </c>
      <c r="G2099" t="s">
        <v>23</v>
      </c>
      <c r="H2099">
        <v>0</v>
      </c>
      <c r="I2099" s="16" t="str">
        <f t="shared" si="32"/>
        <v>Zero Amount</v>
      </c>
      <c r="J2099" t="s">
        <v>39</v>
      </c>
    </row>
    <row r="2100" spans="1:10">
      <c r="A2100" t="s">
        <v>4477</v>
      </c>
      <c r="B2100" t="s">
        <v>1315</v>
      </c>
      <c r="C2100" t="s">
        <v>2273</v>
      </c>
      <c r="D2100" s="9">
        <v>45323</v>
      </c>
      <c r="E2100" t="s">
        <v>2330</v>
      </c>
      <c r="G2100" t="s">
        <v>2345</v>
      </c>
      <c r="H2100">
        <v>799</v>
      </c>
      <c r="I2100" s="16" t="str">
        <f t="shared" si="32"/>
        <v>Normal</v>
      </c>
      <c r="J2100">
        <v>3</v>
      </c>
    </row>
    <row r="2101" spans="1:10">
      <c r="A2101" t="s">
        <v>4478</v>
      </c>
      <c r="B2101" t="s">
        <v>729</v>
      </c>
      <c r="C2101" t="s">
        <v>2205</v>
      </c>
      <c r="D2101" s="9">
        <v>45251</v>
      </c>
      <c r="E2101" t="s">
        <v>2324</v>
      </c>
      <c r="F2101" s="20">
        <v>40</v>
      </c>
      <c r="G2101" t="s">
        <v>2345</v>
      </c>
      <c r="H2101">
        <v>-1500</v>
      </c>
      <c r="I2101" s="16" t="str">
        <f t="shared" si="32"/>
        <v>Review</v>
      </c>
      <c r="J2101">
        <v>5</v>
      </c>
    </row>
    <row r="2102" spans="1:10">
      <c r="A2102" t="s">
        <v>4479</v>
      </c>
      <c r="B2102" t="s">
        <v>1087</v>
      </c>
      <c r="C2102" t="s">
        <v>2273</v>
      </c>
      <c r="D2102" s="9">
        <v>45443</v>
      </c>
      <c r="E2102" t="s">
        <v>2330</v>
      </c>
      <c r="F2102" s="20">
        <v>100</v>
      </c>
      <c r="G2102" t="s">
        <v>2345</v>
      </c>
      <c r="H2102">
        <v>799</v>
      </c>
      <c r="I2102" s="16" t="str">
        <f t="shared" si="32"/>
        <v>Normal</v>
      </c>
      <c r="J2102">
        <v>5</v>
      </c>
    </row>
    <row r="2103" spans="1:10">
      <c r="A2103" t="s">
        <v>4480</v>
      </c>
      <c r="B2103" t="s">
        <v>2073</v>
      </c>
      <c r="C2103" t="s">
        <v>2202</v>
      </c>
      <c r="D2103" s="9">
        <v>45345</v>
      </c>
      <c r="E2103" t="s">
        <v>2337</v>
      </c>
      <c r="F2103" s="20">
        <v>15</v>
      </c>
      <c r="G2103" t="s">
        <v>2345</v>
      </c>
      <c r="H2103">
        <v>999.99</v>
      </c>
      <c r="I2103" s="16" t="str">
        <f t="shared" si="32"/>
        <v>Normal</v>
      </c>
      <c r="J2103">
        <v>3</v>
      </c>
    </row>
    <row r="2104" spans="1:10">
      <c r="A2104" t="s">
        <v>4481</v>
      </c>
      <c r="B2104" t="s">
        <v>1075</v>
      </c>
      <c r="C2104" t="s">
        <v>2261</v>
      </c>
      <c r="D2104" s="9">
        <v>45304</v>
      </c>
      <c r="E2104" t="s">
        <v>2337</v>
      </c>
      <c r="F2104" s="20">
        <v>20</v>
      </c>
      <c r="G2104" t="s">
        <v>2331</v>
      </c>
      <c r="I2104" s="16" t="str">
        <f t="shared" si="32"/>
        <v>Unknown</v>
      </c>
      <c r="J2104" t="s">
        <v>39</v>
      </c>
    </row>
    <row r="2105" spans="1:10">
      <c r="A2105" t="s">
        <v>4482</v>
      </c>
      <c r="B2105" t="s">
        <v>585</v>
      </c>
      <c r="C2105" t="s">
        <v>2202</v>
      </c>
      <c r="D2105" s="9">
        <v>46066</v>
      </c>
      <c r="E2105" t="s">
        <v>23</v>
      </c>
      <c r="G2105" t="s">
        <v>2328</v>
      </c>
      <c r="H2105">
        <v>999.99</v>
      </c>
      <c r="I2105" s="16" t="str">
        <f t="shared" si="32"/>
        <v>Normal</v>
      </c>
      <c r="J2105" t="s">
        <v>39</v>
      </c>
    </row>
    <row r="2106" spans="1:10">
      <c r="A2106" t="s">
        <v>4483</v>
      </c>
      <c r="B2106" t="s">
        <v>1425</v>
      </c>
      <c r="C2106" t="s">
        <v>2187</v>
      </c>
      <c r="D2106" s="9">
        <v>45292</v>
      </c>
      <c r="E2106" t="s">
        <v>2337</v>
      </c>
      <c r="F2106" s="20">
        <v>0</v>
      </c>
      <c r="G2106" t="s">
        <v>2345</v>
      </c>
      <c r="H2106">
        <v>799</v>
      </c>
      <c r="I2106" s="16" t="str">
        <f t="shared" si="32"/>
        <v>Normal</v>
      </c>
      <c r="J2106">
        <v>4</v>
      </c>
    </row>
    <row r="2107" spans="1:10">
      <c r="A2107" t="s">
        <v>4484</v>
      </c>
      <c r="B2107" t="s">
        <v>2006</v>
      </c>
      <c r="C2107" t="s">
        <v>2233</v>
      </c>
      <c r="D2107" s="9">
        <v>45421</v>
      </c>
      <c r="E2107" t="s">
        <v>23</v>
      </c>
      <c r="G2107" t="s">
        <v>2339</v>
      </c>
      <c r="H2107">
        <v>2500</v>
      </c>
      <c r="I2107" s="16" t="str">
        <f t="shared" si="32"/>
        <v>Normal</v>
      </c>
      <c r="J2107" t="s">
        <v>39</v>
      </c>
    </row>
    <row r="2108" spans="1:10">
      <c r="A2108" t="s">
        <v>4485</v>
      </c>
      <c r="B2108" t="s">
        <v>1572</v>
      </c>
      <c r="C2108" t="s">
        <v>2271</v>
      </c>
      <c r="D2108" s="9">
        <v>45862</v>
      </c>
      <c r="E2108" t="s">
        <v>2330</v>
      </c>
      <c r="F2108" s="20">
        <v>100</v>
      </c>
      <c r="G2108" t="s">
        <v>2331</v>
      </c>
      <c r="H2108">
        <v>1200</v>
      </c>
      <c r="I2108" s="16" t="str">
        <f t="shared" si="32"/>
        <v>Normal</v>
      </c>
      <c r="J2108" t="s">
        <v>39</v>
      </c>
    </row>
    <row r="2109" spans="1:10">
      <c r="A2109" t="s">
        <v>4486</v>
      </c>
      <c r="B2109" t="s">
        <v>1373</v>
      </c>
      <c r="C2109" t="s">
        <v>2241</v>
      </c>
      <c r="D2109" s="9">
        <v>45416</v>
      </c>
      <c r="E2109" t="s">
        <v>2330</v>
      </c>
      <c r="F2109" s="20">
        <v>100</v>
      </c>
      <c r="G2109" t="s">
        <v>2325</v>
      </c>
      <c r="H2109">
        <v>2500</v>
      </c>
      <c r="I2109" s="16" t="str">
        <f t="shared" si="32"/>
        <v>Normal</v>
      </c>
      <c r="J2109" t="s">
        <v>39</v>
      </c>
    </row>
    <row r="2110" spans="1:10">
      <c r="A2110" t="s">
        <v>4487</v>
      </c>
      <c r="B2110" t="s">
        <v>40</v>
      </c>
      <c r="C2110" t="s">
        <v>2198</v>
      </c>
      <c r="D2110" s="9">
        <v>45516</v>
      </c>
      <c r="E2110" t="s">
        <v>2330</v>
      </c>
      <c r="F2110" s="20">
        <v>100</v>
      </c>
      <c r="G2110" t="s">
        <v>2331</v>
      </c>
      <c r="I2110" s="16" t="str">
        <f t="shared" si="32"/>
        <v>Unknown</v>
      </c>
      <c r="J2110" t="s">
        <v>39</v>
      </c>
    </row>
    <row r="2111" spans="1:10">
      <c r="A2111" t="s">
        <v>4488</v>
      </c>
      <c r="B2111" t="s">
        <v>1196</v>
      </c>
      <c r="C2111" t="s">
        <v>2233</v>
      </c>
      <c r="D2111" s="9">
        <v>45732</v>
      </c>
      <c r="E2111" t="s">
        <v>2324</v>
      </c>
      <c r="F2111" s="20">
        <v>60</v>
      </c>
      <c r="G2111" t="s">
        <v>2331</v>
      </c>
      <c r="H2111">
        <v>2500</v>
      </c>
      <c r="I2111" s="16" t="str">
        <f t="shared" si="32"/>
        <v>Normal</v>
      </c>
      <c r="J2111">
        <v>5</v>
      </c>
    </row>
    <row r="2112" spans="1:10">
      <c r="A2112" t="s">
        <v>4489</v>
      </c>
      <c r="B2112" t="s">
        <v>513</v>
      </c>
      <c r="C2112" t="s">
        <v>2209</v>
      </c>
      <c r="D2112" s="9">
        <v>45480</v>
      </c>
      <c r="E2112" t="s">
        <v>2330</v>
      </c>
      <c r="G2112" t="s">
        <v>2331</v>
      </c>
      <c r="H2112">
        <v>499</v>
      </c>
      <c r="I2112" s="16" t="str">
        <f t="shared" si="32"/>
        <v>Normal</v>
      </c>
      <c r="J2112" t="s">
        <v>39</v>
      </c>
    </row>
    <row r="2113" spans="1:10">
      <c r="A2113" t="s">
        <v>4490</v>
      </c>
      <c r="B2113" t="s">
        <v>1165</v>
      </c>
      <c r="C2113" t="s">
        <v>2235</v>
      </c>
      <c r="D2113" s="9">
        <v>45801</v>
      </c>
      <c r="E2113" t="s">
        <v>2330</v>
      </c>
      <c r="G2113" t="s">
        <v>2345</v>
      </c>
      <c r="H2113">
        <v>3000</v>
      </c>
      <c r="I2113" s="16" t="str">
        <f t="shared" si="32"/>
        <v>Normal</v>
      </c>
      <c r="J2113" t="s">
        <v>39</v>
      </c>
    </row>
    <row r="2114" spans="1:10">
      <c r="A2114" t="s">
        <v>4491</v>
      </c>
      <c r="B2114" t="s">
        <v>1373</v>
      </c>
      <c r="C2114" t="s">
        <v>2213</v>
      </c>
      <c r="D2114" s="9">
        <v>45590</v>
      </c>
      <c r="E2114" t="s">
        <v>2324</v>
      </c>
      <c r="F2114" s="20">
        <v>75</v>
      </c>
      <c r="G2114" t="s">
        <v>2331</v>
      </c>
      <c r="H2114">
        <v>1500</v>
      </c>
      <c r="I2114" s="16" t="str">
        <f t="shared" si="32"/>
        <v>Normal</v>
      </c>
      <c r="J2114">
        <v>5</v>
      </c>
    </row>
    <row r="2115" spans="1:10">
      <c r="A2115" t="s">
        <v>4492</v>
      </c>
      <c r="B2115" t="s">
        <v>1711</v>
      </c>
      <c r="C2115" t="s">
        <v>2202</v>
      </c>
      <c r="D2115" s="9">
        <v>45789</v>
      </c>
      <c r="E2115" t="s">
        <v>2324</v>
      </c>
      <c r="G2115" t="s">
        <v>2328</v>
      </c>
      <c r="H2115">
        <v>999.99</v>
      </c>
      <c r="I2115" s="16" t="str">
        <f t="shared" ref="I2115:I2178" si="33">IF(H2115="", "Unknown", IF(H2115=0, "Zero Amount", IF(H2115&lt;1, "Review", IF(H2115&gt;1, "Normal"))))</f>
        <v>Normal</v>
      </c>
      <c r="J2115">
        <v>5</v>
      </c>
    </row>
    <row r="2116" spans="1:10">
      <c r="A2116" t="s">
        <v>4493</v>
      </c>
      <c r="B2116" t="s">
        <v>1620</v>
      </c>
      <c r="C2116" t="s">
        <v>2259</v>
      </c>
      <c r="D2116" s="9">
        <v>46009</v>
      </c>
      <c r="E2116" t="s">
        <v>2337</v>
      </c>
      <c r="G2116" t="s">
        <v>2328</v>
      </c>
      <c r="H2116">
        <v>0</v>
      </c>
      <c r="I2116" s="16" t="str">
        <f t="shared" si="33"/>
        <v>Zero Amount</v>
      </c>
      <c r="J2116">
        <v>1</v>
      </c>
    </row>
    <row r="2117" spans="1:10">
      <c r="A2117" t="s">
        <v>4494</v>
      </c>
      <c r="B2117" t="s">
        <v>491</v>
      </c>
      <c r="C2117" t="s">
        <v>2244</v>
      </c>
      <c r="D2117" s="9">
        <v>45138</v>
      </c>
      <c r="E2117" t="s">
        <v>2330</v>
      </c>
      <c r="F2117" s="20">
        <v>100</v>
      </c>
      <c r="G2117" t="s">
        <v>23</v>
      </c>
      <c r="H2117">
        <v>1200</v>
      </c>
      <c r="I2117" s="16" t="str">
        <f t="shared" si="33"/>
        <v>Normal</v>
      </c>
      <c r="J2117">
        <v>3</v>
      </c>
    </row>
    <row r="2118" spans="1:10">
      <c r="A2118" t="s">
        <v>4495</v>
      </c>
      <c r="B2118" t="s">
        <v>1007</v>
      </c>
      <c r="C2118" t="s">
        <v>2251</v>
      </c>
      <c r="D2118" s="9">
        <v>46012</v>
      </c>
      <c r="E2118" t="s">
        <v>23</v>
      </c>
      <c r="G2118" t="s">
        <v>2345</v>
      </c>
      <c r="H2118">
        <v>1500</v>
      </c>
      <c r="I2118" s="16" t="str">
        <f t="shared" si="33"/>
        <v>Normal</v>
      </c>
      <c r="J2118">
        <v>4</v>
      </c>
    </row>
    <row r="2119" spans="1:10">
      <c r="A2119" t="s">
        <v>4496</v>
      </c>
      <c r="B2119" t="s">
        <v>1404</v>
      </c>
      <c r="C2119" t="s">
        <v>2253</v>
      </c>
      <c r="D2119" s="9">
        <v>45520</v>
      </c>
      <c r="E2119" t="s">
        <v>2330</v>
      </c>
      <c r="F2119" s="20">
        <v>100</v>
      </c>
      <c r="G2119" t="s">
        <v>23</v>
      </c>
      <c r="H2119">
        <v>1200</v>
      </c>
      <c r="I2119" s="16" t="str">
        <f t="shared" si="33"/>
        <v>Normal</v>
      </c>
      <c r="J2119" t="s">
        <v>39</v>
      </c>
    </row>
    <row r="2120" spans="1:10">
      <c r="A2120" t="s">
        <v>4497</v>
      </c>
      <c r="B2120" t="s">
        <v>1759</v>
      </c>
      <c r="C2120" t="s">
        <v>2264</v>
      </c>
      <c r="D2120" s="9">
        <v>45687</v>
      </c>
      <c r="E2120" t="s">
        <v>2324</v>
      </c>
      <c r="F2120" s="20">
        <v>60</v>
      </c>
      <c r="G2120" t="s">
        <v>2345</v>
      </c>
      <c r="H2120">
        <v>1709.95</v>
      </c>
      <c r="I2120" s="16" t="str">
        <f t="shared" si="33"/>
        <v>Normal</v>
      </c>
      <c r="J2120">
        <v>2</v>
      </c>
    </row>
    <row r="2121" spans="1:10">
      <c r="A2121" t="s">
        <v>4498</v>
      </c>
      <c r="B2121" t="s">
        <v>2401</v>
      </c>
      <c r="C2121" t="s">
        <v>2247</v>
      </c>
      <c r="D2121" s="9">
        <v>45328</v>
      </c>
      <c r="E2121" t="s">
        <v>2327</v>
      </c>
      <c r="F2121" s="20">
        <v>0</v>
      </c>
      <c r="G2121" t="s">
        <v>23</v>
      </c>
      <c r="I2121" s="16" t="str">
        <f t="shared" si="33"/>
        <v>Unknown</v>
      </c>
      <c r="J2121">
        <v>4</v>
      </c>
    </row>
    <row r="2122" spans="1:10">
      <c r="A2122" t="s">
        <v>4499</v>
      </c>
      <c r="B2122" t="s">
        <v>926</v>
      </c>
      <c r="C2122" t="s">
        <v>2213</v>
      </c>
      <c r="D2122" s="9">
        <v>45867</v>
      </c>
      <c r="E2122" t="s">
        <v>2327</v>
      </c>
      <c r="G2122" t="s">
        <v>2339</v>
      </c>
      <c r="H2122">
        <v>1500</v>
      </c>
      <c r="I2122" s="16" t="str">
        <f t="shared" si="33"/>
        <v>Normal</v>
      </c>
      <c r="J2122">
        <v>5</v>
      </c>
    </row>
    <row r="2123" spans="1:10">
      <c r="A2123" t="s">
        <v>4500</v>
      </c>
      <c r="B2123" t="s">
        <v>809</v>
      </c>
      <c r="C2123" t="s">
        <v>2247</v>
      </c>
      <c r="D2123" s="9">
        <v>45419</v>
      </c>
      <c r="E2123" t="s">
        <v>2330</v>
      </c>
      <c r="G2123" t="s">
        <v>2339</v>
      </c>
      <c r="I2123" s="16" t="str">
        <f t="shared" si="33"/>
        <v>Unknown</v>
      </c>
      <c r="J2123">
        <v>2</v>
      </c>
    </row>
    <row r="2124" spans="1:10">
      <c r="A2124" t="s">
        <v>4501</v>
      </c>
      <c r="B2124" t="s">
        <v>1218</v>
      </c>
      <c r="C2124" t="s">
        <v>2216</v>
      </c>
      <c r="D2124" s="9">
        <v>45986</v>
      </c>
      <c r="E2124" t="s">
        <v>2337</v>
      </c>
      <c r="F2124" s="20">
        <v>20</v>
      </c>
      <c r="G2124" t="s">
        <v>2339</v>
      </c>
      <c r="H2124">
        <v>1200</v>
      </c>
      <c r="I2124" s="16" t="str">
        <f t="shared" si="33"/>
        <v>Normal</v>
      </c>
      <c r="J2124">
        <v>4</v>
      </c>
    </row>
    <row r="2125" spans="1:10">
      <c r="A2125" t="s">
        <v>4502</v>
      </c>
      <c r="B2125" t="s">
        <v>987</v>
      </c>
      <c r="C2125" t="s">
        <v>2209</v>
      </c>
      <c r="D2125" s="9">
        <v>45911</v>
      </c>
      <c r="E2125" t="s">
        <v>23</v>
      </c>
      <c r="G2125" t="s">
        <v>2339</v>
      </c>
      <c r="H2125">
        <v>370.96</v>
      </c>
      <c r="I2125" s="16" t="str">
        <f t="shared" si="33"/>
        <v>Normal</v>
      </c>
      <c r="J2125">
        <v>1</v>
      </c>
    </row>
    <row r="2126" spans="1:10">
      <c r="A2126" t="s">
        <v>4503</v>
      </c>
      <c r="B2126" t="s">
        <v>861</v>
      </c>
      <c r="C2126" t="s">
        <v>2259</v>
      </c>
      <c r="D2126" s="9">
        <v>45325</v>
      </c>
      <c r="E2126" t="s">
        <v>2324</v>
      </c>
      <c r="F2126" s="20">
        <v>75</v>
      </c>
      <c r="G2126" t="s">
        <v>2325</v>
      </c>
      <c r="H2126">
        <v>0</v>
      </c>
      <c r="I2126" s="16" t="str">
        <f t="shared" si="33"/>
        <v>Zero Amount</v>
      </c>
      <c r="J2126" t="s">
        <v>39</v>
      </c>
    </row>
    <row r="2127" spans="1:10">
      <c r="A2127" t="s">
        <v>4504</v>
      </c>
      <c r="B2127" t="s">
        <v>707</v>
      </c>
      <c r="C2127" t="s">
        <v>2187</v>
      </c>
      <c r="D2127" s="9">
        <v>45864</v>
      </c>
      <c r="E2127" t="s">
        <v>2324</v>
      </c>
      <c r="F2127" s="20">
        <v>40</v>
      </c>
      <c r="G2127" t="s">
        <v>2325</v>
      </c>
      <c r="H2127">
        <v>799</v>
      </c>
      <c r="I2127" s="16" t="str">
        <f t="shared" si="33"/>
        <v>Normal</v>
      </c>
      <c r="J2127" t="s">
        <v>39</v>
      </c>
    </row>
    <row r="2128" spans="1:10">
      <c r="A2128" t="s">
        <v>4505</v>
      </c>
      <c r="B2128" t="s">
        <v>874</v>
      </c>
      <c r="C2128" t="s">
        <v>2261</v>
      </c>
      <c r="D2128" s="9">
        <v>45650</v>
      </c>
      <c r="E2128" t="s">
        <v>2330</v>
      </c>
      <c r="G2128" t="s">
        <v>2345</v>
      </c>
      <c r="I2128" s="16" t="str">
        <f t="shared" si="33"/>
        <v>Unknown</v>
      </c>
      <c r="J2128">
        <v>2</v>
      </c>
    </row>
    <row r="2129" spans="1:10">
      <c r="A2129" t="s">
        <v>4506</v>
      </c>
      <c r="B2129" t="s">
        <v>1835</v>
      </c>
      <c r="C2129" t="s">
        <v>2253</v>
      </c>
      <c r="D2129" s="9">
        <v>46007</v>
      </c>
      <c r="E2129" t="s">
        <v>2327</v>
      </c>
      <c r="G2129" t="s">
        <v>23</v>
      </c>
      <c r="H2129">
        <v>1200</v>
      </c>
      <c r="I2129" s="16" t="str">
        <f t="shared" si="33"/>
        <v>Normal</v>
      </c>
      <c r="J2129" t="s">
        <v>39</v>
      </c>
    </row>
    <row r="2130" spans="1:10">
      <c r="A2130" t="s">
        <v>4507</v>
      </c>
      <c r="B2130" t="s">
        <v>1251</v>
      </c>
      <c r="C2130" t="s">
        <v>2267</v>
      </c>
      <c r="D2130" s="9">
        <v>45849</v>
      </c>
      <c r="E2130" t="s">
        <v>2324</v>
      </c>
      <c r="F2130" s="20">
        <v>40</v>
      </c>
      <c r="G2130" t="s">
        <v>2339</v>
      </c>
      <c r="H2130">
        <v>999.99</v>
      </c>
      <c r="I2130" s="16" t="str">
        <f t="shared" si="33"/>
        <v>Normal</v>
      </c>
      <c r="J2130">
        <v>2</v>
      </c>
    </row>
    <row r="2131" spans="1:10">
      <c r="A2131" t="s">
        <v>4508</v>
      </c>
      <c r="B2131" t="s">
        <v>1454</v>
      </c>
      <c r="C2131" t="s">
        <v>2193</v>
      </c>
      <c r="D2131" s="9">
        <v>45197</v>
      </c>
      <c r="E2131" t="s">
        <v>2324</v>
      </c>
      <c r="F2131" s="20">
        <v>55</v>
      </c>
      <c r="G2131" t="s">
        <v>2331</v>
      </c>
      <c r="H2131">
        <v>0</v>
      </c>
      <c r="I2131" s="16" t="str">
        <f t="shared" si="33"/>
        <v>Zero Amount</v>
      </c>
      <c r="J2131">
        <v>4</v>
      </c>
    </row>
    <row r="2132" spans="1:10">
      <c r="A2132" t="s">
        <v>4509</v>
      </c>
      <c r="B2132" t="s">
        <v>776</v>
      </c>
      <c r="C2132" t="s">
        <v>2244</v>
      </c>
      <c r="D2132" s="9">
        <v>45945</v>
      </c>
      <c r="E2132" t="s">
        <v>2324</v>
      </c>
      <c r="F2132" s="20">
        <v>10</v>
      </c>
      <c r="G2132" t="s">
        <v>2328</v>
      </c>
      <c r="H2132">
        <v>1200</v>
      </c>
      <c r="I2132" s="16" t="str">
        <f t="shared" si="33"/>
        <v>Normal</v>
      </c>
      <c r="J2132" t="s">
        <v>39</v>
      </c>
    </row>
    <row r="2133" spans="1:10">
      <c r="A2133" t="s">
        <v>4510</v>
      </c>
      <c r="B2133" t="s">
        <v>1083</v>
      </c>
      <c r="C2133" t="s">
        <v>2216</v>
      </c>
      <c r="D2133" s="9">
        <v>45381</v>
      </c>
      <c r="E2133" t="s">
        <v>2327</v>
      </c>
      <c r="F2133" s="20">
        <v>5</v>
      </c>
      <c r="G2133" t="s">
        <v>2339</v>
      </c>
      <c r="H2133">
        <v>1200</v>
      </c>
      <c r="I2133" s="16" t="str">
        <f t="shared" si="33"/>
        <v>Normal</v>
      </c>
      <c r="J2133">
        <v>4</v>
      </c>
    </row>
    <row r="2134" spans="1:10">
      <c r="A2134" t="s">
        <v>4511</v>
      </c>
      <c r="B2134" t="s">
        <v>510</v>
      </c>
      <c r="C2134" t="s">
        <v>2237</v>
      </c>
      <c r="D2134" s="9">
        <v>45610</v>
      </c>
      <c r="E2134" t="s">
        <v>23</v>
      </c>
      <c r="G2134" t="s">
        <v>2331</v>
      </c>
      <c r="H2134">
        <v>1500</v>
      </c>
      <c r="I2134" s="16" t="str">
        <f t="shared" si="33"/>
        <v>Normal</v>
      </c>
      <c r="J2134">
        <v>5</v>
      </c>
    </row>
    <row r="2135" spans="1:10">
      <c r="A2135" t="s">
        <v>4512</v>
      </c>
      <c r="B2135" t="s">
        <v>1548</v>
      </c>
      <c r="C2135" t="s">
        <v>2271</v>
      </c>
      <c r="D2135" s="9">
        <v>45132</v>
      </c>
      <c r="E2135" t="s">
        <v>2330</v>
      </c>
      <c r="F2135" s="20">
        <v>100</v>
      </c>
      <c r="G2135" t="s">
        <v>2345</v>
      </c>
      <c r="H2135">
        <v>1200</v>
      </c>
      <c r="I2135" s="16" t="str">
        <f t="shared" si="33"/>
        <v>Normal</v>
      </c>
      <c r="J2135">
        <v>4</v>
      </c>
    </row>
    <row r="2136" spans="1:10">
      <c r="A2136" t="s">
        <v>4513</v>
      </c>
      <c r="B2136" t="s">
        <v>1773</v>
      </c>
      <c r="C2136" t="s">
        <v>2187</v>
      </c>
      <c r="D2136" s="9">
        <v>45224</v>
      </c>
      <c r="E2136" t="s">
        <v>2330</v>
      </c>
      <c r="F2136" s="20">
        <v>100</v>
      </c>
      <c r="G2136" t="s">
        <v>2345</v>
      </c>
      <c r="H2136">
        <v>799</v>
      </c>
      <c r="I2136" s="16" t="str">
        <f t="shared" si="33"/>
        <v>Normal</v>
      </c>
      <c r="J2136">
        <v>1</v>
      </c>
    </row>
    <row r="2137" spans="1:10">
      <c r="A2137" t="s">
        <v>4514</v>
      </c>
      <c r="B2137" t="s">
        <v>910</v>
      </c>
      <c r="C2137" t="s">
        <v>2231</v>
      </c>
      <c r="D2137" s="9">
        <v>45819</v>
      </c>
      <c r="E2137" t="s">
        <v>2324</v>
      </c>
      <c r="F2137" s="20">
        <v>60</v>
      </c>
      <c r="G2137" t="s">
        <v>2345</v>
      </c>
      <c r="H2137">
        <v>3000</v>
      </c>
      <c r="I2137" s="16" t="str">
        <f t="shared" si="33"/>
        <v>Normal</v>
      </c>
      <c r="J2137">
        <v>3</v>
      </c>
    </row>
    <row r="2138" spans="1:10">
      <c r="A2138" t="s">
        <v>4515</v>
      </c>
      <c r="B2138" t="s">
        <v>535</v>
      </c>
      <c r="C2138" t="s">
        <v>2251</v>
      </c>
      <c r="D2138" s="9">
        <v>45597</v>
      </c>
      <c r="E2138" t="s">
        <v>2324</v>
      </c>
      <c r="F2138" s="20">
        <v>75</v>
      </c>
      <c r="G2138" t="s">
        <v>2345</v>
      </c>
      <c r="H2138">
        <v>1500</v>
      </c>
      <c r="I2138" s="16" t="str">
        <f t="shared" si="33"/>
        <v>Normal</v>
      </c>
      <c r="J2138" t="s">
        <v>39</v>
      </c>
    </row>
    <row r="2139" spans="1:10">
      <c r="A2139" t="s">
        <v>4516</v>
      </c>
      <c r="B2139" t="s">
        <v>239</v>
      </c>
      <c r="C2139" t="s">
        <v>2205</v>
      </c>
      <c r="D2139" s="9">
        <v>45251</v>
      </c>
      <c r="E2139" t="s">
        <v>2330</v>
      </c>
      <c r="G2139" t="s">
        <v>2328</v>
      </c>
      <c r="H2139">
        <v>1500</v>
      </c>
      <c r="I2139" s="16" t="str">
        <f t="shared" si="33"/>
        <v>Normal</v>
      </c>
      <c r="J2139" t="s">
        <v>39</v>
      </c>
    </row>
    <row r="2140" spans="1:10">
      <c r="A2140" t="s">
        <v>4517</v>
      </c>
      <c r="B2140" t="s">
        <v>1755</v>
      </c>
      <c r="C2140" t="s">
        <v>2264</v>
      </c>
      <c r="D2140" s="9">
        <v>45741</v>
      </c>
      <c r="E2140" t="s">
        <v>2327</v>
      </c>
      <c r="F2140" s="20">
        <v>20</v>
      </c>
      <c r="G2140" t="s">
        <v>2331</v>
      </c>
      <c r="H2140">
        <v>2500</v>
      </c>
      <c r="I2140" s="16" t="str">
        <f t="shared" si="33"/>
        <v>Normal</v>
      </c>
      <c r="J2140">
        <v>5</v>
      </c>
    </row>
    <row r="2141" spans="1:10">
      <c r="A2141" t="s">
        <v>4518</v>
      </c>
      <c r="B2141" t="s">
        <v>2101</v>
      </c>
      <c r="C2141" t="s">
        <v>2273</v>
      </c>
      <c r="D2141" s="9">
        <v>45506</v>
      </c>
      <c r="E2141" t="s">
        <v>2337</v>
      </c>
      <c r="F2141" s="20">
        <v>5</v>
      </c>
      <c r="G2141" t="s">
        <v>2325</v>
      </c>
      <c r="H2141">
        <v>799</v>
      </c>
      <c r="I2141" s="16" t="str">
        <f t="shared" si="33"/>
        <v>Normal</v>
      </c>
      <c r="J2141" t="s">
        <v>39</v>
      </c>
    </row>
    <row r="2142" spans="1:10">
      <c r="A2142" t="s">
        <v>4519</v>
      </c>
      <c r="B2142" t="s">
        <v>1511</v>
      </c>
      <c r="C2142" t="s">
        <v>2213</v>
      </c>
      <c r="D2142" s="9">
        <v>45512</v>
      </c>
      <c r="E2142" t="s">
        <v>2324</v>
      </c>
      <c r="F2142" s="20">
        <v>75</v>
      </c>
      <c r="G2142" t="s">
        <v>2345</v>
      </c>
      <c r="H2142">
        <v>1500</v>
      </c>
      <c r="I2142" s="16" t="str">
        <f t="shared" si="33"/>
        <v>Normal</v>
      </c>
      <c r="J2142">
        <v>4</v>
      </c>
    </row>
    <row r="2143" spans="1:10">
      <c r="A2143" t="s">
        <v>4520</v>
      </c>
      <c r="B2143" t="s">
        <v>1536</v>
      </c>
      <c r="C2143" t="s">
        <v>2259</v>
      </c>
      <c r="D2143" s="9">
        <v>45742</v>
      </c>
      <c r="E2143" t="s">
        <v>2330</v>
      </c>
      <c r="G2143" t="s">
        <v>2331</v>
      </c>
      <c r="H2143">
        <v>0</v>
      </c>
      <c r="I2143" s="16" t="str">
        <f t="shared" si="33"/>
        <v>Zero Amount</v>
      </c>
      <c r="J2143">
        <v>4</v>
      </c>
    </row>
    <row r="2144" spans="1:10">
      <c r="A2144" t="s">
        <v>4521</v>
      </c>
      <c r="B2144" t="s">
        <v>213</v>
      </c>
      <c r="C2144" t="s">
        <v>2237</v>
      </c>
      <c r="D2144" s="9">
        <v>45135</v>
      </c>
      <c r="E2144" t="s">
        <v>2330</v>
      </c>
      <c r="F2144" s="20">
        <v>100</v>
      </c>
      <c r="G2144" t="s">
        <v>2325</v>
      </c>
      <c r="H2144">
        <v>1500</v>
      </c>
      <c r="I2144" s="16" t="str">
        <f t="shared" si="33"/>
        <v>Normal</v>
      </c>
      <c r="J2144" t="s">
        <v>39</v>
      </c>
    </row>
    <row r="2145" spans="1:10">
      <c r="A2145" t="s">
        <v>4522</v>
      </c>
      <c r="B2145" t="s">
        <v>1763</v>
      </c>
      <c r="C2145" t="s">
        <v>2257</v>
      </c>
      <c r="D2145" s="9">
        <v>45866</v>
      </c>
      <c r="E2145" t="s">
        <v>23</v>
      </c>
      <c r="G2145" t="s">
        <v>2345</v>
      </c>
      <c r="I2145" s="16" t="str">
        <f t="shared" si="33"/>
        <v>Unknown</v>
      </c>
      <c r="J2145">
        <v>4</v>
      </c>
    </row>
    <row r="2146" spans="1:10">
      <c r="A2146" t="s">
        <v>4523</v>
      </c>
      <c r="B2146" t="s">
        <v>896</v>
      </c>
      <c r="C2146" t="s">
        <v>2264</v>
      </c>
      <c r="D2146" s="9">
        <v>45787</v>
      </c>
      <c r="E2146" t="s">
        <v>2330</v>
      </c>
      <c r="G2146" t="s">
        <v>2328</v>
      </c>
      <c r="H2146">
        <v>2500</v>
      </c>
      <c r="I2146" s="16" t="str">
        <f t="shared" si="33"/>
        <v>Normal</v>
      </c>
      <c r="J2146">
        <v>4</v>
      </c>
    </row>
    <row r="2147" spans="1:10">
      <c r="A2147" t="s">
        <v>4524</v>
      </c>
      <c r="B2147" t="s">
        <v>4525</v>
      </c>
      <c r="C2147" t="s">
        <v>2247</v>
      </c>
      <c r="D2147" s="9">
        <v>46050</v>
      </c>
      <c r="E2147" t="s">
        <v>2324</v>
      </c>
      <c r="G2147" t="s">
        <v>2345</v>
      </c>
      <c r="I2147" s="16" t="str">
        <f t="shared" si="33"/>
        <v>Unknown</v>
      </c>
      <c r="J2147">
        <v>3</v>
      </c>
    </row>
    <row r="2148" spans="1:10">
      <c r="A2148" t="s">
        <v>4526</v>
      </c>
      <c r="B2148" t="s">
        <v>1654</v>
      </c>
      <c r="C2148" t="s">
        <v>2257</v>
      </c>
      <c r="D2148" s="9">
        <v>45106</v>
      </c>
      <c r="E2148" t="s">
        <v>2330</v>
      </c>
      <c r="F2148" s="20">
        <v>100</v>
      </c>
      <c r="G2148" t="s">
        <v>2328</v>
      </c>
      <c r="I2148" s="16" t="str">
        <f t="shared" si="33"/>
        <v>Unknown</v>
      </c>
      <c r="J2148" t="s">
        <v>39</v>
      </c>
    </row>
    <row r="2149" spans="1:10">
      <c r="A2149" t="s">
        <v>4527</v>
      </c>
      <c r="B2149" t="s">
        <v>1129</v>
      </c>
      <c r="C2149" t="s">
        <v>2213</v>
      </c>
      <c r="D2149" s="9">
        <v>45559</v>
      </c>
      <c r="E2149" t="s">
        <v>2327</v>
      </c>
      <c r="F2149" s="20">
        <v>5</v>
      </c>
      <c r="G2149" t="s">
        <v>2328</v>
      </c>
      <c r="H2149">
        <v>1500</v>
      </c>
      <c r="I2149" s="16" t="str">
        <f t="shared" si="33"/>
        <v>Normal</v>
      </c>
      <c r="J2149">
        <v>4</v>
      </c>
    </row>
    <row r="2150" spans="1:10">
      <c r="A2150" t="s">
        <v>4528</v>
      </c>
      <c r="B2150" t="s">
        <v>408</v>
      </c>
      <c r="C2150" t="s">
        <v>2205</v>
      </c>
      <c r="D2150" s="9">
        <v>45464</v>
      </c>
      <c r="E2150" t="s">
        <v>2327</v>
      </c>
      <c r="G2150" t="s">
        <v>2331</v>
      </c>
      <c r="I2150" s="16" t="str">
        <f t="shared" si="33"/>
        <v>Unknown</v>
      </c>
      <c r="J2150">
        <v>4</v>
      </c>
    </row>
    <row r="2151" spans="1:10">
      <c r="A2151" t="s">
        <v>4529</v>
      </c>
      <c r="B2151" t="s">
        <v>418</v>
      </c>
      <c r="C2151" t="s">
        <v>2225</v>
      </c>
      <c r="D2151" s="9">
        <v>45808</v>
      </c>
      <c r="E2151" t="s">
        <v>2330</v>
      </c>
      <c r="G2151" t="s">
        <v>2325</v>
      </c>
      <c r="I2151" s="16" t="str">
        <f t="shared" si="33"/>
        <v>Unknown</v>
      </c>
      <c r="J2151">
        <v>5</v>
      </c>
    </row>
    <row r="2152" spans="1:10">
      <c r="A2152" t="s">
        <v>4530</v>
      </c>
      <c r="B2152" t="s">
        <v>961</v>
      </c>
      <c r="C2152" t="s">
        <v>2187</v>
      </c>
      <c r="D2152" s="9">
        <v>45207</v>
      </c>
      <c r="E2152" t="s">
        <v>2324</v>
      </c>
      <c r="F2152" s="20">
        <v>25</v>
      </c>
      <c r="G2152" t="s">
        <v>2339</v>
      </c>
      <c r="H2152">
        <v>799</v>
      </c>
      <c r="I2152" s="16" t="str">
        <f t="shared" si="33"/>
        <v>Normal</v>
      </c>
      <c r="J2152">
        <v>5</v>
      </c>
    </row>
    <row r="2153" spans="1:10">
      <c r="A2153" t="s">
        <v>4531</v>
      </c>
      <c r="B2153" t="s">
        <v>542</v>
      </c>
      <c r="C2153" t="s">
        <v>2273</v>
      </c>
      <c r="D2153" s="9">
        <v>46098</v>
      </c>
      <c r="E2153" t="s">
        <v>2330</v>
      </c>
      <c r="G2153" t="s">
        <v>2339</v>
      </c>
      <c r="H2153">
        <v>799</v>
      </c>
      <c r="I2153" s="16" t="str">
        <f t="shared" si="33"/>
        <v>Normal</v>
      </c>
      <c r="J2153">
        <v>5</v>
      </c>
    </row>
    <row r="2154" spans="1:10">
      <c r="A2154" t="s">
        <v>4532</v>
      </c>
      <c r="B2154" t="s">
        <v>1288</v>
      </c>
      <c r="C2154" t="s">
        <v>2231</v>
      </c>
      <c r="D2154" s="9">
        <v>45433</v>
      </c>
      <c r="E2154" t="s">
        <v>23</v>
      </c>
      <c r="G2154" t="s">
        <v>2331</v>
      </c>
      <c r="H2154">
        <v>2689.05</v>
      </c>
      <c r="I2154" s="16" t="str">
        <f t="shared" si="33"/>
        <v>Normal</v>
      </c>
      <c r="J2154">
        <v>5</v>
      </c>
    </row>
    <row r="2155" spans="1:10">
      <c r="A2155" t="s">
        <v>4533</v>
      </c>
      <c r="B2155" t="s">
        <v>1902</v>
      </c>
      <c r="C2155" t="s">
        <v>2261</v>
      </c>
      <c r="D2155" s="9">
        <v>45609</v>
      </c>
      <c r="E2155" t="s">
        <v>2327</v>
      </c>
      <c r="F2155" s="20">
        <v>5</v>
      </c>
      <c r="G2155" t="s">
        <v>23</v>
      </c>
      <c r="I2155" s="16" t="str">
        <f t="shared" si="33"/>
        <v>Unknown</v>
      </c>
      <c r="J2155">
        <v>1</v>
      </c>
    </row>
    <row r="2156" spans="1:10">
      <c r="A2156" t="s">
        <v>4534</v>
      </c>
      <c r="B2156" t="s">
        <v>256</v>
      </c>
      <c r="C2156" t="s">
        <v>2225</v>
      </c>
      <c r="D2156" s="9">
        <v>45302</v>
      </c>
      <c r="E2156" t="s">
        <v>2330</v>
      </c>
      <c r="G2156" t="s">
        <v>2345</v>
      </c>
      <c r="I2156" s="16" t="str">
        <f t="shared" si="33"/>
        <v>Unknown</v>
      </c>
      <c r="J2156" t="s">
        <v>39</v>
      </c>
    </row>
    <row r="2157" spans="1:10">
      <c r="A2157" t="s">
        <v>4535</v>
      </c>
      <c r="B2157" t="s">
        <v>1438</v>
      </c>
      <c r="C2157" t="s">
        <v>2257</v>
      </c>
      <c r="D2157" s="9">
        <v>45121</v>
      </c>
      <c r="E2157" t="s">
        <v>2330</v>
      </c>
      <c r="F2157" s="20">
        <v>100</v>
      </c>
      <c r="G2157" t="s">
        <v>2331</v>
      </c>
      <c r="I2157" s="16" t="str">
        <f t="shared" si="33"/>
        <v>Unknown</v>
      </c>
      <c r="J2157">
        <v>2</v>
      </c>
    </row>
    <row r="2158" spans="1:10">
      <c r="A2158" t="s">
        <v>4536</v>
      </c>
      <c r="B2158" t="s">
        <v>1496</v>
      </c>
      <c r="C2158" t="s">
        <v>2222</v>
      </c>
      <c r="D2158" s="9">
        <v>45984</v>
      </c>
      <c r="E2158" t="s">
        <v>2330</v>
      </c>
      <c r="G2158" t="s">
        <v>2331</v>
      </c>
      <c r="H2158">
        <v>0</v>
      </c>
      <c r="I2158" s="16" t="str">
        <f t="shared" si="33"/>
        <v>Zero Amount</v>
      </c>
      <c r="J2158">
        <v>4</v>
      </c>
    </row>
    <row r="2159" spans="1:10">
      <c r="A2159" t="s">
        <v>4537</v>
      </c>
      <c r="B2159" t="s">
        <v>1907</v>
      </c>
      <c r="C2159" t="s">
        <v>2233</v>
      </c>
      <c r="D2159" s="9">
        <v>45598</v>
      </c>
      <c r="E2159" t="s">
        <v>23</v>
      </c>
      <c r="G2159" t="s">
        <v>2328</v>
      </c>
      <c r="H2159">
        <v>2500</v>
      </c>
      <c r="I2159" s="16" t="str">
        <f t="shared" si="33"/>
        <v>Normal</v>
      </c>
      <c r="J2159">
        <v>4</v>
      </c>
    </row>
    <row r="2160" spans="1:10">
      <c r="A2160" t="s">
        <v>4538</v>
      </c>
      <c r="B2160" t="s">
        <v>745</v>
      </c>
      <c r="C2160" t="s">
        <v>2271</v>
      </c>
      <c r="D2160" s="9">
        <v>45729</v>
      </c>
      <c r="E2160" t="s">
        <v>2330</v>
      </c>
      <c r="F2160" s="20">
        <v>100</v>
      </c>
      <c r="G2160" t="s">
        <v>23</v>
      </c>
      <c r="H2160">
        <v>1200</v>
      </c>
      <c r="I2160" s="16" t="str">
        <f t="shared" si="33"/>
        <v>Normal</v>
      </c>
      <c r="J2160" t="s">
        <v>39</v>
      </c>
    </row>
    <row r="2161" spans="1:10">
      <c r="A2161" t="s">
        <v>4539</v>
      </c>
      <c r="B2161" t="s">
        <v>2769</v>
      </c>
      <c r="C2161" t="s">
        <v>2213</v>
      </c>
      <c r="D2161" s="9">
        <v>45545</v>
      </c>
      <c r="E2161" t="s">
        <v>2324</v>
      </c>
      <c r="F2161" s="20">
        <v>10</v>
      </c>
      <c r="G2161" t="s">
        <v>2339</v>
      </c>
      <c r="H2161">
        <v>1500</v>
      </c>
      <c r="I2161" s="16" t="str">
        <f t="shared" si="33"/>
        <v>Normal</v>
      </c>
      <c r="J2161">
        <v>5</v>
      </c>
    </row>
    <row r="2162" spans="1:10">
      <c r="A2162" t="s">
        <v>4540</v>
      </c>
      <c r="B2162" t="s">
        <v>1558</v>
      </c>
      <c r="C2162" t="s">
        <v>2198</v>
      </c>
      <c r="D2162" s="9">
        <v>45535</v>
      </c>
      <c r="E2162" t="s">
        <v>2337</v>
      </c>
      <c r="F2162" s="20">
        <v>5</v>
      </c>
      <c r="G2162" t="s">
        <v>2331</v>
      </c>
      <c r="I2162" s="16" t="str">
        <f t="shared" si="33"/>
        <v>Unknown</v>
      </c>
      <c r="J2162" t="s">
        <v>39</v>
      </c>
    </row>
    <row r="2163" spans="1:10">
      <c r="A2163" t="s">
        <v>4541</v>
      </c>
      <c r="B2163" t="s">
        <v>1339</v>
      </c>
      <c r="C2163" t="s">
        <v>2271</v>
      </c>
      <c r="D2163" s="9">
        <v>46012</v>
      </c>
      <c r="E2163" t="s">
        <v>23</v>
      </c>
      <c r="G2163" t="s">
        <v>2345</v>
      </c>
      <c r="H2163">
        <v>1200</v>
      </c>
      <c r="I2163" s="16" t="str">
        <f t="shared" si="33"/>
        <v>Normal</v>
      </c>
      <c r="J2163">
        <v>5</v>
      </c>
    </row>
    <row r="2164" spans="1:10">
      <c r="A2164" t="s">
        <v>4542</v>
      </c>
      <c r="B2164" t="s">
        <v>1248</v>
      </c>
      <c r="C2164" t="s">
        <v>2237</v>
      </c>
      <c r="D2164" s="9">
        <v>45374</v>
      </c>
      <c r="E2164" t="s">
        <v>2337</v>
      </c>
      <c r="F2164" s="20">
        <v>15</v>
      </c>
      <c r="G2164" t="s">
        <v>2331</v>
      </c>
      <c r="H2164">
        <v>1500</v>
      </c>
      <c r="I2164" s="16" t="str">
        <f t="shared" si="33"/>
        <v>Normal</v>
      </c>
      <c r="J2164">
        <v>3</v>
      </c>
    </row>
    <row r="2165" spans="1:10">
      <c r="A2165" t="s">
        <v>4543</v>
      </c>
      <c r="B2165" t="s">
        <v>1831</v>
      </c>
      <c r="C2165" t="s">
        <v>2228</v>
      </c>
      <c r="D2165" s="9">
        <v>45507</v>
      </c>
      <c r="E2165" t="s">
        <v>2327</v>
      </c>
      <c r="F2165" s="20">
        <v>15</v>
      </c>
      <c r="G2165" t="s">
        <v>2345</v>
      </c>
      <c r="H2165">
        <v>559.88</v>
      </c>
      <c r="I2165" s="16" t="str">
        <f t="shared" si="33"/>
        <v>Normal</v>
      </c>
      <c r="J2165">
        <v>5</v>
      </c>
    </row>
    <row r="2166" spans="1:10">
      <c r="A2166" t="s">
        <v>4544</v>
      </c>
      <c r="B2166" t="s">
        <v>51</v>
      </c>
      <c r="C2166" t="s">
        <v>2193</v>
      </c>
      <c r="D2166" s="9">
        <v>45468</v>
      </c>
      <c r="E2166" t="s">
        <v>23</v>
      </c>
      <c r="G2166" t="s">
        <v>2328</v>
      </c>
      <c r="H2166">
        <v>0</v>
      </c>
      <c r="I2166" s="16" t="str">
        <f t="shared" si="33"/>
        <v>Zero Amount</v>
      </c>
      <c r="J2166">
        <v>3</v>
      </c>
    </row>
    <row r="2167" spans="1:10">
      <c r="A2167" t="s">
        <v>4545</v>
      </c>
      <c r="B2167" t="s">
        <v>1967</v>
      </c>
      <c r="C2167" t="s">
        <v>2269</v>
      </c>
      <c r="D2167" s="9">
        <v>45841</v>
      </c>
      <c r="E2167" t="s">
        <v>2330</v>
      </c>
      <c r="G2167" t="s">
        <v>2328</v>
      </c>
      <c r="H2167">
        <v>499</v>
      </c>
      <c r="I2167" s="16" t="str">
        <f t="shared" si="33"/>
        <v>Normal</v>
      </c>
      <c r="J2167" t="s">
        <v>39</v>
      </c>
    </row>
    <row r="2168" spans="1:10">
      <c r="A2168" t="s">
        <v>4546</v>
      </c>
      <c r="B2168" t="s">
        <v>1432</v>
      </c>
      <c r="C2168" t="s">
        <v>2228</v>
      </c>
      <c r="D2168" s="9">
        <v>45426</v>
      </c>
      <c r="E2168" t="s">
        <v>2324</v>
      </c>
      <c r="F2168" s="20">
        <v>10</v>
      </c>
      <c r="G2168" t="s">
        <v>2345</v>
      </c>
      <c r="H2168">
        <v>799</v>
      </c>
      <c r="I2168" s="16" t="str">
        <f t="shared" si="33"/>
        <v>Normal</v>
      </c>
      <c r="J2168" t="s">
        <v>39</v>
      </c>
    </row>
    <row r="2169" spans="1:10">
      <c r="A2169" t="s">
        <v>4547</v>
      </c>
      <c r="B2169" t="s">
        <v>4548</v>
      </c>
      <c r="C2169" t="s">
        <v>2218</v>
      </c>
      <c r="D2169" s="9">
        <v>46161</v>
      </c>
      <c r="E2169" t="s">
        <v>23</v>
      </c>
      <c r="G2169" t="s">
        <v>2325</v>
      </c>
      <c r="I2169" s="16" t="str">
        <f t="shared" si="33"/>
        <v>Unknown</v>
      </c>
      <c r="J2169">
        <v>2</v>
      </c>
    </row>
    <row r="2170" spans="1:10">
      <c r="A2170" t="s">
        <v>4549</v>
      </c>
      <c r="B2170" t="s">
        <v>776</v>
      </c>
      <c r="C2170" t="s">
        <v>2241</v>
      </c>
      <c r="D2170" s="9">
        <v>46175</v>
      </c>
      <c r="E2170" t="s">
        <v>2337</v>
      </c>
      <c r="F2170" s="20">
        <v>0</v>
      </c>
      <c r="G2170" t="s">
        <v>2331</v>
      </c>
      <c r="H2170">
        <v>2500</v>
      </c>
      <c r="I2170" s="16" t="str">
        <f t="shared" si="33"/>
        <v>Normal</v>
      </c>
      <c r="J2170">
        <v>5</v>
      </c>
    </row>
    <row r="2171" spans="1:10">
      <c r="A2171" t="s">
        <v>4550</v>
      </c>
      <c r="B2171" t="s">
        <v>1744</v>
      </c>
      <c r="C2171" t="s">
        <v>2269</v>
      </c>
      <c r="D2171" s="9">
        <v>45934</v>
      </c>
      <c r="E2171" t="s">
        <v>2324</v>
      </c>
      <c r="F2171" s="20">
        <v>55</v>
      </c>
      <c r="G2171" t="s">
        <v>2328</v>
      </c>
      <c r="H2171">
        <v>499</v>
      </c>
      <c r="I2171" s="16" t="str">
        <f t="shared" si="33"/>
        <v>Normal</v>
      </c>
      <c r="J2171" t="s">
        <v>39</v>
      </c>
    </row>
    <row r="2172" spans="1:10">
      <c r="A2172" t="s">
        <v>4551</v>
      </c>
      <c r="B2172" t="s">
        <v>748</v>
      </c>
      <c r="C2172" t="s">
        <v>2193</v>
      </c>
      <c r="D2172" s="9">
        <v>46085</v>
      </c>
      <c r="E2172" t="s">
        <v>2330</v>
      </c>
      <c r="G2172" t="s">
        <v>2325</v>
      </c>
      <c r="H2172">
        <v>0</v>
      </c>
      <c r="I2172" s="16" t="str">
        <f t="shared" si="33"/>
        <v>Zero Amount</v>
      </c>
      <c r="J2172">
        <v>2</v>
      </c>
    </row>
    <row r="2173" spans="1:10">
      <c r="A2173" t="s">
        <v>4552</v>
      </c>
      <c r="B2173" t="s">
        <v>1898</v>
      </c>
      <c r="C2173" t="s">
        <v>2251</v>
      </c>
      <c r="D2173" s="9">
        <v>45653</v>
      </c>
      <c r="E2173" t="s">
        <v>2330</v>
      </c>
      <c r="F2173" s="20">
        <v>100</v>
      </c>
      <c r="G2173" t="s">
        <v>2331</v>
      </c>
      <c r="H2173">
        <v>-1500</v>
      </c>
      <c r="I2173" s="16" t="str">
        <f t="shared" si="33"/>
        <v>Review</v>
      </c>
      <c r="J2173" t="s">
        <v>39</v>
      </c>
    </row>
    <row r="2174" spans="1:10">
      <c r="A2174" t="s">
        <v>4553</v>
      </c>
      <c r="B2174" t="s">
        <v>224</v>
      </c>
      <c r="C2174" t="s">
        <v>2244</v>
      </c>
      <c r="D2174" s="9">
        <v>45559</v>
      </c>
      <c r="E2174" t="s">
        <v>2330</v>
      </c>
      <c r="F2174" s="20">
        <v>100</v>
      </c>
      <c r="G2174" t="s">
        <v>2345</v>
      </c>
      <c r="H2174">
        <v>1200</v>
      </c>
      <c r="I2174" s="16" t="str">
        <f t="shared" si="33"/>
        <v>Normal</v>
      </c>
      <c r="J2174" t="s">
        <v>39</v>
      </c>
    </row>
    <row r="2175" spans="1:10">
      <c r="A2175" t="s">
        <v>4554</v>
      </c>
      <c r="B2175" t="s">
        <v>292</v>
      </c>
      <c r="C2175" t="s">
        <v>2213</v>
      </c>
      <c r="D2175" s="9">
        <v>45946</v>
      </c>
      <c r="E2175" t="s">
        <v>2330</v>
      </c>
      <c r="F2175" s="20">
        <v>100</v>
      </c>
      <c r="G2175" t="s">
        <v>2331</v>
      </c>
      <c r="H2175">
        <v>1500</v>
      </c>
      <c r="I2175" s="16" t="str">
        <f t="shared" si="33"/>
        <v>Normal</v>
      </c>
      <c r="J2175">
        <v>4</v>
      </c>
    </row>
    <row r="2176" spans="1:10">
      <c r="A2176" t="s">
        <v>4555</v>
      </c>
      <c r="B2176" t="s">
        <v>2583</v>
      </c>
      <c r="C2176" t="s">
        <v>2249</v>
      </c>
      <c r="D2176" s="9">
        <v>46027</v>
      </c>
      <c r="E2176" t="s">
        <v>23</v>
      </c>
      <c r="G2176" t="s">
        <v>2331</v>
      </c>
      <c r="H2176">
        <v>1500</v>
      </c>
      <c r="I2176" s="16" t="str">
        <f t="shared" si="33"/>
        <v>Normal</v>
      </c>
      <c r="J2176" t="s">
        <v>39</v>
      </c>
    </row>
    <row r="2177" spans="1:10">
      <c r="A2177" t="s">
        <v>4556</v>
      </c>
      <c r="B2177" t="s">
        <v>600</v>
      </c>
      <c r="C2177" t="s">
        <v>2244</v>
      </c>
      <c r="D2177" s="9">
        <v>45331</v>
      </c>
      <c r="E2177" t="s">
        <v>2324</v>
      </c>
      <c r="F2177" s="20">
        <v>25</v>
      </c>
      <c r="G2177" t="s">
        <v>2345</v>
      </c>
      <c r="H2177">
        <v>1200</v>
      </c>
      <c r="I2177" s="16" t="str">
        <f t="shared" si="33"/>
        <v>Normal</v>
      </c>
      <c r="J2177">
        <v>3</v>
      </c>
    </row>
    <row r="2178" spans="1:10">
      <c r="A2178" t="s">
        <v>4557</v>
      </c>
      <c r="B2178" t="s">
        <v>1952</v>
      </c>
      <c r="C2178" t="s">
        <v>2187</v>
      </c>
      <c r="D2178" s="9">
        <v>45129</v>
      </c>
      <c r="E2178" t="s">
        <v>2324</v>
      </c>
      <c r="F2178" s="20">
        <v>10</v>
      </c>
      <c r="G2178" t="s">
        <v>2328</v>
      </c>
      <c r="H2178">
        <v>799</v>
      </c>
      <c r="I2178" s="16" t="str">
        <f t="shared" si="33"/>
        <v>Normal</v>
      </c>
      <c r="J2178">
        <v>5</v>
      </c>
    </row>
    <row r="2179" spans="1:10">
      <c r="A2179" t="s">
        <v>4558</v>
      </c>
      <c r="B2179" t="s">
        <v>1823</v>
      </c>
      <c r="C2179" t="s">
        <v>2222</v>
      </c>
      <c r="D2179" s="9">
        <v>45659</v>
      </c>
      <c r="E2179" t="s">
        <v>2330</v>
      </c>
      <c r="F2179" s="20">
        <v>100</v>
      </c>
      <c r="G2179" t="s">
        <v>2325</v>
      </c>
      <c r="H2179">
        <v>0</v>
      </c>
      <c r="I2179" s="16" t="str">
        <f t="shared" ref="I2179:I2242" si="34">IF(H2179="", "Unknown", IF(H2179=0, "Zero Amount", IF(H2179&lt;1, "Review", IF(H2179&gt;1, "Normal"))))</f>
        <v>Zero Amount</v>
      </c>
      <c r="J2179">
        <v>4</v>
      </c>
    </row>
    <row r="2180" spans="1:10">
      <c r="A2180" t="s">
        <v>4559</v>
      </c>
      <c r="B2180" t="s">
        <v>2113</v>
      </c>
      <c r="C2180" t="s">
        <v>2218</v>
      </c>
      <c r="D2180" s="9">
        <v>46108</v>
      </c>
      <c r="E2180" t="s">
        <v>2330</v>
      </c>
      <c r="F2180" s="20">
        <v>100</v>
      </c>
      <c r="G2180" t="s">
        <v>2345</v>
      </c>
      <c r="H2180">
        <v>1500</v>
      </c>
      <c r="I2180" s="16" t="str">
        <f t="shared" si="34"/>
        <v>Normal</v>
      </c>
      <c r="J2180">
        <v>3</v>
      </c>
    </row>
    <row r="2181" spans="1:10">
      <c r="A2181" t="s">
        <v>4560</v>
      </c>
      <c r="B2181" t="s">
        <v>551</v>
      </c>
      <c r="C2181" t="s">
        <v>2253</v>
      </c>
      <c r="D2181" s="9">
        <v>46069</v>
      </c>
      <c r="E2181" t="s">
        <v>2330</v>
      </c>
      <c r="F2181" s="20">
        <v>100</v>
      </c>
      <c r="G2181" t="s">
        <v>2345</v>
      </c>
      <c r="H2181">
        <v>1200</v>
      </c>
      <c r="I2181" s="16" t="str">
        <f t="shared" si="34"/>
        <v>Normal</v>
      </c>
      <c r="J2181" t="s">
        <v>39</v>
      </c>
    </row>
    <row r="2182" spans="1:10">
      <c r="A2182" t="s">
        <v>4561</v>
      </c>
      <c r="B2182" t="s">
        <v>1030</v>
      </c>
      <c r="C2182" t="s">
        <v>2205</v>
      </c>
      <c r="D2182" s="9">
        <v>46155</v>
      </c>
      <c r="E2182" t="s">
        <v>2330</v>
      </c>
      <c r="F2182" s="20">
        <v>100</v>
      </c>
      <c r="G2182" t="s">
        <v>2331</v>
      </c>
      <c r="H2182">
        <v>1500</v>
      </c>
      <c r="I2182" s="16" t="str">
        <f t="shared" si="34"/>
        <v>Normal</v>
      </c>
      <c r="J2182">
        <v>1</v>
      </c>
    </row>
    <row r="2183" spans="1:10">
      <c r="A2183" t="s">
        <v>4562</v>
      </c>
      <c r="B2183" t="s">
        <v>1967</v>
      </c>
      <c r="C2183" t="s">
        <v>2249</v>
      </c>
      <c r="D2183" s="9">
        <v>46131</v>
      </c>
      <c r="E2183" t="s">
        <v>2324</v>
      </c>
      <c r="F2183" s="20">
        <v>60</v>
      </c>
      <c r="G2183" t="s">
        <v>2345</v>
      </c>
      <c r="H2183">
        <v>1500</v>
      </c>
      <c r="I2183" s="16" t="str">
        <f t="shared" si="34"/>
        <v>Normal</v>
      </c>
      <c r="J2183">
        <v>2</v>
      </c>
    </row>
    <row r="2184" spans="1:10">
      <c r="A2184" t="s">
        <v>4563</v>
      </c>
      <c r="B2184" t="s">
        <v>1736</v>
      </c>
      <c r="C2184" t="s">
        <v>2213</v>
      </c>
      <c r="D2184" s="9">
        <v>45315</v>
      </c>
      <c r="E2184" t="s">
        <v>2327</v>
      </c>
      <c r="F2184" s="20">
        <v>0</v>
      </c>
      <c r="G2184" t="s">
        <v>23</v>
      </c>
      <c r="H2184">
        <v>1500</v>
      </c>
      <c r="I2184" s="16" t="str">
        <f t="shared" si="34"/>
        <v>Normal</v>
      </c>
      <c r="J2184">
        <v>1</v>
      </c>
    </row>
    <row r="2185" spans="1:10">
      <c r="A2185" t="s">
        <v>4564</v>
      </c>
      <c r="B2185" t="s">
        <v>1708</v>
      </c>
      <c r="C2185" t="s">
        <v>2237</v>
      </c>
      <c r="D2185" s="9">
        <v>46163</v>
      </c>
      <c r="E2185" t="s">
        <v>2337</v>
      </c>
      <c r="F2185" s="20">
        <v>20</v>
      </c>
      <c r="G2185" t="s">
        <v>2331</v>
      </c>
      <c r="H2185">
        <v>1500</v>
      </c>
      <c r="I2185" s="16" t="str">
        <f t="shared" si="34"/>
        <v>Normal</v>
      </c>
      <c r="J2185">
        <v>3</v>
      </c>
    </row>
    <row r="2186" spans="1:10">
      <c r="A2186" t="s">
        <v>4565</v>
      </c>
      <c r="B2186" t="s">
        <v>1173</v>
      </c>
      <c r="C2186" t="s">
        <v>2198</v>
      </c>
      <c r="D2186" s="9">
        <v>45922</v>
      </c>
      <c r="E2186" t="s">
        <v>2337</v>
      </c>
      <c r="F2186" s="20">
        <v>15</v>
      </c>
      <c r="G2186" t="s">
        <v>2325</v>
      </c>
      <c r="I2186" s="16" t="str">
        <f t="shared" si="34"/>
        <v>Unknown</v>
      </c>
      <c r="J2186">
        <v>5</v>
      </c>
    </row>
    <row r="2187" spans="1:10">
      <c r="A2187" t="s">
        <v>4566</v>
      </c>
      <c r="B2187" t="s">
        <v>34</v>
      </c>
      <c r="C2187" t="s">
        <v>2241</v>
      </c>
      <c r="D2187" s="9">
        <v>45240</v>
      </c>
      <c r="E2187" t="s">
        <v>2327</v>
      </c>
      <c r="G2187" t="s">
        <v>2328</v>
      </c>
      <c r="H2187">
        <v>2500</v>
      </c>
      <c r="I2187" s="16" t="str">
        <f t="shared" si="34"/>
        <v>Normal</v>
      </c>
      <c r="J2187">
        <v>3</v>
      </c>
    </row>
    <row r="2188" spans="1:10">
      <c r="A2188" t="s">
        <v>4567</v>
      </c>
      <c r="B2188" t="s">
        <v>1904</v>
      </c>
      <c r="C2188" t="s">
        <v>2264</v>
      </c>
      <c r="D2188" s="9">
        <v>45463</v>
      </c>
      <c r="E2188" t="s">
        <v>2324</v>
      </c>
      <c r="F2188" s="20">
        <v>60</v>
      </c>
      <c r="G2188" t="s">
        <v>2325</v>
      </c>
      <c r="H2188">
        <v>2500</v>
      </c>
      <c r="I2188" s="16" t="str">
        <f t="shared" si="34"/>
        <v>Normal</v>
      </c>
      <c r="J2188">
        <v>4</v>
      </c>
    </row>
    <row r="2189" spans="1:10">
      <c r="A2189" t="s">
        <v>4568</v>
      </c>
      <c r="B2189" t="s">
        <v>660</v>
      </c>
      <c r="C2189" t="s">
        <v>2271</v>
      </c>
      <c r="D2189" s="9">
        <v>46239</v>
      </c>
      <c r="E2189" t="s">
        <v>2330</v>
      </c>
      <c r="F2189" s="20">
        <v>100</v>
      </c>
      <c r="G2189" t="s">
        <v>2328</v>
      </c>
      <c r="H2189">
        <v>-1200</v>
      </c>
      <c r="I2189" s="16" t="str">
        <f t="shared" si="34"/>
        <v>Review</v>
      </c>
      <c r="J2189">
        <v>3</v>
      </c>
    </row>
    <row r="2190" spans="1:10">
      <c r="A2190" t="s">
        <v>4569</v>
      </c>
      <c r="B2190" t="s">
        <v>1065</v>
      </c>
      <c r="C2190" t="s">
        <v>2209</v>
      </c>
      <c r="D2190" s="9">
        <v>46161</v>
      </c>
      <c r="E2190" t="s">
        <v>2337</v>
      </c>
      <c r="F2190" s="20">
        <v>20</v>
      </c>
      <c r="G2190" t="s">
        <v>2325</v>
      </c>
      <c r="H2190">
        <v>499</v>
      </c>
      <c r="I2190" s="16" t="str">
        <f t="shared" si="34"/>
        <v>Normal</v>
      </c>
      <c r="J2190">
        <v>2</v>
      </c>
    </row>
    <row r="2191" spans="1:10">
      <c r="A2191" t="s">
        <v>4570</v>
      </c>
      <c r="B2191" t="s">
        <v>400</v>
      </c>
      <c r="C2191" t="s">
        <v>2269</v>
      </c>
      <c r="D2191" s="9">
        <v>45436</v>
      </c>
      <c r="E2191" t="s">
        <v>2330</v>
      </c>
      <c r="F2191" s="20">
        <v>100</v>
      </c>
      <c r="G2191" t="s">
        <v>2339</v>
      </c>
      <c r="H2191">
        <v>499</v>
      </c>
      <c r="I2191" s="16" t="str">
        <f t="shared" si="34"/>
        <v>Normal</v>
      </c>
      <c r="J2191" t="s">
        <v>39</v>
      </c>
    </row>
    <row r="2192" spans="1:10">
      <c r="A2192" t="s">
        <v>4571</v>
      </c>
      <c r="B2192" t="s">
        <v>729</v>
      </c>
      <c r="C2192" t="s">
        <v>2213</v>
      </c>
      <c r="D2192" s="9">
        <v>45937</v>
      </c>
      <c r="E2192" t="s">
        <v>2324</v>
      </c>
      <c r="F2192" s="20">
        <v>40</v>
      </c>
      <c r="G2192" t="s">
        <v>2331</v>
      </c>
      <c r="H2192">
        <v>1500</v>
      </c>
      <c r="I2192" s="16" t="str">
        <f t="shared" si="34"/>
        <v>Normal</v>
      </c>
      <c r="J2192" t="s">
        <v>39</v>
      </c>
    </row>
    <row r="2193" spans="1:10">
      <c r="A2193" t="s">
        <v>4572</v>
      </c>
      <c r="B2193" t="s">
        <v>1736</v>
      </c>
      <c r="C2193" t="s">
        <v>2244</v>
      </c>
      <c r="D2193" s="9">
        <v>45976</v>
      </c>
      <c r="E2193" t="s">
        <v>2327</v>
      </c>
      <c r="F2193" s="20">
        <v>15</v>
      </c>
      <c r="G2193" t="s">
        <v>2331</v>
      </c>
      <c r="I2193" s="16" t="str">
        <f t="shared" si="34"/>
        <v>Unknown</v>
      </c>
      <c r="J2193" t="s">
        <v>39</v>
      </c>
    </row>
    <row r="2194" spans="1:10">
      <c r="A2194" t="s">
        <v>4573</v>
      </c>
      <c r="B2194" t="s">
        <v>1285</v>
      </c>
      <c r="C2194" t="s">
        <v>2247</v>
      </c>
      <c r="D2194" s="9">
        <v>45393</v>
      </c>
      <c r="E2194" t="s">
        <v>2337</v>
      </c>
      <c r="G2194" t="s">
        <v>2345</v>
      </c>
      <c r="I2194" s="16" t="str">
        <f t="shared" si="34"/>
        <v>Unknown</v>
      </c>
      <c r="J2194">
        <v>5</v>
      </c>
    </row>
    <row r="2195" spans="1:10">
      <c r="A2195" t="s">
        <v>4574</v>
      </c>
      <c r="B2195" t="s">
        <v>1569</v>
      </c>
      <c r="C2195" t="s">
        <v>2273</v>
      </c>
      <c r="D2195" s="9">
        <v>45279</v>
      </c>
      <c r="E2195" t="s">
        <v>2330</v>
      </c>
      <c r="F2195" s="20">
        <v>100</v>
      </c>
      <c r="G2195" t="s">
        <v>2339</v>
      </c>
      <c r="H2195">
        <v>799</v>
      </c>
      <c r="I2195" s="16" t="str">
        <f t="shared" si="34"/>
        <v>Normal</v>
      </c>
      <c r="J2195" t="s">
        <v>39</v>
      </c>
    </row>
    <row r="2196" spans="1:10">
      <c r="A2196" t="s">
        <v>4575</v>
      </c>
      <c r="B2196" t="s">
        <v>846</v>
      </c>
      <c r="C2196" t="s">
        <v>2251</v>
      </c>
      <c r="D2196" s="9">
        <v>45098</v>
      </c>
      <c r="E2196" t="s">
        <v>2324</v>
      </c>
      <c r="F2196" s="20">
        <v>55</v>
      </c>
      <c r="G2196" t="s">
        <v>2345</v>
      </c>
      <c r="H2196">
        <v>1500</v>
      </c>
      <c r="I2196" s="16" t="str">
        <f t="shared" si="34"/>
        <v>Normal</v>
      </c>
      <c r="J2196">
        <v>4</v>
      </c>
    </row>
    <row r="2197" spans="1:10">
      <c r="A2197" t="s">
        <v>4576</v>
      </c>
      <c r="B2197" t="s">
        <v>597</v>
      </c>
      <c r="C2197" t="s">
        <v>2271</v>
      </c>
      <c r="D2197" s="9">
        <v>45259</v>
      </c>
      <c r="E2197" t="s">
        <v>2330</v>
      </c>
      <c r="F2197" s="20">
        <v>100</v>
      </c>
      <c r="G2197" t="s">
        <v>2345</v>
      </c>
      <c r="H2197">
        <v>1200</v>
      </c>
      <c r="I2197" s="16" t="str">
        <f t="shared" si="34"/>
        <v>Normal</v>
      </c>
      <c r="J2197">
        <v>5</v>
      </c>
    </row>
    <row r="2198" spans="1:10">
      <c r="A2198" t="s">
        <v>4577</v>
      </c>
      <c r="B2198" t="s">
        <v>177</v>
      </c>
      <c r="C2198" t="s">
        <v>2257</v>
      </c>
      <c r="D2198" s="9">
        <v>46358</v>
      </c>
      <c r="E2198" t="s">
        <v>2324</v>
      </c>
      <c r="G2198" t="s">
        <v>23</v>
      </c>
      <c r="I2198" s="16" t="str">
        <f t="shared" si="34"/>
        <v>Unknown</v>
      </c>
      <c r="J2198">
        <v>2</v>
      </c>
    </row>
    <row r="2199" spans="1:10">
      <c r="A2199" t="s">
        <v>4578</v>
      </c>
      <c r="B2199" t="s">
        <v>246</v>
      </c>
      <c r="C2199" t="s">
        <v>2253</v>
      </c>
      <c r="D2199" s="9">
        <v>45428</v>
      </c>
      <c r="E2199" t="s">
        <v>2330</v>
      </c>
      <c r="G2199" t="s">
        <v>2331</v>
      </c>
      <c r="H2199">
        <v>1200</v>
      </c>
      <c r="I2199" s="16" t="str">
        <f t="shared" si="34"/>
        <v>Normal</v>
      </c>
      <c r="J2199">
        <v>5</v>
      </c>
    </row>
    <row r="2200" spans="1:10">
      <c r="A2200" t="s">
        <v>4579</v>
      </c>
      <c r="B2200" t="s">
        <v>989</v>
      </c>
      <c r="C2200" t="s">
        <v>2198</v>
      </c>
      <c r="D2200" s="9">
        <v>45186</v>
      </c>
      <c r="E2200" t="s">
        <v>23</v>
      </c>
      <c r="G2200" t="s">
        <v>2331</v>
      </c>
      <c r="I2200" s="16" t="str">
        <f t="shared" si="34"/>
        <v>Unknown</v>
      </c>
      <c r="J2200">
        <v>4</v>
      </c>
    </row>
    <row r="2201" spans="1:10">
      <c r="A2201" t="s">
        <v>4580</v>
      </c>
      <c r="B2201" t="s">
        <v>780</v>
      </c>
      <c r="C2201" t="s">
        <v>2247</v>
      </c>
      <c r="D2201" s="9">
        <v>45356</v>
      </c>
      <c r="E2201" t="s">
        <v>2324</v>
      </c>
      <c r="G2201" t="s">
        <v>2345</v>
      </c>
      <c r="I2201" s="16" t="str">
        <f t="shared" si="34"/>
        <v>Unknown</v>
      </c>
      <c r="J2201">
        <v>5</v>
      </c>
    </row>
    <row r="2202" spans="1:10">
      <c r="A2202" t="s">
        <v>4581</v>
      </c>
      <c r="B2202" t="s">
        <v>1686</v>
      </c>
      <c r="C2202" t="s">
        <v>2259</v>
      </c>
      <c r="D2202" s="9">
        <v>45320</v>
      </c>
      <c r="E2202" t="s">
        <v>23</v>
      </c>
      <c r="G2202" t="s">
        <v>2331</v>
      </c>
      <c r="I2202" s="16" t="str">
        <f t="shared" si="34"/>
        <v>Unknown</v>
      </c>
      <c r="J2202">
        <v>5</v>
      </c>
    </row>
    <row r="2203" spans="1:10">
      <c r="A2203" t="s">
        <v>4582</v>
      </c>
      <c r="B2203" t="s">
        <v>1214</v>
      </c>
      <c r="C2203" t="s">
        <v>2237</v>
      </c>
      <c r="D2203" s="9">
        <v>45196</v>
      </c>
      <c r="E2203" t="s">
        <v>2330</v>
      </c>
      <c r="F2203" s="20">
        <v>100</v>
      </c>
      <c r="G2203" t="s">
        <v>2331</v>
      </c>
      <c r="H2203">
        <v>1500</v>
      </c>
      <c r="I2203" s="16" t="str">
        <f t="shared" si="34"/>
        <v>Normal</v>
      </c>
      <c r="J2203">
        <v>5</v>
      </c>
    </row>
    <row r="2204" spans="1:10">
      <c r="A2204" t="s">
        <v>4583</v>
      </c>
      <c r="B2204" t="s">
        <v>1890</v>
      </c>
      <c r="C2204" t="s">
        <v>2249</v>
      </c>
      <c r="D2204" s="9">
        <v>45366</v>
      </c>
      <c r="E2204" t="s">
        <v>2337</v>
      </c>
      <c r="F2204" s="20">
        <v>5</v>
      </c>
      <c r="G2204" t="s">
        <v>2325</v>
      </c>
      <c r="H2204">
        <v>1500</v>
      </c>
      <c r="I2204" s="16" t="str">
        <f t="shared" si="34"/>
        <v>Normal</v>
      </c>
      <c r="J2204">
        <v>4</v>
      </c>
    </row>
    <row r="2205" spans="1:10">
      <c r="A2205" t="s">
        <v>4584</v>
      </c>
      <c r="B2205" t="s">
        <v>1873</v>
      </c>
      <c r="C2205" t="s">
        <v>2218</v>
      </c>
      <c r="D2205" s="9">
        <v>45848</v>
      </c>
      <c r="E2205" t="s">
        <v>23</v>
      </c>
      <c r="G2205" t="s">
        <v>2345</v>
      </c>
      <c r="H2205">
        <v>1500</v>
      </c>
      <c r="I2205" s="16" t="str">
        <f t="shared" si="34"/>
        <v>Normal</v>
      </c>
      <c r="J2205">
        <v>4</v>
      </c>
    </row>
    <row r="2206" spans="1:10">
      <c r="A2206" t="s">
        <v>4585</v>
      </c>
      <c r="B2206" t="s">
        <v>611</v>
      </c>
      <c r="C2206" t="s">
        <v>2187</v>
      </c>
      <c r="D2206" s="9">
        <v>46024</v>
      </c>
      <c r="E2206" t="s">
        <v>23</v>
      </c>
      <c r="G2206" t="s">
        <v>2325</v>
      </c>
      <c r="H2206">
        <v>799</v>
      </c>
      <c r="I2206" s="16" t="str">
        <f t="shared" si="34"/>
        <v>Normal</v>
      </c>
      <c r="J2206">
        <v>4</v>
      </c>
    </row>
    <row r="2207" spans="1:10">
      <c r="A2207" t="s">
        <v>4586</v>
      </c>
      <c r="B2207" t="s">
        <v>99</v>
      </c>
      <c r="C2207" t="s">
        <v>2231</v>
      </c>
      <c r="D2207" s="9">
        <v>45508</v>
      </c>
      <c r="E2207" t="s">
        <v>2324</v>
      </c>
      <c r="F2207" s="20">
        <v>25</v>
      </c>
      <c r="G2207" t="s">
        <v>2345</v>
      </c>
      <c r="H2207">
        <v>3000</v>
      </c>
      <c r="I2207" s="16" t="str">
        <f t="shared" si="34"/>
        <v>Normal</v>
      </c>
      <c r="J2207" t="s">
        <v>39</v>
      </c>
    </row>
    <row r="2208" spans="1:10">
      <c r="A2208" t="s">
        <v>4587</v>
      </c>
      <c r="B2208" t="s">
        <v>1259</v>
      </c>
      <c r="C2208" t="s">
        <v>2259</v>
      </c>
      <c r="D2208" s="9">
        <v>45621</v>
      </c>
      <c r="E2208" t="s">
        <v>2324</v>
      </c>
      <c r="F2208" s="20">
        <v>25</v>
      </c>
      <c r="G2208" t="s">
        <v>2328</v>
      </c>
      <c r="H2208">
        <v>0</v>
      </c>
      <c r="I2208" s="16" t="str">
        <f t="shared" si="34"/>
        <v>Zero Amount</v>
      </c>
      <c r="J2208">
        <v>4</v>
      </c>
    </row>
    <row r="2209" spans="1:10">
      <c r="A2209" t="s">
        <v>4588</v>
      </c>
      <c r="B2209" t="s">
        <v>4589</v>
      </c>
      <c r="C2209" t="s">
        <v>2241</v>
      </c>
      <c r="D2209" s="9">
        <v>45475</v>
      </c>
      <c r="E2209" t="s">
        <v>2330</v>
      </c>
      <c r="F2209" s="20">
        <v>100</v>
      </c>
      <c r="G2209" t="s">
        <v>2328</v>
      </c>
      <c r="H2209">
        <v>2500</v>
      </c>
      <c r="I2209" s="16" t="str">
        <f t="shared" si="34"/>
        <v>Normal</v>
      </c>
      <c r="J2209">
        <v>5</v>
      </c>
    </row>
    <row r="2210" spans="1:10">
      <c r="A2210" t="s">
        <v>4590</v>
      </c>
      <c r="B2210" t="s">
        <v>1452</v>
      </c>
      <c r="C2210" t="s">
        <v>2257</v>
      </c>
      <c r="D2210" s="9">
        <v>45613</v>
      </c>
      <c r="E2210" t="s">
        <v>2330</v>
      </c>
      <c r="F2210" s="20">
        <v>100</v>
      </c>
      <c r="G2210" t="s">
        <v>2339</v>
      </c>
      <c r="I2210" s="16" t="str">
        <f t="shared" si="34"/>
        <v>Unknown</v>
      </c>
      <c r="J2210" t="s">
        <v>39</v>
      </c>
    </row>
    <row r="2211" spans="1:10">
      <c r="A2211" t="s">
        <v>4591</v>
      </c>
      <c r="B2211" t="s">
        <v>842</v>
      </c>
      <c r="C2211" t="s">
        <v>2237</v>
      </c>
      <c r="D2211" s="9">
        <v>45850</v>
      </c>
      <c r="E2211" t="s">
        <v>2327</v>
      </c>
      <c r="F2211" s="20">
        <v>20</v>
      </c>
      <c r="G2211" t="s">
        <v>2325</v>
      </c>
      <c r="H2211">
        <v>1500</v>
      </c>
      <c r="I2211" s="16" t="str">
        <f t="shared" si="34"/>
        <v>Normal</v>
      </c>
      <c r="J2211">
        <v>5</v>
      </c>
    </row>
    <row r="2212" spans="1:10">
      <c r="A2212" t="s">
        <v>4592</v>
      </c>
      <c r="B2212" t="s">
        <v>861</v>
      </c>
      <c r="C2212" t="s">
        <v>2218</v>
      </c>
      <c r="D2212" s="9">
        <v>45863</v>
      </c>
      <c r="E2212" t="s">
        <v>2337</v>
      </c>
      <c r="F2212" s="20">
        <v>15</v>
      </c>
      <c r="G2212" t="s">
        <v>2345</v>
      </c>
      <c r="I2212" s="16" t="str">
        <f t="shared" si="34"/>
        <v>Unknown</v>
      </c>
      <c r="J2212">
        <v>4</v>
      </c>
    </row>
    <row r="2213" spans="1:10">
      <c r="A2213" t="s">
        <v>4593</v>
      </c>
      <c r="B2213" t="s">
        <v>930</v>
      </c>
      <c r="C2213" t="s">
        <v>2257</v>
      </c>
      <c r="D2213" s="9">
        <v>46098</v>
      </c>
      <c r="E2213" t="s">
        <v>2330</v>
      </c>
      <c r="F2213" s="20">
        <v>100</v>
      </c>
      <c r="G2213" t="s">
        <v>23</v>
      </c>
      <c r="I2213" s="16" t="str">
        <f t="shared" si="34"/>
        <v>Unknown</v>
      </c>
      <c r="J2213">
        <v>4</v>
      </c>
    </row>
    <row r="2214" spans="1:10">
      <c r="A2214" t="s">
        <v>4594</v>
      </c>
      <c r="B2214" t="s">
        <v>1894</v>
      </c>
      <c r="C2214" t="s">
        <v>2249</v>
      </c>
      <c r="D2214" s="9">
        <v>45830</v>
      </c>
      <c r="E2214" t="s">
        <v>2330</v>
      </c>
      <c r="F2214" s="20">
        <v>100</v>
      </c>
      <c r="G2214" t="s">
        <v>23</v>
      </c>
      <c r="H2214">
        <v>1188.67</v>
      </c>
      <c r="I2214" s="16" t="str">
        <f t="shared" si="34"/>
        <v>Normal</v>
      </c>
      <c r="J2214">
        <v>1</v>
      </c>
    </row>
    <row r="2215" spans="1:10">
      <c r="A2215" t="s">
        <v>4595</v>
      </c>
      <c r="B2215" t="s">
        <v>80</v>
      </c>
      <c r="C2215" t="s">
        <v>2264</v>
      </c>
      <c r="D2215" s="9">
        <v>46009</v>
      </c>
      <c r="E2215" t="s">
        <v>23</v>
      </c>
      <c r="G2215" t="s">
        <v>2339</v>
      </c>
      <c r="H2215">
        <v>2500</v>
      </c>
      <c r="I2215" s="16" t="str">
        <f t="shared" si="34"/>
        <v>Normal</v>
      </c>
      <c r="J2215">
        <v>1</v>
      </c>
    </row>
    <row r="2216" spans="1:10">
      <c r="A2216" t="s">
        <v>4596</v>
      </c>
      <c r="B2216" t="s">
        <v>840</v>
      </c>
      <c r="C2216" t="s">
        <v>2202</v>
      </c>
      <c r="D2216" s="9">
        <v>45724</v>
      </c>
      <c r="E2216" t="s">
        <v>2324</v>
      </c>
      <c r="F2216" s="20">
        <v>40</v>
      </c>
      <c r="G2216" t="s">
        <v>2331</v>
      </c>
      <c r="H2216">
        <v>999.99</v>
      </c>
      <c r="I2216" s="16" t="str">
        <f t="shared" si="34"/>
        <v>Normal</v>
      </c>
      <c r="J2216" t="s">
        <v>39</v>
      </c>
    </row>
    <row r="2217" spans="1:10">
      <c r="A2217" t="s">
        <v>4597</v>
      </c>
      <c r="B2217" t="s">
        <v>1638</v>
      </c>
      <c r="C2217" t="s">
        <v>2253</v>
      </c>
      <c r="D2217" s="9">
        <v>45934</v>
      </c>
      <c r="E2217" t="s">
        <v>2324</v>
      </c>
      <c r="F2217" s="20">
        <v>25</v>
      </c>
      <c r="G2217" t="s">
        <v>2325</v>
      </c>
      <c r="I2217" s="16" t="str">
        <f t="shared" si="34"/>
        <v>Unknown</v>
      </c>
      <c r="J2217" t="s">
        <v>39</v>
      </c>
    </row>
    <row r="2218" spans="1:10">
      <c r="A2218" t="s">
        <v>4598</v>
      </c>
      <c r="B2218" t="s">
        <v>1911</v>
      </c>
      <c r="C2218" t="s">
        <v>2218</v>
      </c>
      <c r="D2218" s="9">
        <v>45203</v>
      </c>
      <c r="E2218" t="s">
        <v>2330</v>
      </c>
      <c r="G2218" t="s">
        <v>2331</v>
      </c>
      <c r="H2218">
        <v>-1500</v>
      </c>
      <c r="I2218" s="16" t="str">
        <f t="shared" si="34"/>
        <v>Review</v>
      </c>
      <c r="J2218">
        <v>2</v>
      </c>
    </row>
    <row r="2219" spans="1:10">
      <c r="A2219" t="s">
        <v>4599</v>
      </c>
      <c r="B2219" t="s">
        <v>1887</v>
      </c>
      <c r="C2219" t="s">
        <v>2244</v>
      </c>
      <c r="D2219" s="9">
        <v>45238</v>
      </c>
      <c r="E2219" t="s">
        <v>2324</v>
      </c>
      <c r="F2219" s="20">
        <v>10</v>
      </c>
      <c r="G2219" t="s">
        <v>23</v>
      </c>
      <c r="H2219">
        <v>1200</v>
      </c>
      <c r="I2219" s="16" t="str">
        <f t="shared" si="34"/>
        <v>Normal</v>
      </c>
      <c r="J2219">
        <v>2</v>
      </c>
    </row>
    <row r="2220" spans="1:10">
      <c r="A2220" t="s">
        <v>4600</v>
      </c>
      <c r="B2220" t="s">
        <v>233</v>
      </c>
      <c r="C2220" t="s">
        <v>2251</v>
      </c>
      <c r="D2220" s="9">
        <v>45934</v>
      </c>
      <c r="E2220" t="s">
        <v>2324</v>
      </c>
      <c r="G2220" t="s">
        <v>2331</v>
      </c>
      <c r="H2220">
        <v>1500</v>
      </c>
      <c r="I2220" s="16" t="str">
        <f t="shared" si="34"/>
        <v>Normal</v>
      </c>
      <c r="J2220" t="s">
        <v>39</v>
      </c>
    </row>
    <row r="2221" spans="1:10">
      <c r="A2221" t="s">
        <v>4601</v>
      </c>
      <c r="B2221" t="s">
        <v>228</v>
      </c>
      <c r="C2221" t="s">
        <v>2213</v>
      </c>
      <c r="D2221" s="9">
        <v>45244</v>
      </c>
      <c r="E2221" t="s">
        <v>23</v>
      </c>
      <c r="G2221" t="s">
        <v>2328</v>
      </c>
      <c r="H2221">
        <v>1500</v>
      </c>
      <c r="I2221" s="16" t="str">
        <f t="shared" si="34"/>
        <v>Normal</v>
      </c>
      <c r="J2221" t="s">
        <v>39</v>
      </c>
    </row>
    <row r="2222" spans="1:10">
      <c r="A2222" t="s">
        <v>4602</v>
      </c>
      <c r="B2222" t="s">
        <v>1978</v>
      </c>
      <c r="C2222" t="s">
        <v>2249</v>
      </c>
      <c r="D2222" s="9">
        <v>45945</v>
      </c>
      <c r="E2222" t="s">
        <v>2330</v>
      </c>
      <c r="F2222" s="20">
        <v>100</v>
      </c>
      <c r="G2222" t="s">
        <v>23</v>
      </c>
      <c r="H2222">
        <v>764.34</v>
      </c>
      <c r="I2222" s="16" t="str">
        <f t="shared" si="34"/>
        <v>Normal</v>
      </c>
      <c r="J2222">
        <v>4</v>
      </c>
    </row>
    <row r="2223" spans="1:10">
      <c r="A2223" t="s">
        <v>4603</v>
      </c>
      <c r="B2223" t="s">
        <v>1666</v>
      </c>
      <c r="C2223" t="s">
        <v>2244</v>
      </c>
      <c r="D2223" s="9">
        <v>46082</v>
      </c>
      <c r="E2223" t="s">
        <v>2327</v>
      </c>
      <c r="F2223" s="20">
        <v>5</v>
      </c>
      <c r="G2223" t="s">
        <v>2345</v>
      </c>
      <c r="H2223">
        <v>1200</v>
      </c>
      <c r="I2223" s="16" t="str">
        <f t="shared" si="34"/>
        <v>Normal</v>
      </c>
      <c r="J2223">
        <v>2</v>
      </c>
    </row>
    <row r="2224" spans="1:10">
      <c r="A2224" t="s">
        <v>4604</v>
      </c>
      <c r="B2224" t="s">
        <v>1343</v>
      </c>
      <c r="C2224" t="s">
        <v>2233</v>
      </c>
      <c r="D2224" s="9">
        <v>45996</v>
      </c>
      <c r="E2224" t="s">
        <v>2330</v>
      </c>
      <c r="G2224" t="s">
        <v>23</v>
      </c>
      <c r="H2224">
        <v>2500</v>
      </c>
      <c r="I2224" s="16" t="str">
        <f t="shared" si="34"/>
        <v>Normal</v>
      </c>
      <c r="J2224">
        <v>2</v>
      </c>
    </row>
    <row r="2225" spans="1:10">
      <c r="A2225" t="s">
        <v>4605</v>
      </c>
      <c r="B2225" t="s">
        <v>2119</v>
      </c>
      <c r="C2225" t="s">
        <v>2264</v>
      </c>
      <c r="D2225" s="9">
        <v>45898</v>
      </c>
      <c r="E2225" t="s">
        <v>2330</v>
      </c>
      <c r="F2225" s="20">
        <v>100</v>
      </c>
      <c r="G2225" t="s">
        <v>2328</v>
      </c>
      <c r="H2225">
        <v>1599.15</v>
      </c>
      <c r="I2225" s="16" t="str">
        <f t="shared" si="34"/>
        <v>Normal</v>
      </c>
      <c r="J2225">
        <v>1</v>
      </c>
    </row>
    <row r="2226" spans="1:10">
      <c r="A2226" t="s">
        <v>4606</v>
      </c>
      <c r="B2226" t="s">
        <v>1592</v>
      </c>
      <c r="C2226" t="s">
        <v>2222</v>
      </c>
      <c r="D2226" s="9">
        <v>45563</v>
      </c>
      <c r="E2226" t="s">
        <v>2324</v>
      </c>
      <c r="F2226" s="20">
        <v>55</v>
      </c>
      <c r="G2226" t="s">
        <v>2331</v>
      </c>
      <c r="H2226">
        <v>0</v>
      </c>
      <c r="I2226" s="16" t="str">
        <f t="shared" si="34"/>
        <v>Zero Amount</v>
      </c>
      <c r="J2226">
        <v>1</v>
      </c>
    </row>
    <row r="2227" spans="1:10">
      <c r="A2227" t="s">
        <v>4607</v>
      </c>
      <c r="B2227" t="s">
        <v>1779</v>
      </c>
      <c r="C2227" t="s">
        <v>2213</v>
      </c>
      <c r="D2227" s="9">
        <v>45529</v>
      </c>
      <c r="E2227" t="s">
        <v>2330</v>
      </c>
      <c r="F2227" s="20">
        <v>100</v>
      </c>
      <c r="G2227" t="s">
        <v>23</v>
      </c>
      <c r="H2227">
        <v>1500</v>
      </c>
      <c r="I2227" s="16" t="str">
        <f t="shared" si="34"/>
        <v>Normal</v>
      </c>
      <c r="J2227" t="s">
        <v>39</v>
      </c>
    </row>
    <row r="2228" spans="1:10">
      <c r="A2228" t="s">
        <v>4608</v>
      </c>
      <c r="B2228" t="s">
        <v>1373</v>
      </c>
      <c r="C2228" t="s">
        <v>2235</v>
      </c>
      <c r="D2228" s="9">
        <v>45176</v>
      </c>
      <c r="E2228" t="s">
        <v>2327</v>
      </c>
      <c r="G2228" t="s">
        <v>2325</v>
      </c>
      <c r="H2228">
        <v>3000</v>
      </c>
      <c r="I2228" s="16" t="str">
        <f t="shared" si="34"/>
        <v>Normal</v>
      </c>
      <c r="J2228" t="s">
        <v>39</v>
      </c>
    </row>
    <row r="2229" spans="1:10">
      <c r="A2229" t="s">
        <v>4609</v>
      </c>
      <c r="B2229" t="s">
        <v>418</v>
      </c>
      <c r="C2229" t="s">
        <v>2241</v>
      </c>
      <c r="D2229" s="9">
        <v>45485</v>
      </c>
      <c r="E2229" t="s">
        <v>2330</v>
      </c>
      <c r="F2229" s="20">
        <v>100</v>
      </c>
      <c r="G2229" t="s">
        <v>2331</v>
      </c>
      <c r="I2229" s="16" t="str">
        <f t="shared" si="34"/>
        <v>Unknown</v>
      </c>
      <c r="J2229" t="s">
        <v>39</v>
      </c>
    </row>
    <row r="2230" spans="1:10">
      <c r="A2230" t="s">
        <v>4610</v>
      </c>
      <c r="B2230" t="s">
        <v>1251</v>
      </c>
      <c r="C2230" t="s">
        <v>2244</v>
      </c>
      <c r="D2230" s="9">
        <v>45909</v>
      </c>
      <c r="E2230" t="s">
        <v>2330</v>
      </c>
      <c r="G2230" t="s">
        <v>2325</v>
      </c>
      <c r="H2230">
        <v>1200</v>
      </c>
      <c r="I2230" s="16" t="str">
        <f t="shared" si="34"/>
        <v>Normal</v>
      </c>
      <c r="J2230" t="s">
        <v>39</v>
      </c>
    </row>
    <row r="2231" spans="1:10">
      <c r="A2231" t="s">
        <v>4611</v>
      </c>
      <c r="B2231" t="s">
        <v>870</v>
      </c>
      <c r="C2231" t="s">
        <v>2209</v>
      </c>
      <c r="D2231" s="9">
        <v>45740</v>
      </c>
      <c r="E2231" t="s">
        <v>2324</v>
      </c>
      <c r="F2231" s="20">
        <v>55</v>
      </c>
      <c r="G2231" t="s">
        <v>2331</v>
      </c>
      <c r="H2231">
        <v>499</v>
      </c>
      <c r="I2231" s="16" t="str">
        <f t="shared" si="34"/>
        <v>Normal</v>
      </c>
      <c r="J2231">
        <v>3</v>
      </c>
    </row>
    <row r="2232" spans="1:10">
      <c r="A2232" t="s">
        <v>4612</v>
      </c>
      <c r="B2232" t="s">
        <v>972</v>
      </c>
      <c r="C2232" t="s">
        <v>2244</v>
      </c>
      <c r="D2232" s="9">
        <v>45340</v>
      </c>
      <c r="E2232" t="s">
        <v>2337</v>
      </c>
      <c r="F2232" s="20">
        <v>20</v>
      </c>
      <c r="G2232" t="s">
        <v>2325</v>
      </c>
      <c r="H2232">
        <v>1200</v>
      </c>
      <c r="I2232" s="16" t="str">
        <f t="shared" si="34"/>
        <v>Normal</v>
      </c>
      <c r="J2232" t="s">
        <v>39</v>
      </c>
    </row>
    <row r="2233" spans="1:10">
      <c r="A2233" t="s">
        <v>4613</v>
      </c>
      <c r="B2233" t="s">
        <v>1143</v>
      </c>
      <c r="C2233" t="s">
        <v>2222</v>
      </c>
      <c r="D2233" s="9">
        <v>45764</v>
      </c>
      <c r="E2233" t="s">
        <v>23</v>
      </c>
      <c r="G2233" t="s">
        <v>2331</v>
      </c>
      <c r="I2233" s="16" t="str">
        <f t="shared" si="34"/>
        <v>Unknown</v>
      </c>
      <c r="J2233">
        <v>2</v>
      </c>
    </row>
    <row r="2234" spans="1:10">
      <c r="A2234" t="s">
        <v>4614</v>
      </c>
      <c r="B2234" t="s">
        <v>1303</v>
      </c>
      <c r="C2234" t="s">
        <v>2259</v>
      </c>
      <c r="D2234" s="9">
        <v>45939</v>
      </c>
      <c r="E2234" t="s">
        <v>2324</v>
      </c>
      <c r="F2234" s="20">
        <v>60</v>
      </c>
      <c r="G2234" t="s">
        <v>23</v>
      </c>
      <c r="H2234">
        <v>0</v>
      </c>
      <c r="I2234" s="16" t="str">
        <f t="shared" si="34"/>
        <v>Zero Amount</v>
      </c>
      <c r="J2234">
        <v>2</v>
      </c>
    </row>
    <row r="2235" spans="1:10">
      <c r="A2235" t="s">
        <v>4615</v>
      </c>
      <c r="B2235" t="s">
        <v>1022</v>
      </c>
      <c r="C2235" t="s">
        <v>2259</v>
      </c>
      <c r="D2235" s="9">
        <v>45502</v>
      </c>
      <c r="E2235" t="s">
        <v>2324</v>
      </c>
      <c r="F2235" s="20">
        <v>55</v>
      </c>
      <c r="G2235" t="s">
        <v>2331</v>
      </c>
      <c r="H2235">
        <v>0</v>
      </c>
      <c r="I2235" s="16" t="str">
        <f t="shared" si="34"/>
        <v>Zero Amount</v>
      </c>
      <c r="J2235" t="s">
        <v>39</v>
      </c>
    </row>
    <row r="2236" spans="1:10">
      <c r="A2236" t="s">
        <v>4616</v>
      </c>
      <c r="B2236" t="s">
        <v>80</v>
      </c>
      <c r="C2236" t="s">
        <v>2209</v>
      </c>
      <c r="D2236" s="9">
        <v>45470</v>
      </c>
      <c r="E2236" t="s">
        <v>2324</v>
      </c>
      <c r="F2236" s="20">
        <v>60</v>
      </c>
      <c r="G2236" t="s">
        <v>2331</v>
      </c>
      <c r="H2236">
        <v>499</v>
      </c>
      <c r="I2236" s="16" t="str">
        <f t="shared" si="34"/>
        <v>Normal</v>
      </c>
      <c r="J2236" t="s">
        <v>39</v>
      </c>
    </row>
    <row r="2237" spans="1:10">
      <c r="A2237" t="s">
        <v>4617</v>
      </c>
      <c r="B2237" t="s">
        <v>1091</v>
      </c>
      <c r="C2237" t="s">
        <v>2271</v>
      </c>
      <c r="D2237" s="9">
        <v>46000</v>
      </c>
      <c r="E2237" t="s">
        <v>2330</v>
      </c>
      <c r="F2237" s="20">
        <v>100</v>
      </c>
      <c r="G2237" t="s">
        <v>23</v>
      </c>
      <c r="H2237">
        <v>1200</v>
      </c>
      <c r="I2237" s="16" t="str">
        <f t="shared" si="34"/>
        <v>Normal</v>
      </c>
      <c r="J2237">
        <v>2</v>
      </c>
    </row>
    <row r="2238" spans="1:10">
      <c r="A2238" t="s">
        <v>4618</v>
      </c>
      <c r="B2238" t="s">
        <v>1445</v>
      </c>
      <c r="C2238" t="s">
        <v>2257</v>
      </c>
      <c r="D2238" s="9">
        <v>45767</v>
      </c>
      <c r="E2238" t="s">
        <v>2330</v>
      </c>
      <c r="G2238" t="s">
        <v>23</v>
      </c>
      <c r="I2238" s="16" t="str">
        <f t="shared" si="34"/>
        <v>Unknown</v>
      </c>
      <c r="J2238">
        <v>5</v>
      </c>
    </row>
    <row r="2239" spans="1:10">
      <c r="A2239" t="s">
        <v>4619</v>
      </c>
      <c r="B2239" t="s">
        <v>1676</v>
      </c>
      <c r="C2239" t="s">
        <v>2222</v>
      </c>
      <c r="D2239" s="9">
        <v>45921</v>
      </c>
      <c r="E2239" t="s">
        <v>2327</v>
      </c>
      <c r="G2239" t="s">
        <v>2345</v>
      </c>
      <c r="H2239">
        <v>0</v>
      </c>
      <c r="I2239" s="16" t="str">
        <f t="shared" si="34"/>
        <v>Zero Amount</v>
      </c>
      <c r="J2239" t="s">
        <v>39</v>
      </c>
    </row>
    <row r="2240" spans="1:10">
      <c r="A2240" t="s">
        <v>4620</v>
      </c>
      <c r="B2240" t="s">
        <v>926</v>
      </c>
      <c r="C2240" t="s">
        <v>2213</v>
      </c>
      <c r="D2240" s="9">
        <v>46100</v>
      </c>
      <c r="E2240" t="s">
        <v>2327</v>
      </c>
      <c r="F2240" s="20">
        <v>20</v>
      </c>
      <c r="G2240" t="s">
        <v>2345</v>
      </c>
      <c r="H2240">
        <v>1500</v>
      </c>
      <c r="I2240" s="16" t="str">
        <f t="shared" si="34"/>
        <v>Normal</v>
      </c>
      <c r="J2240">
        <v>3</v>
      </c>
    </row>
    <row r="2241" spans="1:10">
      <c r="A2241" t="s">
        <v>4621</v>
      </c>
      <c r="B2241" t="s">
        <v>2119</v>
      </c>
      <c r="C2241" t="s">
        <v>2259</v>
      </c>
      <c r="D2241" s="9">
        <v>45805</v>
      </c>
      <c r="E2241" t="s">
        <v>2337</v>
      </c>
      <c r="F2241" s="20">
        <v>5</v>
      </c>
      <c r="G2241" t="s">
        <v>2325</v>
      </c>
      <c r="H2241">
        <v>0</v>
      </c>
      <c r="I2241" s="16" t="str">
        <f t="shared" si="34"/>
        <v>Zero Amount</v>
      </c>
      <c r="J2241" t="s">
        <v>39</v>
      </c>
    </row>
    <row r="2242" spans="1:10">
      <c r="A2242" t="s">
        <v>4622</v>
      </c>
      <c r="B2242" t="s">
        <v>1552</v>
      </c>
      <c r="C2242" t="s">
        <v>2231</v>
      </c>
      <c r="D2242" s="9">
        <v>45249</v>
      </c>
      <c r="E2242" t="s">
        <v>23</v>
      </c>
      <c r="G2242" t="s">
        <v>2328</v>
      </c>
      <c r="H2242">
        <v>3000</v>
      </c>
      <c r="I2242" s="16" t="str">
        <f t="shared" si="34"/>
        <v>Normal</v>
      </c>
      <c r="J2242" t="s">
        <v>39</v>
      </c>
    </row>
    <row r="2243" spans="1:10">
      <c r="A2243" t="s">
        <v>4623</v>
      </c>
      <c r="B2243" t="s">
        <v>1552</v>
      </c>
      <c r="C2243" t="s">
        <v>2233</v>
      </c>
      <c r="D2243" s="9">
        <v>45304</v>
      </c>
      <c r="E2243" t="s">
        <v>2324</v>
      </c>
      <c r="F2243" s="20">
        <v>10</v>
      </c>
      <c r="G2243" t="s">
        <v>2328</v>
      </c>
      <c r="H2243">
        <v>2500</v>
      </c>
      <c r="I2243" s="16" t="str">
        <f t="shared" ref="I2243:I2306" si="35">IF(H2243="", "Unknown", IF(H2243=0, "Zero Amount", IF(H2243&lt;1, "Review", IF(H2243&gt;1, "Normal"))))</f>
        <v>Normal</v>
      </c>
      <c r="J2243" t="s">
        <v>39</v>
      </c>
    </row>
    <row r="2244" spans="1:10">
      <c r="A2244" t="s">
        <v>4624</v>
      </c>
      <c r="B2244" t="s">
        <v>922</v>
      </c>
      <c r="C2244" t="s">
        <v>2218</v>
      </c>
      <c r="D2244" s="9">
        <v>45329</v>
      </c>
      <c r="E2244" t="s">
        <v>2330</v>
      </c>
      <c r="F2244" s="20">
        <v>100</v>
      </c>
      <c r="G2244" t="s">
        <v>2339</v>
      </c>
      <c r="H2244">
        <v>1500</v>
      </c>
      <c r="I2244" s="16" t="str">
        <f t="shared" si="35"/>
        <v>Normal</v>
      </c>
      <c r="J2244" t="s">
        <v>39</v>
      </c>
    </row>
    <row r="2245" spans="1:10">
      <c r="A2245" t="s">
        <v>4625</v>
      </c>
      <c r="B2245" t="s">
        <v>527</v>
      </c>
      <c r="C2245" t="s">
        <v>2253</v>
      </c>
      <c r="D2245" s="9">
        <v>45575</v>
      </c>
      <c r="E2245" t="s">
        <v>2330</v>
      </c>
      <c r="F2245" s="20">
        <v>100</v>
      </c>
      <c r="G2245" t="s">
        <v>2345</v>
      </c>
      <c r="H2245">
        <v>1200</v>
      </c>
      <c r="I2245" s="16" t="str">
        <f t="shared" si="35"/>
        <v>Normal</v>
      </c>
      <c r="J2245">
        <v>2</v>
      </c>
    </row>
    <row r="2246" spans="1:10">
      <c r="A2246" t="s">
        <v>4626</v>
      </c>
      <c r="B2246" t="s">
        <v>305</v>
      </c>
      <c r="C2246" t="s">
        <v>2271</v>
      </c>
      <c r="D2246" s="9">
        <v>45470</v>
      </c>
      <c r="E2246" t="s">
        <v>23</v>
      </c>
      <c r="G2246" t="s">
        <v>2328</v>
      </c>
      <c r="H2246">
        <v>1200</v>
      </c>
      <c r="I2246" s="16" t="str">
        <f t="shared" si="35"/>
        <v>Normal</v>
      </c>
      <c r="J2246">
        <v>4</v>
      </c>
    </row>
    <row r="2247" spans="1:10">
      <c r="A2247" t="s">
        <v>4627</v>
      </c>
      <c r="B2247" t="s">
        <v>1809</v>
      </c>
      <c r="C2247" t="s">
        <v>2228</v>
      </c>
      <c r="D2247" s="9">
        <v>45814</v>
      </c>
      <c r="E2247" t="s">
        <v>2330</v>
      </c>
      <c r="F2247" s="20">
        <v>100</v>
      </c>
      <c r="G2247" t="s">
        <v>23</v>
      </c>
      <c r="H2247">
        <v>799</v>
      </c>
      <c r="I2247" s="16" t="str">
        <f t="shared" si="35"/>
        <v>Normal</v>
      </c>
      <c r="J2247" t="s">
        <v>39</v>
      </c>
    </row>
    <row r="2248" spans="1:10">
      <c r="A2248" t="s">
        <v>4628</v>
      </c>
      <c r="B2248" t="s">
        <v>302</v>
      </c>
      <c r="C2248" t="s">
        <v>2225</v>
      </c>
      <c r="D2248" s="9">
        <v>45564</v>
      </c>
      <c r="E2248" t="s">
        <v>2330</v>
      </c>
      <c r="G2248" t="s">
        <v>2331</v>
      </c>
      <c r="I2248" s="16" t="str">
        <f t="shared" si="35"/>
        <v>Unknown</v>
      </c>
      <c r="J2248">
        <v>2</v>
      </c>
    </row>
    <row r="2249" spans="1:10">
      <c r="A2249" t="s">
        <v>4629</v>
      </c>
      <c r="B2249" t="s">
        <v>1043</v>
      </c>
      <c r="C2249" t="s">
        <v>2222</v>
      </c>
      <c r="D2249" s="9">
        <v>45410</v>
      </c>
      <c r="E2249" t="s">
        <v>2327</v>
      </c>
      <c r="F2249" s="20">
        <v>5</v>
      </c>
      <c r="G2249" t="s">
        <v>2331</v>
      </c>
      <c r="H2249">
        <v>0</v>
      </c>
      <c r="I2249" s="16" t="str">
        <f t="shared" si="35"/>
        <v>Zero Amount</v>
      </c>
      <c r="J2249">
        <v>1</v>
      </c>
    </row>
    <row r="2250" spans="1:10">
      <c r="A2250" t="s">
        <v>4630</v>
      </c>
      <c r="B2250" t="s">
        <v>270</v>
      </c>
      <c r="C2250" t="s">
        <v>2235</v>
      </c>
      <c r="D2250" s="9">
        <v>45521</v>
      </c>
      <c r="E2250" t="s">
        <v>2337</v>
      </c>
      <c r="F2250" s="20">
        <v>15</v>
      </c>
      <c r="G2250" t="s">
        <v>2339</v>
      </c>
      <c r="I2250" s="16" t="str">
        <f t="shared" si="35"/>
        <v>Unknown</v>
      </c>
      <c r="J2250">
        <v>4</v>
      </c>
    </row>
    <row r="2251" spans="1:10">
      <c r="A2251" t="s">
        <v>4631</v>
      </c>
      <c r="B2251" t="s">
        <v>1411</v>
      </c>
      <c r="C2251" t="s">
        <v>2267</v>
      </c>
      <c r="D2251" s="9">
        <v>45998</v>
      </c>
      <c r="E2251" t="s">
        <v>2324</v>
      </c>
      <c r="F2251" s="20">
        <v>60</v>
      </c>
      <c r="G2251" t="s">
        <v>2339</v>
      </c>
      <c r="H2251">
        <v>999.99</v>
      </c>
      <c r="I2251" s="16" t="str">
        <f t="shared" si="35"/>
        <v>Normal</v>
      </c>
      <c r="J2251">
        <v>4</v>
      </c>
    </row>
    <row r="2252" spans="1:10">
      <c r="A2252" t="s">
        <v>4632</v>
      </c>
      <c r="B2252" t="s">
        <v>1422</v>
      </c>
      <c r="C2252" t="s">
        <v>2213</v>
      </c>
      <c r="D2252" s="9">
        <v>45136</v>
      </c>
      <c r="E2252" t="s">
        <v>2324</v>
      </c>
      <c r="F2252" s="20">
        <v>75</v>
      </c>
      <c r="G2252" t="s">
        <v>2331</v>
      </c>
      <c r="H2252">
        <v>1500</v>
      </c>
      <c r="I2252" s="16" t="str">
        <f t="shared" si="35"/>
        <v>Normal</v>
      </c>
      <c r="J2252">
        <v>4</v>
      </c>
    </row>
    <row r="2253" spans="1:10">
      <c r="A2253" t="s">
        <v>4633</v>
      </c>
      <c r="B2253" t="s">
        <v>1339</v>
      </c>
      <c r="C2253" t="s">
        <v>2247</v>
      </c>
      <c r="D2253" s="9">
        <v>46148</v>
      </c>
      <c r="E2253" t="s">
        <v>2327</v>
      </c>
      <c r="F2253" s="20">
        <v>20</v>
      </c>
      <c r="G2253" t="s">
        <v>2345</v>
      </c>
      <c r="I2253" s="16" t="str">
        <f t="shared" si="35"/>
        <v>Unknown</v>
      </c>
      <c r="J2253">
        <v>5</v>
      </c>
    </row>
    <row r="2254" spans="1:10">
      <c r="A2254" t="s">
        <v>4634</v>
      </c>
      <c r="B2254" t="s">
        <v>376</v>
      </c>
      <c r="C2254" t="s">
        <v>2222</v>
      </c>
      <c r="D2254" s="9">
        <v>45560</v>
      </c>
      <c r="E2254" t="s">
        <v>2330</v>
      </c>
      <c r="F2254" s="20">
        <v>100</v>
      </c>
      <c r="G2254" t="s">
        <v>2331</v>
      </c>
      <c r="H2254">
        <v>0</v>
      </c>
      <c r="I2254" s="16" t="str">
        <f t="shared" si="35"/>
        <v>Zero Amount</v>
      </c>
      <c r="J2254" t="s">
        <v>39</v>
      </c>
    </row>
    <row r="2255" spans="1:10">
      <c r="A2255" t="s">
        <v>4635</v>
      </c>
      <c r="B2255" t="s">
        <v>28</v>
      </c>
      <c r="C2255" t="s">
        <v>2209</v>
      </c>
      <c r="D2255" s="9">
        <v>45277</v>
      </c>
      <c r="E2255" t="s">
        <v>2324</v>
      </c>
      <c r="F2255" s="20">
        <v>40</v>
      </c>
      <c r="G2255" t="s">
        <v>2325</v>
      </c>
      <c r="H2255">
        <v>499</v>
      </c>
      <c r="I2255" s="16" t="str">
        <f t="shared" si="35"/>
        <v>Normal</v>
      </c>
      <c r="J2255" t="s">
        <v>39</v>
      </c>
    </row>
    <row r="2256" spans="1:10">
      <c r="A2256" t="s">
        <v>4636</v>
      </c>
      <c r="B2256" t="s">
        <v>1034</v>
      </c>
      <c r="C2256" t="s">
        <v>2261</v>
      </c>
      <c r="D2256" s="9">
        <v>45845</v>
      </c>
      <c r="E2256" t="s">
        <v>2330</v>
      </c>
      <c r="G2256" t="s">
        <v>2339</v>
      </c>
      <c r="I2256" s="16" t="str">
        <f t="shared" si="35"/>
        <v>Unknown</v>
      </c>
      <c r="J2256">
        <v>5</v>
      </c>
    </row>
    <row r="2257" spans="1:10">
      <c r="A2257" t="s">
        <v>4637</v>
      </c>
      <c r="B2257" t="s">
        <v>4638</v>
      </c>
      <c r="C2257" t="s">
        <v>2244</v>
      </c>
      <c r="D2257" s="9">
        <v>46012</v>
      </c>
      <c r="E2257" t="s">
        <v>2330</v>
      </c>
      <c r="F2257" s="20">
        <v>100</v>
      </c>
      <c r="G2257" t="s">
        <v>23</v>
      </c>
      <c r="H2257">
        <v>1200</v>
      </c>
      <c r="I2257" s="16" t="str">
        <f t="shared" si="35"/>
        <v>Normal</v>
      </c>
      <c r="J2257">
        <v>4</v>
      </c>
    </row>
    <row r="2258" spans="1:10">
      <c r="A2258" t="s">
        <v>4639</v>
      </c>
      <c r="B2258" t="s">
        <v>922</v>
      </c>
      <c r="C2258" t="s">
        <v>2216</v>
      </c>
      <c r="D2258" s="9">
        <v>45607</v>
      </c>
      <c r="E2258" t="s">
        <v>2330</v>
      </c>
      <c r="G2258" t="s">
        <v>2331</v>
      </c>
      <c r="H2258">
        <v>1200</v>
      </c>
      <c r="I2258" s="16" t="str">
        <f t="shared" si="35"/>
        <v>Normal</v>
      </c>
      <c r="J2258">
        <v>3</v>
      </c>
    </row>
    <row r="2259" spans="1:10">
      <c r="A2259" t="s">
        <v>4640</v>
      </c>
      <c r="B2259" t="s">
        <v>1401</v>
      </c>
      <c r="C2259" t="s">
        <v>2253</v>
      </c>
      <c r="D2259" s="9">
        <v>45188</v>
      </c>
      <c r="E2259" t="s">
        <v>2330</v>
      </c>
      <c r="G2259" t="s">
        <v>2339</v>
      </c>
      <c r="H2259">
        <v>1200</v>
      </c>
      <c r="I2259" s="16" t="str">
        <f t="shared" si="35"/>
        <v>Normal</v>
      </c>
      <c r="J2259">
        <v>4</v>
      </c>
    </row>
    <row r="2260" spans="1:10">
      <c r="A2260" t="s">
        <v>4641</v>
      </c>
      <c r="B2260" t="s">
        <v>1347</v>
      </c>
      <c r="C2260" t="s">
        <v>2198</v>
      </c>
      <c r="D2260" s="9">
        <v>45849</v>
      </c>
      <c r="E2260" t="s">
        <v>2330</v>
      </c>
      <c r="G2260" t="s">
        <v>23</v>
      </c>
      <c r="I2260" s="16" t="str">
        <f t="shared" si="35"/>
        <v>Unknown</v>
      </c>
      <c r="J2260">
        <v>4</v>
      </c>
    </row>
    <row r="2261" spans="1:10">
      <c r="A2261" t="s">
        <v>4642</v>
      </c>
      <c r="B2261" t="s">
        <v>1544</v>
      </c>
      <c r="C2261" t="s">
        <v>2267</v>
      </c>
      <c r="D2261" s="9">
        <v>45209</v>
      </c>
      <c r="E2261" t="s">
        <v>2330</v>
      </c>
      <c r="F2261" s="20">
        <v>100</v>
      </c>
      <c r="G2261" t="s">
        <v>2345</v>
      </c>
      <c r="H2261">
        <v>865.03</v>
      </c>
      <c r="I2261" s="16" t="str">
        <f t="shared" si="35"/>
        <v>Normal</v>
      </c>
      <c r="J2261" t="s">
        <v>39</v>
      </c>
    </row>
    <row r="2262" spans="1:10">
      <c r="A2262" t="s">
        <v>4643</v>
      </c>
      <c r="B2262" t="s">
        <v>1103</v>
      </c>
      <c r="C2262" t="s">
        <v>2187</v>
      </c>
      <c r="D2262" s="9">
        <v>46043</v>
      </c>
      <c r="E2262" t="s">
        <v>2324</v>
      </c>
      <c r="F2262" s="20">
        <v>40</v>
      </c>
      <c r="G2262" t="s">
        <v>2328</v>
      </c>
      <c r="H2262">
        <v>799</v>
      </c>
      <c r="I2262" s="16" t="str">
        <f t="shared" si="35"/>
        <v>Normal</v>
      </c>
      <c r="J2262">
        <v>1</v>
      </c>
    </row>
    <row r="2263" spans="1:10">
      <c r="A2263" t="s">
        <v>4644</v>
      </c>
      <c r="B2263" t="s">
        <v>1586</v>
      </c>
      <c r="C2263" t="s">
        <v>2202</v>
      </c>
      <c r="D2263" s="9">
        <v>45978</v>
      </c>
      <c r="E2263" t="s">
        <v>2330</v>
      </c>
      <c r="F2263" s="20">
        <v>100</v>
      </c>
      <c r="G2263" t="s">
        <v>2331</v>
      </c>
      <c r="H2263">
        <v>999.99</v>
      </c>
      <c r="I2263" s="16" t="str">
        <f t="shared" si="35"/>
        <v>Normal</v>
      </c>
      <c r="J2263" t="s">
        <v>39</v>
      </c>
    </row>
    <row r="2264" spans="1:10">
      <c r="A2264" t="s">
        <v>4645</v>
      </c>
      <c r="B2264" t="s">
        <v>1864</v>
      </c>
      <c r="C2264" t="s">
        <v>2193</v>
      </c>
      <c r="D2264" s="9">
        <v>45111</v>
      </c>
      <c r="E2264" t="s">
        <v>2324</v>
      </c>
      <c r="F2264" s="20">
        <v>75</v>
      </c>
      <c r="G2264" t="s">
        <v>2325</v>
      </c>
      <c r="H2264">
        <v>0</v>
      </c>
      <c r="I2264" s="16" t="str">
        <f t="shared" si="35"/>
        <v>Zero Amount</v>
      </c>
      <c r="J2264">
        <v>5</v>
      </c>
    </row>
    <row r="2265" spans="1:10">
      <c r="A2265" t="s">
        <v>4646</v>
      </c>
      <c r="B2265" t="s">
        <v>354</v>
      </c>
      <c r="C2265" t="s">
        <v>2222</v>
      </c>
      <c r="D2265" s="9">
        <v>45447</v>
      </c>
      <c r="E2265" t="s">
        <v>2324</v>
      </c>
      <c r="F2265" s="20">
        <v>40</v>
      </c>
      <c r="G2265" t="s">
        <v>2345</v>
      </c>
      <c r="H2265">
        <v>0</v>
      </c>
      <c r="I2265" s="16" t="str">
        <f t="shared" si="35"/>
        <v>Zero Amount</v>
      </c>
      <c r="J2265" t="s">
        <v>39</v>
      </c>
    </row>
    <row r="2266" spans="1:10">
      <c r="A2266" t="s">
        <v>4647</v>
      </c>
      <c r="B2266" t="s">
        <v>878</v>
      </c>
      <c r="C2266" t="s">
        <v>2233</v>
      </c>
      <c r="D2266" s="9">
        <v>45964</v>
      </c>
      <c r="E2266" t="s">
        <v>2337</v>
      </c>
      <c r="F2266" s="20">
        <v>5</v>
      </c>
      <c r="G2266" t="s">
        <v>2345</v>
      </c>
      <c r="I2266" s="16" t="str">
        <f t="shared" si="35"/>
        <v>Unknown</v>
      </c>
      <c r="J2266" t="s">
        <v>39</v>
      </c>
    </row>
    <row r="2267" spans="1:10">
      <c r="A2267" t="s">
        <v>4648</v>
      </c>
      <c r="B2267" t="s">
        <v>1802</v>
      </c>
      <c r="C2267" t="s">
        <v>2264</v>
      </c>
      <c r="D2267" s="9">
        <v>45518</v>
      </c>
      <c r="E2267" t="s">
        <v>2324</v>
      </c>
      <c r="F2267" s="20">
        <v>60</v>
      </c>
      <c r="G2267" t="s">
        <v>2328</v>
      </c>
      <c r="H2267">
        <v>-2500</v>
      </c>
      <c r="I2267" s="16" t="str">
        <f t="shared" si="35"/>
        <v>Review</v>
      </c>
      <c r="J2267">
        <v>5</v>
      </c>
    </row>
    <row r="2268" spans="1:10">
      <c r="A2268" t="s">
        <v>4649</v>
      </c>
      <c r="B2268" t="s">
        <v>1945</v>
      </c>
      <c r="C2268" t="s">
        <v>2225</v>
      </c>
      <c r="D2268" s="9">
        <v>45596</v>
      </c>
      <c r="E2268" t="s">
        <v>2330</v>
      </c>
      <c r="G2268" t="s">
        <v>23</v>
      </c>
      <c r="I2268" s="16" t="str">
        <f t="shared" si="35"/>
        <v>Unknown</v>
      </c>
      <c r="J2268" t="s">
        <v>39</v>
      </c>
    </row>
    <row r="2269" spans="1:10">
      <c r="A2269" t="s">
        <v>4650</v>
      </c>
      <c r="B2269" t="s">
        <v>239</v>
      </c>
      <c r="C2269" t="s">
        <v>2233</v>
      </c>
      <c r="D2269" s="9">
        <v>45630</v>
      </c>
      <c r="E2269" t="s">
        <v>2330</v>
      </c>
      <c r="F2269" s="20">
        <v>100</v>
      </c>
      <c r="G2269" t="s">
        <v>2325</v>
      </c>
      <c r="H2269">
        <v>1806.63</v>
      </c>
      <c r="I2269" s="16" t="str">
        <f t="shared" si="35"/>
        <v>Normal</v>
      </c>
      <c r="J2269" t="s">
        <v>39</v>
      </c>
    </row>
    <row r="2270" spans="1:10">
      <c r="A2270" t="s">
        <v>4651</v>
      </c>
      <c r="B2270" t="s">
        <v>936</v>
      </c>
      <c r="C2270" t="s">
        <v>2273</v>
      </c>
      <c r="D2270" s="9">
        <v>46150</v>
      </c>
      <c r="E2270" t="s">
        <v>2324</v>
      </c>
      <c r="F2270" s="20">
        <v>40</v>
      </c>
      <c r="G2270" t="s">
        <v>2325</v>
      </c>
      <c r="H2270">
        <v>799</v>
      </c>
      <c r="I2270" s="16" t="str">
        <f t="shared" si="35"/>
        <v>Normal</v>
      </c>
      <c r="J2270">
        <v>2</v>
      </c>
    </row>
    <row r="2271" spans="1:10">
      <c r="A2271" t="s">
        <v>4652</v>
      </c>
      <c r="B2271" t="s">
        <v>75</v>
      </c>
      <c r="C2271" t="s">
        <v>2231</v>
      </c>
      <c r="D2271" s="9">
        <v>45538</v>
      </c>
      <c r="E2271" t="s">
        <v>2330</v>
      </c>
      <c r="F2271" s="20">
        <v>100</v>
      </c>
      <c r="G2271" t="s">
        <v>2339</v>
      </c>
      <c r="I2271" s="16" t="str">
        <f t="shared" si="35"/>
        <v>Unknown</v>
      </c>
      <c r="J2271" t="s">
        <v>39</v>
      </c>
    </row>
    <row r="2272" spans="1:10">
      <c r="A2272" t="s">
        <v>4653</v>
      </c>
      <c r="B2272" t="s">
        <v>1864</v>
      </c>
      <c r="C2272" t="s">
        <v>2233</v>
      </c>
      <c r="D2272" s="9">
        <v>45943</v>
      </c>
      <c r="E2272" t="s">
        <v>2324</v>
      </c>
      <c r="F2272" s="20">
        <v>75</v>
      </c>
      <c r="G2272" t="s">
        <v>2339</v>
      </c>
      <c r="H2272">
        <v>-2500</v>
      </c>
      <c r="I2272" s="16" t="str">
        <f t="shared" si="35"/>
        <v>Review</v>
      </c>
      <c r="J2272" t="s">
        <v>39</v>
      </c>
    </row>
    <row r="2273" spans="1:10">
      <c r="A2273" t="s">
        <v>4654</v>
      </c>
      <c r="B2273" t="s">
        <v>660</v>
      </c>
      <c r="C2273" t="s">
        <v>2222</v>
      </c>
      <c r="D2273" s="9">
        <v>45430</v>
      </c>
      <c r="E2273" t="s">
        <v>2324</v>
      </c>
      <c r="F2273" s="20">
        <v>10</v>
      </c>
      <c r="G2273" t="s">
        <v>2345</v>
      </c>
      <c r="H2273">
        <v>0</v>
      </c>
      <c r="I2273" s="16" t="str">
        <f t="shared" si="35"/>
        <v>Zero Amount</v>
      </c>
      <c r="J2273">
        <v>2</v>
      </c>
    </row>
    <row r="2274" spans="1:10">
      <c r="A2274" t="s">
        <v>4655</v>
      </c>
      <c r="B2274" t="s">
        <v>1508</v>
      </c>
      <c r="C2274" t="s">
        <v>2233</v>
      </c>
      <c r="D2274" s="9">
        <v>45381</v>
      </c>
      <c r="E2274" t="s">
        <v>2330</v>
      </c>
      <c r="F2274" s="20">
        <v>100</v>
      </c>
      <c r="G2274" t="s">
        <v>2345</v>
      </c>
      <c r="H2274">
        <v>2500</v>
      </c>
      <c r="I2274" s="16" t="str">
        <f t="shared" si="35"/>
        <v>Normal</v>
      </c>
      <c r="J2274" t="s">
        <v>39</v>
      </c>
    </row>
    <row r="2275" spans="1:10">
      <c r="A2275" t="s">
        <v>4656</v>
      </c>
      <c r="B2275" t="s">
        <v>1210</v>
      </c>
      <c r="C2275" t="s">
        <v>2259</v>
      </c>
      <c r="D2275" s="9">
        <v>45792</v>
      </c>
      <c r="E2275" t="s">
        <v>2327</v>
      </c>
      <c r="F2275" s="20">
        <v>0</v>
      </c>
      <c r="G2275" t="s">
        <v>2328</v>
      </c>
      <c r="H2275">
        <v>0</v>
      </c>
      <c r="I2275" s="16" t="str">
        <f t="shared" si="35"/>
        <v>Zero Amount</v>
      </c>
      <c r="J2275" t="s">
        <v>39</v>
      </c>
    </row>
    <row r="2276" spans="1:10">
      <c r="A2276" t="s">
        <v>4657</v>
      </c>
      <c r="B2276" t="s">
        <v>1582</v>
      </c>
      <c r="C2276" t="s">
        <v>2271</v>
      </c>
      <c r="D2276" s="9">
        <v>45759</v>
      </c>
      <c r="E2276" t="s">
        <v>2330</v>
      </c>
      <c r="F2276" s="20">
        <v>100</v>
      </c>
      <c r="G2276" t="s">
        <v>2339</v>
      </c>
      <c r="H2276">
        <v>1200</v>
      </c>
      <c r="I2276" s="16" t="str">
        <f t="shared" si="35"/>
        <v>Normal</v>
      </c>
      <c r="J2276">
        <v>5</v>
      </c>
    </row>
    <row r="2277" spans="1:10">
      <c r="A2277" t="s">
        <v>4658</v>
      </c>
      <c r="B2277" t="s">
        <v>538</v>
      </c>
      <c r="C2277" t="s">
        <v>2218</v>
      </c>
      <c r="D2277" s="9">
        <v>45977</v>
      </c>
      <c r="E2277" t="s">
        <v>2330</v>
      </c>
      <c r="F2277" s="20">
        <v>100</v>
      </c>
      <c r="G2277" t="s">
        <v>2339</v>
      </c>
      <c r="H2277">
        <v>781.19</v>
      </c>
      <c r="I2277" s="16" t="str">
        <f t="shared" si="35"/>
        <v>Normal</v>
      </c>
      <c r="J2277">
        <v>3</v>
      </c>
    </row>
    <row r="2278" spans="1:10">
      <c r="A2278" t="s">
        <v>4659</v>
      </c>
      <c r="B2278" t="s">
        <v>713</v>
      </c>
      <c r="C2278" t="s">
        <v>2253</v>
      </c>
      <c r="D2278" s="9">
        <v>45591</v>
      </c>
      <c r="E2278" t="s">
        <v>2330</v>
      </c>
      <c r="F2278" s="20">
        <v>100</v>
      </c>
      <c r="G2278" t="s">
        <v>2345</v>
      </c>
      <c r="H2278">
        <v>1200</v>
      </c>
      <c r="I2278" s="16" t="str">
        <f t="shared" si="35"/>
        <v>Normal</v>
      </c>
      <c r="J2278">
        <v>3</v>
      </c>
    </row>
    <row r="2279" spans="1:10">
      <c r="A2279" t="s">
        <v>4660</v>
      </c>
      <c r="B2279" t="s">
        <v>387</v>
      </c>
      <c r="C2279" t="s">
        <v>2253</v>
      </c>
      <c r="D2279" s="9">
        <v>45506</v>
      </c>
      <c r="E2279" t="s">
        <v>2330</v>
      </c>
      <c r="F2279" s="20">
        <v>100</v>
      </c>
      <c r="G2279" t="s">
        <v>2325</v>
      </c>
      <c r="H2279">
        <v>659.94</v>
      </c>
      <c r="I2279" s="16" t="str">
        <f t="shared" si="35"/>
        <v>Normal</v>
      </c>
      <c r="J2279" t="s">
        <v>39</v>
      </c>
    </row>
    <row r="2280" spans="1:10">
      <c r="A2280" t="s">
        <v>4661</v>
      </c>
      <c r="B2280" t="s">
        <v>979</v>
      </c>
      <c r="C2280" t="s">
        <v>2244</v>
      </c>
      <c r="D2280" s="9">
        <v>45617</v>
      </c>
      <c r="E2280" t="s">
        <v>2330</v>
      </c>
      <c r="F2280" s="20">
        <v>100</v>
      </c>
      <c r="G2280" t="s">
        <v>2325</v>
      </c>
      <c r="H2280">
        <v>696.2</v>
      </c>
      <c r="I2280" s="16" t="str">
        <f t="shared" si="35"/>
        <v>Normal</v>
      </c>
      <c r="J2280">
        <v>1</v>
      </c>
    </row>
    <row r="2281" spans="1:10">
      <c r="A2281" t="s">
        <v>4662</v>
      </c>
      <c r="B2281" t="s">
        <v>874</v>
      </c>
      <c r="C2281" t="s">
        <v>2251</v>
      </c>
      <c r="D2281" s="9">
        <v>45465</v>
      </c>
      <c r="E2281" t="s">
        <v>2324</v>
      </c>
      <c r="F2281" s="20">
        <v>25</v>
      </c>
      <c r="G2281" t="s">
        <v>2331</v>
      </c>
      <c r="H2281">
        <v>1500</v>
      </c>
      <c r="I2281" s="16" t="str">
        <f t="shared" si="35"/>
        <v>Normal</v>
      </c>
      <c r="J2281">
        <v>5</v>
      </c>
    </row>
    <row r="2282" spans="1:10">
      <c r="A2282" t="s">
        <v>4663</v>
      </c>
      <c r="B2282" t="s">
        <v>824</v>
      </c>
      <c r="C2282" t="s">
        <v>2209</v>
      </c>
      <c r="D2282" s="9">
        <v>45684</v>
      </c>
      <c r="E2282" t="s">
        <v>2330</v>
      </c>
      <c r="G2282" t="s">
        <v>2328</v>
      </c>
      <c r="H2282">
        <v>499</v>
      </c>
      <c r="I2282" s="16" t="str">
        <f t="shared" si="35"/>
        <v>Normal</v>
      </c>
      <c r="J2282">
        <v>3</v>
      </c>
    </row>
    <row r="2283" spans="1:10">
      <c r="A2283" t="s">
        <v>4664</v>
      </c>
      <c r="B2283" t="s">
        <v>1079</v>
      </c>
      <c r="C2283" t="s">
        <v>2225</v>
      </c>
      <c r="D2283" s="9">
        <v>45497</v>
      </c>
      <c r="E2283" t="s">
        <v>2330</v>
      </c>
      <c r="F2283" s="20">
        <v>100</v>
      </c>
      <c r="G2283" t="s">
        <v>2328</v>
      </c>
      <c r="I2283" s="16" t="str">
        <f t="shared" si="35"/>
        <v>Unknown</v>
      </c>
      <c r="J2283">
        <v>2</v>
      </c>
    </row>
    <row r="2284" spans="1:10">
      <c r="A2284" t="s">
        <v>4665</v>
      </c>
      <c r="B2284" t="s">
        <v>1137</v>
      </c>
      <c r="C2284" t="s">
        <v>2261</v>
      </c>
      <c r="D2284" s="9">
        <v>45958</v>
      </c>
      <c r="E2284" t="s">
        <v>23</v>
      </c>
      <c r="G2284" t="s">
        <v>2339</v>
      </c>
      <c r="I2284" s="16" t="str">
        <f t="shared" si="35"/>
        <v>Unknown</v>
      </c>
      <c r="J2284">
        <v>4</v>
      </c>
    </row>
    <row r="2285" spans="1:10">
      <c r="A2285" t="s">
        <v>4666</v>
      </c>
      <c r="B2285" t="s">
        <v>1007</v>
      </c>
      <c r="C2285" t="s">
        <v>2247</v>
      </c>
      <c r="D2285" s="9">
        <v>46172</v>
      </c>
      <c r="E2285" t="s">
        <v>2337</v>
      </c>
      <c r="F2285" s="20">
        <v>20</v>
      </c>
      <c r="G2285" t="s">
        <v>2345</v>
      </c>
      <c r="I2285" s="16" t="str">
        <f t="shared" si="35"/>
        <v>Unknown</v>
      </c>
      <c r="J2285">
        <v>1</v>
      </c>
    </row>
    <row r="2286" spans="1:10">
      <c r="A2286" t="s">
        <v>4667</v>
      </c>
      <c r="B2286" t="s">
        <v>2151</v>
      </c>
      <c r="C2286" t="s">
        <v>2228</v>
      </c>
      <c r="D2286" s="9">
        <v>45680</v>
      </c>
      <c r="E2286" t="s">
        <v>2337</v>
      </c>
      <c r="F2286" s="20">
        <v>20</v>
      </c>
      <c r="G2286" t="s">
        <v>2325</v>
      </c>
      <c r="H2286">
        <v>799</v>
      </c>
      <c r="I2286" s="16" t="str">
        <f t="shared" si="35"/>
        <v>Normal</v>
      </c>
      <c r="J2286">
        <v>5</v>
      </c>
    </row>
    <row r="2287" spans="1:10">
      <c r="A2287" t="s">
        <v>4668</v>
      </c>
      <c r="B2287" t="s">
        <v>1054</v>
      </c>
      <c r="C2287" t="s">
        <v>2253</v>
      </c>
      <c r="D2287" s="9">
        <v>45518</v>
      </c>
      <c r="E2287" t="s">
        <v>2324</v>
      </c>
      <c r="F2287" s="20">
        <v>25</v>
      </c>
      <c r="G2287" t="s">
        <v>2325</v>
      </c>
      <c r="H2287">
        <v>1200</v>
      </c>
      <c r="I2287" s="16" t="str">
        <f t="shared" si="35"/>
        <v>Normal</v>
      </c>
      <c r="J2287">
        <v>4</v>
      </c>
    </row>
    <row r="2288" spans="1:10">
      <c r="A2288" t="s">
        <v>4669</v>
      </c>
      <c r="B2288" t="s">
        <v>1339</v>
      </c>
      <c r="C2288" t="s">
        <v>2231</v>
      </c>
      <c r="D2288" s="9">
        <v>45837</v>
      </c>
      <c r="E2288" t="s">
        <v>2324</v>
      </c>
      <c r="F2288" s="20">
        <v>75</v>
      </c>
      <c r="G2288" t="s">
        <v>2328</v>
      </c>
      <c r="H2288">
        <v>1662.12</v>
      </c>
      <c r="I2288" s="16" t="str">
        <f t="shared" si="35"/>
        <v>Normal</v>
      </c>
      <c r="J2288" t="s">
        <v>39</v>
      </c>
    </row>
    <row r="2289" spans="1:10">
      <c r="A2289" t="s">
        <v>4670</v>
      </c>
      <c r="B2289" t="s">
        <v>1389</v>
      </c>
      <c r="C2289" t="s">
        <v>2267</v>
      </c>
      <c r="D2289" s="9">
        <v>44969</v>
      </c>
      <c r="E2289" t="s">
        <v>2324</v>
      </c>
      <c r="F2289" s="20">
        <v>40</v>
      </c>
      <c r="G2289" t="s">
        <v>2328</v>
      </c>
      <c r="H2289">
        <v>999.99</v>
      </c>
      <c r="I2289" s="16" t="str">
        <f t="shared" si="35"/>
        <v>Normal</v>
      </c>
      <c r="J2289">
        <v>5</v>
      </c>
    </row>
    <row r="2290" spans="1:10">
      <c r="A2290" t="s">
        <v>4671</v>
      </c>
      <c r="B2290" t="s">
        <v>618</v>
      </c>
      <c r="C2290" t="s">
        <v>2228</v>
      </c>
      <c r="D2290" s="9">
        <v>45467</v>
      </c>
      <c r="E2290" t="s">
        <v>2330</v>
      </c>
      <c r="F2290" s="20">
        <v>100</v>
      </c>
      <c r="G2290" t="s">
        <v>2328</v>
      </c>
      <c r="H2290">
        <v>799</v>
      </c>
      <c r="I2290" s="16" t="str">
        <f t="shared" si="35"/>
        <v>Normal</v>
      </c>
      <c r="J2290">
        <v>4</v>
      </c>
    </row>
    <row r="2291" spans="1:10">
      <c r="A2291" t="s">
        <v>4672</v>
      </c>
      <c r="B2291" t="s">
        <v>1143</v>
      </c>
      <c r="C2291" t="s">
        <v>2202</v>
      </c>
      <c r="D2291" s="9">
        <v>46269</v>
      </c>
      <c r="E2291" t="s">
        <v>23</v>
      </c>
      <c r="G2291" t="s">
        <v>2328</v>
      </c>
      <c r="H2291">
        <v>999.99</v>
      </c>
      <c r="I2291" s="16" t="str">
        <f t="shared" si="35"/>
        <v>Normal</v>
      </c>
      <c r="J2291">
        <v>3</v>
      </c>
    </row>
    <row r="2292" spans="1:10">
      <c r="A2292" t="s">
        <v>4673</v>
      </c>
      <c r="B2292" t="s">
        <v>2143</v>
      </c>
      <c r="C2292" t="s">
        <v>2257</v>
      </c>
      <c r="D2292" s="9">
        <v>45744</v>
      </c>
      <c r="E2292" t="s">
        <v>2327</v>
      </c>
      <c r="F2292" s="20">
        <v>15</v>
      </c>
      <c r="G2292" t="s">
        <v>2345</v>
      </c>
      <c r="I2292" s="16" t="str">
        <f t="shared" si="35"/>
        <v>Unknown</v>
      </c>
      <c r="J2292">
        <v>5</v>
      </c>
    </row>
    <row r="2293" spans="1:10">
      <c r="A2293" t="s">
        <v>4674</v>
      </c>
      <c r="B2293" t="s">
        <v>1472</v>
      </c>
      <c r="C2293" t="s">
        <v>2233</v>
      </c>
      <c r="D2293" s="9">
        <v>45314</v>
      </c>
      <c r="E2293" t="s">
        <v>2324</v>
      </c>
      <c r="F2293" s="20">
        <v>75</v>
      </c>
      <c r="G2293" t="s">
        <v>2328</v>
      </c>
      <c r="H2293">
        <v>2500</v>
      </c>
      <c r="I2293" s="16" t="str">
        <f t="shared" si="35"/>
        <v>Normal</v>
      </c>
      <c r="J2293">
        <v>1</v>
      </c>
    </row>
    <row r="2294" spans="1:10">
      <c r="A2294" t="s">
        <v>4675</v>
      </c>
      <c r="B2294" t="s">
        <v>506</v>
      </c>
      <c r="C2294" t="s">
        <v>2261</v>
      </c>
      <c r="D2294" s="9">
        <v>45988</v>
      </c>
      <c r="E2294" t="s">
        <v>2324</v>
      </c>
      <c r="F2294" s="20">
        <v>75</v>
      </c>
      <c r="G2294" t="s">
        <v>2325</v>
      </c>
      <c r="I2294" s="16" t="str">
        <f t="shared" si="35"/>
        <v>Unknown</v>
      </c>
      <c r="J2294">
        <v>1</v>
      </c>
    </row>
    <row r="2295" spans="1:10">
      <c r="A2295" t="s">
        <v>4676</v>
      </c>
      <c r="B2295" t="s">
        <v>1452</v>
      </c>
      <c r="C2295" t="s">
        <v>2237</v>
      </c>
      <c r="D2295" s="9">
        <v>45895</v>
      </c>
      <c r="E2295" t="s">
        <v>2327</v>
      </c>
      <c r="F2295" s="20">
        <v>15</v>
      </c>
      <c r="G2295" t="s">
        <v>2331</v>
      </c>
      <c r="H2295">
        <v>1500</v>
      </c>
      <c r="I2295" s="16" t="str">
        <f t="shared" si="35"/>
        <v>Normal</v>
      </c>
      <c r="J2295" t="s">
        <v>39</v>
      </c>
    </row>
    <row r="2296" spans="1:10">
      <c r="A2296" t="s">
        <v>4677</v>
      </c>
      <c r="B2296" t="s">
        <v>615</v>
      </c>
      <c r="C2296" t="s">
        <v>2251</v>
      </c>
      <c r="D2296" s="9">
        <v>45596</v>
      </c>
      <c r="E2296" t="s">
        <v>2337</v>
      </c>
      <c r="F2296" s="20">
        <v>5</v>
      </c>
      <c r="G2296" t="s">
        <v>2331</v>
      </c>
      <c r="H2296">
        <v>1500</v>
      </c>
      <c r="I2296" s="16" t="str">
        <f t="shared" si="35"/>
        <v>Normal</v>
      </c>
      <c r="J2296">
        <v>5</v>
      </c>
    </row>
    <row r="2297" spans="1:10">
      <c r="A2297" t="s">
        <v>4678</v>
      </c>
      <c r="B2297" t="s">
        <v>1034</v>
      </c>
      <c r="C2297" t="s">
        <v>2213</v>
      </c>
      <c r="D2297" s="9">
        <v>45151</v>
      </c>
      <c r="E2297" t="s">
        <v>2330</v>
      </c>
      <c r="G2297" t="s">
        <v>2328</v>
      </c>
      <c r="H2297">
        <v>1500</v>
      </c>
      <c r="I2297" s="16" t="str">
        <f t="shared" si="35"/>
        <v>Normal</v>
      </c>
      <c r="J2297">
        <v>4</v>
      </c>
    </row>
    <row r="2298" spans="1:10">
      <c r="A2298" t="s">
        <v>4679</v>
      </c>
      <c r="B2298" t="s">
        <v>943</v>
      </c>
      <c r="C2298" t="s">
        <v>2253</v>
      </c>
      <c r="D2298" s="9">
        <v>45406</v>
      </c>
      <c r="E2298" t="s">
        <v>2330</v>
      </c>
      <c r="F2298" s="20">
        <v>100</v>
      </c>
      <c r="G2298" t="s">
        <v>2328</v>
      </c>
      <c r="H2298">
        <v>790.04</v>
      </c>
      <c r="I2298" s="16" t="str">
        <f t="shared" si="35"/>
        <v>Normal</v>
      </c>
      <c r="J2298">
        <v>4</v>
      </c>
    </row>
    <row r="2299" spans="1:10">
      <c r="A2299" t="s">
        <v>4680</v>
      </c>
      <c r="B2299" t="s">
        <v>1995</v>
      </c>
      <c r="C2299" t="s">
        <v>2205</v>
      </c>
      <c r="D2299" s="9">
        <v>44937</v>
      </c>
      <c r="E2299" t="s">
        <v>23</v>
      </c>
      <c r="G2299" t="s">
        <v>2331</v>
      </c>
      <c r="H2299">
        <v>1500</v>
      </c>
      <c r="I2299" s="16" t="str">
        <f t="shared" si="35"/>
        <v>Normal</v>
      </c>
      <c r="J2299">
        <v>4</v>
      </c>
    </row>
    <row r="2300" spans="1:10">
      <c r="A2300" t="s">
        <v>4681</v>
      </c>
      <c r="B2300" t="s">
        <v>1552</v>
      </c>
      <c r="C2300" t="s">
        <v>2202</v>
      </c>
      <c r="D2300" s="9">
        <v>45516</v>
      </c>
      <c r="E2300" t="s">
        <v>2330</v>
      </c>
      <c r="F2300" s="20">
        <v>100</v>
      </c>
      <c r="G2300" t="s">
        <v>2328</v>
      </c>
      <c r="H2300">
        <v>999.99</v>
      </c>
      <c r="I2300" s="16" t="str">
        <f t="shared" si="35"/>
        <v>Normal</v>
      </c>
      <c r="J2300">
        <v>5</v>
      </c>
    </row>
    <row r="2301" spans="1:10">
      <c r="A2301" t="s">
        <v>4682</v>
      </c>
      <c r="B2301" t="s">
        <v>1907</v>
      </c>
      <c r="C2301" t="s">
        <v>2251</v>
      </c>
      <c r="D2301" s="9">
        <v>45500</v>
      </c>
      <c r="E2301" t="s">
        <v>23</v>
      </c>
      <c r="G2301" t="s">
        <v>2345</v>
      </c>
      <c r="H2301">
        <v>1500</v>
      </c>
      <c r="I2301" s="16" t="str">
        <f t="shared" si="35"/>
        <v>Normal</v>
      </c>
      <c r="J2301" t="s">
        <v>39</v>
      </c>
    </row>
    <row r="2302" spans="1:10">
      <c r="A2302" t="s">
        <v>4683</v>
      </c>
      <c r="B2302" t="s">
        <v>1845</v>
      </c>
      <c r="C2302" t="s">
        <v>2264</v>
      </c>
      <c r="D2302" s="9">
        <v>46072</v>
      </c>
      <c r="E2302" t="s">
        <v>23</v>
      </c>
      <c r="G2302" t="s">
        <v>23</v>
      </c>
      <c r="H2302">
        <v>2500</v>
      </c>
      <c r="I2302" s="16" t="str">
        <f t="shared" si="35"/>
        <v>Normal</v>
      </c>
      <c r="J2302" t="s">
        <v>39</v>
      </c>
    </row>
    <row r="2303" spans="1:10">
      <c r="A2303" t="s">
        <v>4684</v>
      </c>
      <c r="B2303" t="s">
        <v>653</v>
      </c>
      <c r="C2303" t="s">
        <v>2261</v>
      </c>
      <c r="D2303" s="9">
        <v>45850</v>
      </c>
      <c r="E2303" t="s">
        <v>2324</v>
      </c>
      <c r="F2303" s="20">
        <v>40</v>
      </c>
      <c r="G2303" t="s">
        <v>23</v>
      </c>
      <c r="I2303" s="16" t="str">
        <f t="shared" si="35"/>
        <v>Unknown</v>
      </c>
      <c r="J2303">
        <v>5</v>
      </c>
    </row>
    <row r="2304" spans="1:10">
      <c r="A2304" t="s">
        <v>4685</v>
      </c>
      <c r="B2304" t="s">
        <v>2051</v>
      </c>
      <c r="C2304" t="s">
        <v>2271</v>
      </c>
      <c r="D2304" s="9">
        <v>45374</v>
      </c>
      <c r="E2304" t="s">
        <v>2330</v>
      </c>
      <c r="F2304" s="20">
        <v>100</v>
      </c>
      <c r="G2304" t="s">
        <v>2328</v>
      </c>
      <c r="H2304">
        <v>1200</v>
      </c>
      <c r="I2304" s="16" t="str">
        <f t="shared" si="35"/>
        <v>Normal</v>
      </c>
      <c r="J2304">
        <v>5</v>
      </c>
    </row>
    <row r="2305" spans="1:10">
      <c r="A2305" t="s">
        <v>4686</v>
      </c>
      <c r="B2305" t="s">
        <v>1047</v>
      </c>
      <c r="C2305" t="s">
        <v>2247</v>
      </c>
      <c r="D2305" s="9">
        <v>45467</v>
      </c>
      <c r="E2305" t="s">
        <v>2324</v>
      </c>
      <c r="F2305" s="20">
        <v>25</v>
      </c>
      <c r="G2305" t="s">
        <v>2328</v>
      </c>
      <c r="I2305" s="16" t="str">
        <f t="shared" si="35"/>
        <v>Unknown</v>
      </c>
      <c r="J2305" t="s">
        <v>39</v>
      </c>
    </row>
    <row r="2306" spans="1:10">
      <c r="A2306" t="s">
        <v>4687</v>
      </c>
      <c r="B2306" t="s">
        <v>758</v>
      </c>
      <c r="C2306" t="s">
        <v>2247</v>
      </c>
      <c r="D2306" s="9">
        <v>45570</v>
      </c>
      <c r="E2306" t="s">
        <v>23</v>
      </c>
      <c r="G2306" t="s">
        <v>2345</v>
      </c>
      <c r="I2306" s="16" t="str">
        <f t="shared" si="35"/>
        <v>Unknown</v>
      </c>
      <c r="J2306">
        <v>4</v>
      </c>
    </row>
    <row r="2307" spans="1:10">
      <c r="A2307" t="s">
        <v>4688</v>
      </c>
      <c r="B2307" t="s">
        <v>566</v>
      </c>
      <c r="C2307" t="s">
        <v>2259</v>
      </c>
      <c r="D2307" s="9">
        <v>45995</v>
      </c>
      <c r="E2307" t="s">
        <v>2327</v>
      </c>
      <c r="F2307" s="20">
        <v>20</v>
      </c>
      <c r="G2307" t="s">
        <v>2328</v>
      </c>
      <c r="H2307">
        <v>0</v>
      </c>
      <c r="I2307" s="16" t="str">
        <f t="shared" ref="I2307:I2370" si="36">IF(H2307="", "Unknown", IF(H2307=0, "Zero Amount", IF(H2307&lt;1, "Review", IF(H2307&gt;1, "Normal"))))</f>
        <v>Zero Amount</v>
      </c>
      <c r="J2307">
        <v>2</v>
      </c>
    </row>
    <row r="2308" spans="1:10">
      <c r="A2308" t="s">
        <v>4689</v>
      </c>
      <c r="B2308" t="s">
        <v>2528</v>
      </c>
      <c r="C2308" t="s">
        <v>2273</v>
      </c>
      <c r="D2308" s="9">
        <v>45692</v>
      </c>
      <c r="E2308" t="s">
        <v>2324</v>
      </c>
      <c r="F2308" s="20">
        <v>55</v>
      </c>
      <c r="G2308" t="s">
        <v>2345</v>
      </c>
      <c r="H2308">
        <v>799</v>
      </c>
      <c r="I2308" s="16" t="str">
        <f t="shared" si="36"/>
        <v>Normal</v>
      </c>
      <c r="J2308" t="s">
        <v>39</v>
      </c>
    </row>
    <row r="2309" spans="1:10">
      <c r="A2309" t="s">
        <v>4690</v>
      </c>
      <c r="B2309" t="s">
        <v>71</v>
      </c>
      <c r="C2309" t="s">
        <v>2213</v>
      </c>
      <c r="D2309" s="9">
        <v>45323</v>
      </c>
      <c r="E2309" t="s">
        <v>2330</v>
      </c>
      <c r="G2309" t="s">
        <v>2331</v>
      </c>
      <c r="H2309">
        <v>1500</v>
      </c>
      <c r="I2309" s="16" t="str">
        <f t="shared" si="36"/>
        <v>Normal</v>
      </c>
      <c r="J2309">
        <v>5</v>
      </c>
    </row>
    <row r="2310" spans="1:10">
      <c r="A2310" t="s">
        <v>4691</v>
      </c>
      <c r="B2310" t="s">
        <v>442</v>
      </c>
      <c r="C2310" t="s">
        <v>2209</v>
      </c>
      <c r="D2310" s="9">
        <v>45489</v>
      </c>
      <c r="E2310" t="s">
        <v>2337</v>
      </c>
      <c r="F2310" s="20">
        <v>20</v>
      </c>
      <c r="G2310" t="s">
        <v>2331</v>
      </c>
      <c r="H2310">
        <v>499</v>
      </c>
      <c r="I2310" s="16" t="str">
        <f t="shared" si="36"/>
        <v>Normal</v>
      </c>
      <c r="J2310">
        <v>2</v>
      </c>
    </row>
    <row r="2311" spans="1:10">
      <c r="A2311" t="s">
        <v>4692</v>
      </c>
      <c r="B2311" t="s">
        <v>1528</v>
      </c>
      <c r="C2311" t="s">
        <v>2235</v>
      </c>
      <c r="D2311" s="9">
        <v>45117</v>
      </c>
      <c r="E2311" t="s">
        <v>2330</v>
      </c>
      <c r="F2311" s="20">
        <v>100</v>
      </c>
      <c r="G2311" t="s">
        <v>2325</v>
      </c>
      <c r="H2311">
        <v>3000</v>
      </c>
      <c r="I2311" s="16" t="str">
        <f t="shared" si="36"/>
        <v>Normal</v>
      </c>
      <c r="J2311">
        <v>4</v>
      </c>
    </row>
    <row r="2312" spans="1:10">
      <c r="A2312" t="s">
        <v>4693</v>
      </c>
      <c r="B2312" t="s">
        <v>840</v>
      </c>
      <c r="C2312" t="s">
        <v>2225</v>
      </c>
      <c r="D2312" s="9">
        <v>45453</v>
      </c>
      <c r="E2312" t="s">
        <v>2324</v>
      </c>
      <c r="F2312" s="20">
        <v>10</v>
      </c>
      <c r="G2312" t="s">
        <v>2331</v>
      </c>
      <c r="I2312" s="16" t="str">
        <f t="shared" si="36"/>
        <v>Unknown</v>
      </c>
      <c r="J2312" t="s">
        <v>39</v>
      </c>
    </row>
    <row r="2313" spans="1:10">
      <c r="A2313" t="s">
        <v>4694</v>
      </c>
      <c r="B2313" t="s">
        <v>664</v>
      </c>
      <c r="C2313" t="s">
        <v>2228</v>
      </c>
      <c r="D2313" s="9">
        <v>45795</v>
      </c>
      <c r="E2313" t="s">
        <v>2330</v>
      </c>
      <c r="F2313" s="20">
        <v>100</v>
      </c>
      <c r="G2313" t="s">
        <v>2325</v>
      </c>
      <c r="H2313">
        <v>799</v>
      </c>
      <c r="I2313" s="16" t="str">
        <f t="shared" si="36"/>
        <v>Normal</v>
      </c>
      <c r="J2313" t="s">
        <v>39</v>
      </c>
    </row>
    <row r="2314" spans="1:10">
      <c r="A2314" t="s">
        <v>4695</v>
      </c>
      <c r="B2314" t="s">
        <v>2097</v>
      </c>
      <c r="C2314" t="s">
        <v>2249</v>
      </c>
      <c r="D2314" s="9">
        <v>45720</v>
      </c>
      <c r="E2314" t="s">
        <v>2330</v>
      </c>
      <c r="F2314" s="20">
        <v>100</v>
      </c>
      <c r="G2314" t="s">
        <v>2325</v>
      </c>
      <c r="H2314">
        <v>1500</v>
      </c>
      <c r="I2314" s="16" t="str">
        <f t="shared" si="36"/>
        <v>Normal</v>
      </c>
      <c r="J2314" t="s">
        <v>39</v>
      </c>
    </row>
    <row r="2315" spans="1:10">
      <c r="A2315" t="s">
        <v>4696</v>
      </c>
      <c r="B2315" t="s">
        <v>2929</v>
      </c>
      <c r="C2315" t="s">
        <v>2218</v>
      </c>
      <c r="D2315" s="9">
        <v>45489</v>
      </c>
      <c r="E2315" t="s">
        <v>23</v>
      </c>
      <c r="G2315" t="s">
        <v>2325</v>
      </c>
      <c r="H2315">
        <v>1500</v>
      </c>
      <c r="I2315" s="16" t="str">
        <f t="shared" si="36"/>
        <v>Normal</v>
      </c>
      <c r="J2315">
        <v>4</v>
      </c>
    </row>
    <row r="2316" spans="1:10">
      <c r="A2316" t="s">
        <v>4697</v>
      </c>
      <c r="B2316" t="s">
        <v>1043</v>
      </c>
      <c r="C2316" t="s">
        <v>2244</v>
      </c>
      <c r="D2316" s="9">
        <v>45138</v>
      </c>
      <c r="E2316" t="s">
        <v>2330</v>
      </c>
      <c r="G2316" t="s">
        <v>2345</v>
      </c>
      <c r="H2316">
        <v>1200</v>
      </c>
      <c r="I2316" s="16" t="str">
        <f t="shared" si="36"/>
        <v>Normal</v>
      </c>
      <c r="J2316" t="s">
        <v>39</v>
      </c>
    </row>
    <row r="2317" spans="1:10">
      <c r="A2317" t="s">
        <v>4698</v>
      </c>
      <c r="B2317" t="s">
        <v>362</v>
      </c>
      <c r="C2317" t="s">
        <v>2259</v>
      </c>
      <c r="D2317" s="9">
        <v>45907</v>
      </c>
      <c r="E2317" t="s">
        <v>2324</v>
      </c>
      <c r="G2317" t="s">
        <v>2325</v>
      </c>
      <c r="H2317">
        <v>0</v>
      </c>
      <c r="I2317" s="16" t="str">
        <f t="shared" si="36"/>
        <v>Zero Amount</v>
      </c>
      <c r="J2317">
        <v>4</v>
      </c>
    </row>
    <row r="2318" spans="1:10">
      <c r="A2318" t="s">
        <v>4699</v>
      </c>
      <c r="B2318" t="s">
        <v>4700</v>
      </c>
      <c r="C2318" t="s">
        <v>2198</v>
      </c>
      <c r="D2318" s="9">
        <v>45370</v>
      </c>
      <c r="E2318" t="s">
        <v>2324</v>
      </c>
      <c r="F2318" s="20">
        <v>10</v>
      </c>
      <c r="G2318" t="s">
        <v>2345</v>
      </c>
      <c r="I2318" s="16" t="str">
        <f t="shared" si="36"/>
        <v>Unknown</v>
      </c>
      <c r="J2318">
        <v>4</v>
      </c>
    </row>
    <row r="2319" spans="1:10">
      <c r="A2319" t="s">
        <v>4701</v>
      </c>
      <c r="B2319" t="s">
        <v>2132</v>
      </c>
      <c r="C2319" t="s">
        <v>2251</v>
      </c>
      <c r="D2319" s="9">
        <v>45190</v>
      </c>
      <c r="E2319" t="s">
        <v>2324</v>
      </c>
      <c r="G2319" t="s">
        <v>2345</v>
      </c>
      <c r="H2319">
        <v>1500</v>
      </c>
      <c r="I2319" s="16" t="str">
        <f t="shared" si="36"/>
        <v>Normal</v>
      </c>
      <c r="J2319" t="s">
        <v>39</v>
      </c>
    </row>
    <row r="2320" spans="1:10">
      <c r="A2320" t="s">
        <v>4702</v>
      </c>
      <c r="B2320" t="s">
        <v>634</v>
      </c>
      <c r="C2320" t="s">
        <v>2271</v>
      </c>
      <c r="D2320" s="9">
        <v>45201</v>
      </c>
      <c r="E2320" t="s">
        <v>2327</v>
      </c>
      <c r="G2320" t="s">
        <v>2328</v>
      </c>
      <c r="H2320">
        <v>1200</v>
      </c>
      <c r="I2320" s="16" t="str">
        <f t="shared" si="36"/>
        <v>Normal</v>
      </c>
      <c r="J2320">
        <v>5</v>
      </c>
    </row>
    <row r="2321" spans="1:10">
      <c r="A2321" t="s">
        <v>4703</v>
      </c>
      <c r="B2321" t="s">
        <v>1558</v>
      </c>
      <c r="C2321" t="s">
        <v>2273</v>
      </c>
      <c r="D2321" s="9">
        <v>45894</v>
      </c>
      <c r="E2321" t="s">
        <v>2337</v>
      </c>
      <c r="G2321" t="s">
        <v>2331</v>
      </c>
      <c r="H2321">
        <v>799</v>
      </c>
      <c r="I2321" s="16" t="str">
        <f t="shared" si="36"/>
        <v>Normal</v>
      </c>
      <c r="J2321" t="s">
        <v>39</v>
      </c>
    </row>
    <row r="2322" spans="1:10">
      <c r="A2322" t="s">
        <v>4704</v>
      </c>
      <c r="B2322" t="s">
        <v>192</v>
      </c>
      <c r="C2322" t="s">
        <v>2216</v>
      </c>
      <c r="D2322" s="9">
        <v>45791</v>
      </c>
      <c r="E2322" t="s">
        <v>2327</v>
      </c>
      <c r="F2322" s="20">
        <v>0</v>
      </c>
      <c r="G2322" t="s">
        <v>2331</v>
      </c>
      <c r="H2322">
        <v>1200</v>
      </c>
      <c r="I2322" s="16" t="str">
        <f t="shared" si="36"/>
        <v>Normal</v>
      </c>
      <c r="J2322">
        <v>1</v>
      </c>
    </row>
    <row r="2323" spans="1:10">
      <c r="A2323" t="s">
        <v>4705</v>
      </c>
      <c r="B2323" t="s">
        <v>1149</v>
      </c>
      <c r="C2323" t="s">
        <v>2244</v>
      </c>
      <c r="D2323" s="9">
        <v>45422</v>
      </c>
      <c r="E2323" t="s">
        <v>2327</v>
      </c>
      <c r="F2323" s="20">
        <v>0</v>
      </c>
      <c r="G2323" t="s">
        <v>2331</v>
      </c>
      <c r="H2323">
        <v>1200</v>
      </c>
      <c r="I2323" s="16" t="str">
        <f t="shared" si="36"/>
        <v>Normal</v>
      </c>
      <c r="J2323">
        <v>1</v>
      </c>
    </row>
    <row r="2324" spans="1:10">
      <c r="A2324" t="s">
        <v>4706</v>
      </c>
      <c r="B2324" t="s">
        <v>1586</v>
      </c>
      <c r="C2324" t="s">
        <v>2193</v>
      </c>
      <c r="D2324" s="9">
        <v>45399</v>
      </c>
      <c r="E2324" t="s">
        <v>23</v>
      </c>
      <c r="G2324" t="s">
        <v>2331</v>
      </c>
      <c r="H2324">
        <v>0</v>
      </c>
      <c r="I2324" s="16" t="str">
        <f t="shared" si="36"/>
        <v>Zero Amount</v>
      </c>
      <c r="J2324">
        <v>4</v>
      </c>
    </row>
    <row r="2325" spans="1:10">
      <c r="A2325" t="s">
        <v>4707</v>
      </c>
      <c r="B2325" t="s">
        <v>1802</v>
      </c>
      <c r="C2325" t="s">
        <v>2267</v>
      </c>
      <c r="D2325" s="9">
        <v>46163</v>
      </c>
      <c r="E2325" t="s">
        <v>2324</v>
      </c>
      <c r="F2325" s="20">
        <v>25</v>
      </c>
      <c r="G2325" t="s">
        <v>2331</v>
      </c>
      <c r="H2325">
        <v>999.99</v>
      </c>
      <c r="I2325" s="16" t="str">
        <f t="shared" si="36"/>
        <v>Normal</v>
      </c>
      <c r="J2325">
        <v>5</v>
      </c>
    </row>
    <row r="2326" spans="1:10">
      <c r="A2326" t="s">
        <v>4708</v>
      </c>
      <c r="B2326" t="s">
        <v>1225</v>
      </c>
      <c r="C2326" t="s">
        <v>2264</v>
      </c>
      <c r="D2326" s="9">
        <v>45853</v>
      </c>
      <c r="E2326" t="s">
        <v>2324</v>
      </c>
      <c r="G2326" t="s">
        <v>2331</v>
      </c>
      <c r="H2326">
        <v>2500</v>
      </c>
      <c r="I2326" s="16" t="str">
        <f t="shared" si="36"/>
        <v>Normal</v>
      </c>
      <c r="J2326" t="s">
        <v>39</v>
      </c>
    </row>
    <row r="2327" spans="1:10">
      <c r="A2327" t="s">
        <v>4709</v>
      </c>
      <c r="B2327" t="s">
        <v>784</v>
      </c>
      <c r="C2327" t="s">
        <v>2271</v>
      </c>
      <c r="D2327" s="9">
        <v>45365</v>
      </c>
      <c r="E2327" t="s">
        <v>2324</v>
      </c>
      <c r="F2327" s="20">
        <v>60</v>
      </c>
      <c r="G2327" t="s">
        <v>2345</v>
      </c>
      <c r="H2327">
        <v>1200</v>
      </c>
      <c r="I2327" s="16" t="str">
        <f t="shared" si="36"/>
        <v>Normal</v>
      </c>
      <c r="J2327">
        <v>2</v>
      </c>
    </row>
    <row r="2328" spans="1:10">
      <c r="A2328" t="s">
        <v>4710</v>
      </c>
      <c r="B2328" t="s">
        <v>535</v>
      </c>
      <c r="C2328" t="s">
        <v>2222</v>
      </c>
      <c r="D2328" s="9">
        <v>45973</v>
      </c>
      <c r="E2328" t="s">
        <v>2330</v>
      </c>
      <c r="F2328" s="20">
        <v>100</v>
      </c>
      <c r="G2328" t="s">
        <v>2331</v>
      </c>
      <c r="H2328">
        <v>0</v>
      </c>
      <c r="I2328" s="16" t="str">
        <f t="shared" si="36"/>
        <v>Zero Amount</v>
      </c>
      <c r="J2328" t="s">
        <v>39</v>
      </c>
    </row>
    <row r="2329" spans="1:10">
      <c r="A2329" t="s">
        <v>4711</v>
      </c>
      <c r="B2329" t="s">
        <v>1103</v>
      </c>
      <c r="C2329" t="s">
        <v>2198</v>
      </c>
      <c r="D2329" s="9">
        <v>46013</v>
      </c>
      <c r="E2329" t="s">
        <v>2327</v>
      </c>
      <c r="G2329" t="s">
        <v>2345</v>
      </c>
      <c r="I2329" s="16" t="str">
        <f t="shared" si="36"/>
        <v>Unknown</v>
      </c>
      <c r="J2329">
        <v>5</v>
      </c>
    </row>
    <row r="2330" spans="1:10">
      <c r="A2330" t="s">
        <v>4712</v>
      </c>
      <c r="B2330" t="s">
        <v>1200</v>
      </c>
      <c r="C2330" t="s">
        <v>2205</v>
      </c>
      <c r="D2330" s="9">
        <v>45666</v>
      </c>
      <c r="E2330" t="s">
        <v>2324</v>
      </c>
      <c r="G2330" t="s">
        <v>2328</v>
      </c>
      <c r="H2330">
        <v>1500</v>
      </c>
      <c r="I2330" s="16" t="str">
        <f t="shared" si="36"/>
        <v>Normal</v>
      </c>
      <c r="J2330">
        <v>4</v>
      </c>
    </row>
    <row r="2331" spans="1:10">
      <c r="A2331" t="s">
        <v>4713</v>
      </c>
      <c r="B2331" t="s">
        <v>2583</v>
      </c>
      <c r="C2331" t="s">
        <v>2269</v>
      </c>
      <c r="D2331" s="9">
        <v>45671</v>
      </c>
      <c r="E2331" t="s">
        <v>2324</v>
      </c>
      <c r="F2331" s="20">
        <v>55</v>
      </c>
      <c r="G2331" t="s">
        <v>2328</v>
      </c>
      <c r="H2331">
        <v>499</v>
      </c>
      <c r="I2331" s="16" t="str">
        <f t="shared" si="36"/>
        <v>Normal</v>
      </c>
      <c r="J2331">
        <v>4</v>
      </c>
    </row>
    <row r="2332" spans="1:10">
      <c r="A2332" t="s">
        <v>4714</v>
      </c>
      <c r="B2332" t="s">
        <v>729</v>
      </c>
      <c r="C2332" t="s">
        <v>2249</v>
      </c>
      <c r="D2332" s="9">
        <v>45600</v>
      </c>
      <c r="E2332" t="s">
        <v>2330</v>
      </c>
      <c r="F2332" s="20">
        <v>100</v>
      </c>
      <c r="G2332" t="s">
        <v>2331</v>
      </c>
      <c r="H2332">
        <v>1500</v>
      </c>
      <c r="I2332" s="16" t="str">
        <f t="shared" si="36"/>
        <v>Normal</v>
      </c>
      <c r="J2332">
        <v>5</v>
      </c>
    </row>
    <row r="2333" spans="1:10">
      <c r="A2333" t="s">
        <v>4715</v>
      </c>
      <c r="B2333" t="s">
        <v>184</v>
      </c>
      <c r="C2333" t="s">
        <v>2273</v>
      </c>
      <c r="D2333" s="9">
        <v>45181</v>
      </c>
      <c r="E2333" t="s">
        <v>23</v>
      </c>
      <c r="G2333" t="s">
        <v>2331</v>
      </c>
      <c r="H2333">
        <v>799</v>
      </c>
      <c r="I2333" s="16" t="str">
        <f t="shared" si="36"/>
        <v>Normal</v>
      </c>
      <c r="J2333">
        <v>2</v>
      </c>
    </row>
    <row r="2334" spans="1:10">
      <c r="A2334" t="s">
        <v>4716</v>
      </c>
      <c r="B2334" t="s">
        <v>1422</v>
      </c>
      <c r="C2334" t="s">
        <v>2202</v>
      </c>
      <c r="D2334" s="9">
        <v>45506</v>
      </c>
      <c r="E2334" t="s">
        <v>2330</v>
      </c>
      <c r="G2334" t="s">
        <v>2339</v>
      </c>
      <c r="H2334">
        <v>999.99</v>
      </c>
      <c r="I2334" s="16" t="str">
        <f t="shared" si="36"/>
        <v>Normal</v>
      </c>
      <c r="J2334" t="s">
        <v>39</v>
      </c>
    </row>
    <row r="2335" spans="1:10">
      <c r="A2335" t="s">
        <v>4717</v>
      </c>
      <c r="B2335" t="s">
        <v>473</v>
      </c>
      <c r="C2335" t="s">
        <v>2228</v>
      </c>
      <c r="D2335" s="9">
        <v>45258</v>
      </c>
      <c r="E2335" t="s">
        <v>2330</v>
      </c>
      <c r="F2335" s="20">
        <v>100</v>
      </c>
      <c r="G2335" t="s">
        <v>2331</v>
      </c>
      <c r="H2335">
        <v>799</v>
      </c>
      <c r="I2335" s="16" t="str">
        <f t="shared" si="36"/>
        <v>Normal</v>
      </c>
      <c r="J2335" t="s">
        <v>39</v>
      </c>
    </row>
    <row r="2336" spans="1:10">
      <c r="A2336" t="s">
        <v>4718</v>
      </c>
      <c r="B2336" t="s">
        <v>1266</v>
      </c>
      <c r="C2336" t="s">
        <v>2213</v>
      </c>
      <c r="D2336" s="9">
        <v>46168</v>
      </c>
      <c r="E2336" t="s">
        <v>2330</v>
      </c>
      <c r="F2336" s="20">
        <v>100</v>
      </c>
      <c r="G2336" t="s">
        <v>2328</v>
      </c>
      <c r="H2336">
        <v>1500</v>
      </c>
      <c r="I2336" s="16" t="str">
        <f t="shared" si="36"/>
        <v>Normal</v>
      </c>
      <c r="J2336">
        <v>4</v>
      </c>
    </row>
    <row r="2337" spans="1:10">
      <c r="A2337" t="s">
        <v>4719</v>
      </c>
      <c r="B2337" t="s">
        <v>717</v>
      </c>
      <c r="C2337" t="s">
        <v>2231</v>
      </c>
      <c r="D2337" s="9">
        <v>45797</v>
      </c>
      <c r="E2337" t="s">
        <v>2337</v>
      </c>
      <c r="G2337" t="s">
        <v>2331</v>
      </c>
      <c r="H2337">
        <v>3000</v>
      </c>
      <c r="I2337" s="16" t="str">
        <f t="shared" si="36"/>
        <v>Normal</v>
      </c>
      <c r="J2337">
        <v>2</v>
      </c>
    </row>
    <row r="2338" spans="1:10">
      <c r="A2338" t="s">
        <v>4720</v>
      </c>
      <c r="B2338" t="s">
        <v>656</v>
      </c>
      <c r="C2338" t="s">
        <v>2225</v>
      </c>
      <c r="D2338" s="9">
        <v>46064</v>
      </c>
      <c r="E2338" t="s">
        <v>23</v>
      </c>
      <c r="G2338" t="s">
        <v>2345</v>
      </c>
      <c r="I2338" s="16" t="str">
        <f t="shared" si="36"/>
        <v>Unknown</v>
      </c>
      <c r="J2338">
        <v>2</v>
      </c>
    </row>
    <row r="2339" spans="1:10">
      <c r="A2339" t="s">
        <v>4721</v>
      </c>
      <c r="B2339" t="s">
        <v>548</v>
      </c>
      <c r="C2339" t="s">
        <v>2251</v>
      </c>
      <c r="D2339" s="9">
        <v>45634</v>
      </c>
      <c r="E2339" t="s">
        <v>2330</v>
      </c>
      <c r="G2339" t="s">
        <v>2331</v>
      </c>
      <c r="H2339">
        <v>1500</v>
      </c>
      <c r="I2339" s="16" t="str">
        <f t="shared" si="36"/>
        <v>Normal</v>
      </c>
      <c r="J2339">
        <v>5</v>
      </c>
    </row>
    <row r="2340" spans="1:10">
      <c r="A2340" t="s">
        <v>4722</v>
      </c>
      <c r="B2340" t="s">
        <v>1729</v>
      </c>
      <c r="C2340" t="s">
        <v>2247</v>
      </c>
      <c r="D2340" s="9">
        <v>46172</v>
      </c>
      <c r="E2340" t="s">
        <v>2330</v>
      </c>
      <c r="G2340" t="s">
        <v>2331</v>
      </c>
      <c r="I2340" s="16" t="str">
        <f t="shared" si="36"/>
        <v>Unknown</v>
      </c>
      <c r="J2340">
        <v>5</v>
      </c>
    </row>
    <row r="2341" spans="1:10">
      <c r="A2341" t="s">
        <v>4723</v>
      </c>
      <c r="B2341" t="s">
        <v>1589</v>
      </c>
      <c r="C2341" t="s">
        <v>2231</v>
      </c>
      <c r="D2341" s="9">
        <v>45184</v>
      </c>
      <c r="E2341" t="s">
        <v>2330</v>
      </c>
      <c r="G2341" t="s">
        <v>2325</v>
      </c>
      <c r="H2341">
        <v>3000</v>
      </c>
      <c r="I2341" s="16" t="str">
        <f t="shared" si="36"/>
        <v>Normal</v>
      </c>
      <c r="J2341">
        <v>5</v>
      </c>
    </row>
    <row r="2342" spans="1:10">
      <c r="A2342" t="s">
        <v>4724</v>
      </c>
      <c r="B2342" t="s">
        <v>256</v>
      </c>
      <c r="C2342" t="s">
        <v>2187</v>
      </c>
      <c r="D2342" s="9">
        <v>46057</v>
      </c>
      <c r="E2342" t="s">
        <v>2324</v>
      </c>
      <c r="F2342" s="20">
        <v>60</v>
      </c>
      <c r="G2342" t="s">
        <v>2331</v>
      </c>
      <c r="H2342">
        <v>799</v>
      </c>
      <c r="I2342" s="16" t="str">
        <f t="shared" si="36"/>
        <v>Normal</v>
      </c>
      <c r="J2342">
        <v>3</v>
      </c>
    </row>
    <row r="2343" spans="1:10">
      <c r="A2343" t="s">
        <v>4725</v>
      </c>
      <c r="B2343" t="s">
        <v>1500</v>
      </c>
      <c r="C2343" t="s">
        <v>2213</v>
      </c>
      <c r="D2343" s="9">
        <v>45919</v>
      </c>
      <c r="E2343" t="s">
        <v>2324</v>
      </c>
      <c r="G2343" t="s">
        <v>2339</v>
      </c>
      <c r="H2343">
        <v>1072.82</v>
      </c>
      <c r="I2343" s="16" t="str">
        <f t="shared" si="36"/>
        <v>Normal</v>
      </c>
      <c r="J2343">
        <v>5</v>
      </c>
    </row>
    <row r="2344" spans="1:10">
      <c r="A2344" t="s">
        <v>4726</v>
      </c>
      <c r="B2344" t="s">
        <v>713</v>
      </c>
      <c r="C2344" t="s">
        <v>2235</v>
      </c>
      <c r="D2344" s="9">
        <v>45561</v>
      </c>
      <c r="E2344" t="s">
        <v>2324</v>
      </c>
      <c r="F2344" s="20">
        <v>55</v>
      </c>
      <c r="G2344" t="s">
        <v>2339</v>
      </c>
      <c r="H2344">
        <v>3000</v>
      </c>
      <c r="I2344" s="16" t="str">
        <f t="shared" si="36"/>
        <v>Normal</v>
      </c>
      <c r="J2344" t="s">
        <v>39</v>
      </c>
    </row>
    <row r="2345" spans="1:10">
      <c r="A2345" t="s">
        <v>4727</v>
      </c>
      <c r="B2345" t="s">
        <v>1360</v>
      </c>
      <c r="C2345" t="s">
        <v>2231</v>
      </c>
      <c r="D2345" s="9">
        <v>45122</v>
      </c>
      <c r="E2345" t="s">
        <v>2330</v>
      </c>
      <c r="F2345" s="20">
        <v>100</v>
      </c>
      <c r="G2345" t="s">
        <v>2345</v>
      </c>
      <c r="H2345">
        <v>3000</v>
      </c>
      <c r="I2345" s="16" t="str">
        <f t="shared" si="36"/>
        <v>Normal</v>
      </c>
      <c r="J2345">
        <v>2</v>
      </c>
    </row>
    <row r="2346" spans="1:10">
      <c r="A2346" t="s">
        <v>4728</v>
      </c>
      <c r="B2346" t="s">
        <v>2583</v>
      </c>
      <c r="C2346" t="s">
        <v>2187</v>
      </c>
      <c r="D2346" s="9">
        <v>46139</v>
      </c>
      <c r="E2346" t="s">
        <v>2330</v>
      </c>
      <c r="F2346" s="20">
        <v>100</v>
      </c>
      <c r="G2346" t="s">
        <v>2345</v>
      </c>
      <c r="H2346">
        <v>799</v>
      </c>
      <c r="I2346" s="16" t="str">
        <f t="shared" si="36"/>
        <v>Normal</v>
      </c>
      <c r="J2346" t="s">
        <v>39</v>
      </c>
    </row>
    <row r="2347" spans="1:10">
      <c r="A2347" t="s">
        <v>4729</v>
      </c>
      <c r="B2347" t="s">
        <v>445</v>
      </c>
      <c r="C2347" t="s">
        <v>2267</v>
      </c>
      <c r="D2347" s="9">
        <v>45379</v>
      </c>
      <c r="E2347" t="s">
        <v>2330</v>
      </c>
      <c r="F2347" s="20">
        <v>100</v>
      </c>
      <c r="G2347" t="s">
        <v>2328</v>
      </c>
      <c r="H2347">
        <v>999.99</v>
      </c>
      <c r="I2347" s="16" t="str">
        <f t="shared" si="36"/>
        <v>Normal</v>
      </c>
      <c r="J2347">
        <v>4</v>
      </c>
    </row>
    <row r="2348" spans="1:10">
      <c r="A2348" t="s">
        <v>4730</v>
      </c>
      <c r="B2348" t="s">
        <v>701</v>
      </c>
      <c r="C2348" t="s">
        <v>2218</v>
      </c>
      <c r="D2348" s="9">
        <v>45813</v>
      </c>
      <c r="E2348" t="s">
        <v>23</v>
      </c>
      <c r="G2348" t="s">
        <v>2345</v>
      </c>
      <c r="H2348">
        <v>1500</v>
      </c>
      <c r="I2348" s="16" t="str">
        <f t="shared" si="36"/>
        <v>Normal</v>
      </c>
      <c r="J2348" t="s">
        <v>39</v>
      </c>
    </row>
    <row r="2349" spans="1:10">
      <c r="A2349" t="s">
        <v>4731</v>
      </c>
      <c r="B2349" t="s">
        <v>1536</v>
      </c>
      <c r="C2349" t="s">
        <v>2233</v>
      </c>
      <c r="D2349" s="9">
        <v>46065</v>
      </c>
      <c r="E2349" t="s">
        <v>2330</v>
      </c>
      <c r="F2349" s="20">
        <v>100</v>
      </c>
      <c r="G2349" t="s">
        <v>2331</v>
      </c>
      <c r="H2349">
        <v>2500</v>
      </c>
      <c r="I2349" s="16" t="str">
        <f t="shared" si="36"/>
        <v>Normal</v>
      </c>
      <c r="J2349">
        <v>2</v>
      </c>
    </row>
    <row r="2350" spans="1:10">
      <c r="A2350" t="s">
        <v>4732</v>
      </c>
      <c r="B2350" t="s">
        <v>1802</v>
      </c>
      <c r="C2350" t="s">
        <v>2205</v>
      </c>
      <c r="D2350" s="9">
        <v>46015</v>
      </c>
      <c r="E2350" t="s">
        <v>2327</v>
      </c>
      <c r="F2350" s="20">
        <v>0</v>
      </c>
      <c r="G2350" t="s">
        <v>2325</v>
      </c>
      <c r="H2350">
        <v>1500</v>
      </c>
      <c r="I2350" s="16" t="str">
        <f t="shared" si="36"/>
        <v>Normal</v>
      </c>
      <c r="J2350">
        <v>5</v>
      </c>
    </row>
    <row r="2351" spans="1:10">
      <c r="A2351" t="s">
        <v>4733</v>
      </c>
      <c r="B2351" t="s">
        <v>1860</v>
      </c>
      <c r="C2351" t="s">
        <v>2259</v>
      </c>
      <c r="D2351" s="9">
        <v>45573</v>
      </c>
      <c r="E2351" t="s">
        <v>2324</v>
      </c>
      <c r="F2351" s="20">
        <v>40</v>
      </c>
      <c r="G2351" t="s">
        <v>2339</v>
      </c>
      <c r="H2351">
        <v>0</v>
      </c>
      <c r="I2351" s="16" t="str">
        <f t="shared" si="36"/>
        <v>Zero Amount</v>
      </c>
      <c r="J2351" t="s">
        <v>39</v>
      </c>
    </row>
    <row r="2352" spans="1:10">
      <c r="A2352" t="s">
        <v>4734</v>
      </c>
      <c r="B2352" t="s">
        <v>2045</v>
      </c>
      <c r="C2352" t="s">
        <v>2205</v>
      </c>
      <c r="D2352" s="9">
        <v>45225</v>
      </c>
      <c r="E2352" t="s">
        <v>2327</v>
      </c>
      <c r="G2352" t="s">
        <v>2345</v>
      </c>
      <c r="H2352">
        <v>1500</v>
      </c>
      <c r="I2352" s="16" t="str">
        <f t="shared" si="36"/>
        <v>Normal</v>
      </c>
      <c r="J2352" t="s">
        <v>39</v>
      </c>
    </row>
    <row r="2353" spans="1:10">
      <c r="A2353" t="s">
        <v>4735</v>
      </c>
      <c r="B2353" t="s">
        <v>1748</v>
      </c>
      <c r="C2353" t="s">
        <v>2225</v>
      </c>
      <c r="D2353" s="9">
        <v>45308</v>
      </c>
      <c r="E2353" t="s">
        <v>2330</v>
      </c>
      <c r="F2353" s="20">
        <v>100</v>
      </c>
      <c r="G2353" t="s">
        <v>2345</v>
      </c>
      <c r="I2353" s="16" t="str">
        <f t="shared" si="36"/>
        <v>Unknown</v>
      </c>
      <c r="J2353">
        <v>3</v>
      </c>
    </row>
    <row r="2354" spans="1:10">
      <c r="A2354" t="s">
        <v>4736</v>
      </c>
      <c r="B2354" t="s">
        <v>163</v>
      </c>
      <c r="C2354" t="s">
        <v>2187</v>
      </c>
      <c r="D2354" s="9">
        <v>45326</v>
      </c>
      <c r="E2354" t="s">
        <v>2324</v>
      </c>
      <c r="F2354" s="20">
        <v>10</v>
      </c>
      <c r="G2354" t="s">
        <v>2331</v>
      </c>
      <c r="H2354">
        <v>799</v>
      </c>
      <c r="I2354" s="16" t="str">
        <f t="shared" si="36"/>
        <v>Normal</v>
      </c>
      <c r="J2354">
        <v>5</v>
      </c>
    </row>
    <row r="2355" spans="1:10">
      <c r="A2355" t="s">
        <v>4737</v>
      </c>
      <c r="B2355" t="s">
        <v>874</v>
      </c>
      <c r="C2355" t="s">
        <v>2228</v>
      </c>
      <c r="D2355" s="9">
        <v>45430</v>
      </c>
      <c r="E2355" t="s">
        <v>2324</v>
      </c>
      <c r="F2355" s="20">
        <v>25</v>
      </c>
      <c r="G2355" t="s">
        <v>2331</v>
      </c>
      <c r="H2355">
        <v>799</v>
      </c>
      <c r="I2355" s="16" t="str">
        <f t="shared" si="36"/>
        <v>Normal</v>
      </c>
      <c r="J2355">
        <v>3</v>
      </c>
    </row>
    <row r="2356" spans="1:10">
      <c r="A2356" t="s">
        <v>4738</v>
      </c>
      <c r="B2356" t="s">
        <v>748</v>
      </c>
      <c r="C2356" t="s">
        <v>2225</v>
      </c>
      <c r="D2356" s="9">
        <v>45748</v>
      </c>
      <c r="E2356" t="s">
        <v>2327</v>
      </c>
      <c r="F2356" s="20">
        <v>5</v>
      </c>
      <c r="G2356" t="s">
        <v>2345</v>
      </c>
      <c r="I2356" s="16" t="str">
        <f t="shared" si="36"/>
        <v>Unknown</v>
      </c>
      <c r="J2356">
        <v>5</v>
      </c>
    </row>
    <row r="2357" spans="1:10">
      <c r="A2357" t="s">
        <v>4739</v>
      </c>
      <c r="B2357" t="s">
        <v>1627</v>
      </c>
      <c r="C2357" t="s">
        <v>2222</v>
      </c>
      <c r="D2357" s="9">
        <v>46034</v>
      </c>
      <c r="E2357" t="s">
        <v>2324</v>
      </c>
      <c r="F2357" s="20">
        <v>55</v>
      </c>
      <c r="G2357" t="s">
        <v>23</v>
      </c>
      <c r="H2357">
        <v>0</v>
      </c>
      <c r="I2357" s="16" t="str">
        <f t="shared" si="36"/>
        <v>Zero Amount</v>
      </c>
      <c r="J2357">
        <v>5</v>
      </c>
    </row>
    <row r="2358" spans="1:10">
      <c r="A2358" t="s">
        <v>4740</v>
      </c>
      <c r="B2358" t="s">
        <v>2351</v>
      </c>
      <c r="C2358" t="s">
        <v>2216</v>
      </c>
      <c r="D2358" s="9">
        <v>45365</v>
      </c>
      <c r="E2358" t="s">
        <v>2327</v>
      </c>
      <c r="G2358" t="s">
        <v>2345</v>
      </c>
      <c r="H2358">
        <v>1200</v>
      </c>
      <c r="I2358" s="16" t="str">
        <f t="shared" si="36"/>
        <v>Normal</v>
      </c>
      <c r="J2358" t="s">
        <v>39</v>
      </c>
    </row>
    <row r="2359" spans="1:10">
      <c r="A2359" t="s">
        <v>4741</v>
      </c>
      <c r="B2359" t="s">
        <v>1143</v>
      </c>
      <c r="C2359" t="s">
        <v>2202</v>
      </c>
      <c r="D2359" s="9">
        <v>45973</v>
      </c>
      <c r="E2359" t="s">
        <v>2330</v>
      </c>
      <c r="G2359" t="s">
        <v>2331</v>
      </c>
      <c r="H2359">
        <v>999.99</v>
      </c>
      <c r="I2359" s="16" t="str">
        <f t="shared" si="36"/>
        <v>Normal</v>
      </c>
      <c r="J2359">
        <v>3</v>
      </c>
    </row>
    <row r="2360" spans="1:10">
      <c r="A2360" t="s">
        <v>4742</v>
      </c>
      <c r="B2360" t="s">
        <v>1255</v>
      </c>
      <c r="C2360" t="s">
        <v>2269</v>
      </c>
      <c r="D2360" s="9">
        <v>45508</v>
      </c>
      <c r="E2360" t="s">
        <v>2324</v>
      </c>
      <c r="F2360" s="20">
        <v>75</v>
      </c>
      <c r="G2360" t="s">
        <v>2328</v>
      </c>
      <c r="H2360">
        <v>499</v>
      </c>
      <c r="I2360" s="16" t="str">
        <f t="shared" si="36"/>
        <v>Normal</v>
      </c>
      <c r="J2360">
        <v>2</v>
      </c>
    </row>
    <row r="2361" spans="1:10">
      <c r="A2361" t="s">
        <v>4743</v>
      </c>
      <c r="B2361" t="s">
        <v>1693</v>
      </c>
      <c r="C2361" t="s">
        <v>2222</v>
      </c>
      <c r="D2361" s="9">
        <v>45616</v>
      </c>
      <c r="E2361" t="s">
        <v>2327</v>
      </c>
      <c r="G2361" t="s">
        <v>2325</v>
      </c>
      <c r="H2361">
        <v>0</v>
      </c>
      <c r="I2361" s="16" t="str">
        <f t="shared" si="36"/>
        <v>Zero Amount</v>
      </c>
      <c r="J2361" t="s">
        <v>39</v>
      </c>
    </row>
    <row r="2362" spans="1:10">
      <c r="A2362" t="s">
        <v>4744</v>
      </c>
      <c r="B2362" t="s">
        <v>125</v>
      </c>
      <c r="C2362" t="s">
        <v>2231</v>
      </c>
      <c r="D2362" s="9">
        <v>45931</v>
      </c>
      <c r="E2362" t="s">
        <v>2324</v>
      </c>
      <c r="F2362" s="20">
        <v>55</v>
      </c>
      <c r="G2362" t="s">
        <v>2345</v>
      </c>
      <c r="H2362">
        <v>3000</v>
      </c>
      <c r="I2362" s="16" t="str">
        <f t="shared" si="36"/>
        <v>Normal</v>
      </c>
      <c r="J2362">
        <v>5</v>
      </c>
    </row>
    <row r="2363" spans="1:10">
      <c r="A2363" t="s">
        <v>4745</v>
      </c>
      <c r="B2363" t="s">
        <v>870</v>
      </c>
      <c r="C2363" t="s">
        <v>2235</v>
      </c>
      <c r="D2363" s="9">
        <v>45576</v>
      </c>
      <c r="E2363" t="s">
        <v>2324</v>
      </c>
      <c r="F2363" s="20">
        <v>75</v>
      </c>
      <c r="G2363" t="s">
        <v>23</v>
      </c>
      <c r="H2363">
        <v>3000</v>
      </c>
      <c r="I2363" s="16" t="str">
        <f t="shared" si="36"/>
        <v>Normal</v>
      </c>
      <c r="J2363" t="s">
        <v>39</v>
      </c>
    </row>
    <row r="2364" spans="1:10">
      <c r="A2364" t="s">
        <v>4746</v>
      </c>
      <c r="B2364" t="s">
        <v>4747</v>
      </c>
      <c r="C2364" t="s">
        <v>2273</v>
      </c>
      <c r="D2364" s="9">
        <v>45916</v>
      </c>
      <c r="E2364" t="s">
        <v>2337</v>
      </c>
      <c r="G2364" t="s">
        <v>2331</v>
      </c>
      <c r="I2364" s="16" t="str">
        <f t="shared" si="36"/>
        <v>Unknown</v>
      </c>
      <c r="J2364">
        <v>4</v>
      </c>
    </row>
    <row r="2365" spans="1:10">
      <c r="A2365" t="s">
        <v>4748</v>
      </c>
      <c r="B2365" t="s">
        <v>2045</v>
      </c>
      <c r="C2365" t="s">
        <v>2225</v>
      </c>
      <c r="D2365" s="9">
        <v>45951</v>
      </c>
      <c r="E2365" t="s">
        <v>23</v>
      </c>
      <c r="G2365" t="s">
        <v>2345</v>
      </c>
      <c r="I2365" s="16" t="str">
        <f t="shared" si="36"/>
        <v>Unknown</v>
      </c>
      <c r="J2365">
        <v>3</v>
      </c>
    </row>
    <row r="2366" spans="1:10">
      <c r="A2366" t="s">
        <v>4749</v>
      </c>
      <c r="B2366" t="s">
        <v>116</v>
      </c>
      <c r="C2366" t="s">
        <v>2244</v>
      </c>
      <c r="D2366" s="9">
        <v>45401</v>
      </c>
      <c r="E2366" t="s">
        <v>2327</v>
      </c>
      <c r="G2366" t="s">
        <v>2328</v>
      </c>
      <c r="H2366">
        <v>1200</v>
      </c>
      <c r="I2366" s="16" t="str">
        <f t="shared" si="36"/>
        <v>Normal</v>
      </c>
      <c r="J2366" t="s">
        <v>39</v>
      </c>
    </row>
    <row r="2367" spans="1:10">
      <c r="A2367" t="s">
        <v>4750</v>
      </c>
      <c r="B2367" t="s">
        <v>2094</v>
      </c>
      <c r="C2367" t="s">
        <v>2251</v>
      </c>
      <c r="D2367" s="9">
        <v>45833</v>
      </c>
      <c r="E2367" t="s">
        <v>2330</v>
      </c>
      <c r="G2367" t="s">
        <v>2328</v>
      </c>
      <c r="H2367">
        <v>-1500</v>
      </c>
      <c r="I2367" s="16" t="str">
        <f t="shared" si="36"/>
        <v>Review</v>
      </c>
      <c r="J2367">
        <v>3</v>
      </c>
    </row>
    <row r="2368" spans="1:10">
      <c r="A2368" t="s">
        <v>4751</v>
      </c>
      <c r="B2368" t="s">
        <v>90</v>
      </c>
      <c r="C2368" t="s">
        <v>2231</v>
      </c>
      <c r="D2368" s="9">
        <v>45760</v>
      </c>
      <c r="E2368" t="s">
        <v>2330</v>
      </c>
      <c r="F2368" s="20">
        <v>100</v>
      </c>
      <c r="G2368" t="s">
        <v>23</v>
      </c>
      <c r="H2368">
        <v>3000</v>
      </c>
      <c r="I2368" s="16" t="str">
        <f t="shared" si="36"/>
        <v>Normal</v>
      </c>
      <c r="J2368">
        <v>4</v>
      </c>
    </row>
    <row r="2369" spans="1:10">
      <c r="A2369" t="s">
        <v>4752</v>
      </c>
      <c r="B2369" t="s">
        <v>922</v>
      </c>
      <c r="C2369" t="s">
        <v>2216</v>
      </c>
      <c r="D2369" s="9">
        <v>46095</v>
      </c>
      <c r="E2369" t="s">
        <v>2330</v>
      </c>
      <c r="G2369" t="s">
        <v>2345</v>
      </c>
      <c r="H2369">
        <v>1200</v>
      </c>
      <c r="I2369" s="16" t="str">
        <f t="shared" si="36"/>
        <v>Normal</v>
      </c>
      <c r="J2369">
        <v>3</v>
      </c>
    </row>
    <row r="2370" spans="1:10">
      <c r="A2370" t="s">
        <v>4753</v>
      </c>
      <c r="B2370" t="s">
        <v>343</v>
      </c>
      <c r="C2370" t="s">
        <v>2231</v>
      </c>
      <c r="D2370" s="9">
        <v>45723</v>
      </c>
      <c r="E2370" t="s">
        <v>2327</v>
      </c>
      <c r="F2370" s="20">
        <v>20</v>
      </c>
      <c r="G2370" t="s">
        <v>2325</v>
      </c>
      <c r="H2370">
        <v>3000</v>
      </c>
      <c r="I2370" s="16" t="str">
        <f t="shared" si="36"/>
        <v>Normal</v>
      </c>
      <c r="J2370">
        <v>4</v>
      </c>
    </row>
    <row r="2371" spans="1:10">
      <c r="A2371" t="s">
        <v>4754</v>
      </c>
      <c r="B2371" t="s">
        <v>1561</v>
      </c>
      <c r="C2371" t="s">
        <v>2253</v>
      </c>
      <c r="D2371" s="9">
        <v>45396</v>
      </c>
      <c r="E2371" t="s">
        <v>2324</v>
      </c>
      <c r="F2371" s="20">
        <v>40</v>
      </c>
      <c r="G2371" t="s">
        <v>2345</v>
      </c>
      <c r="H2371">
        <v>1200</v>
      </c>
      <c r="I2371" s="16" t="str">
        <f t="shared" ref="I2371:I2434" si="37">IF(H2371="", "Unknown", IF(H2371=0, "Zero Amount", IF(H2371&lt;1, "Review", IF(H2371&gt;1, "Normal"))))</f>
        <v>Normal</v>
      </c>
      <c r="J2371">
        <v>4</v>
      </c>
    </row>
    <row r="2372" spans="1:10">
      <c r="A2372" t="s">
        <v>4755</v>
      </c>
      <c r="B2372" t="s">
        <v>551</v>
      </c>
      <c r="C2372" t="s">
        <v>2228</v>
      </c>
      <c r="D2372" s="9">
        <v>45544</v>
      </c>
      <c r="E2372" t="s">
        <v>2330</v>
      </c>
      <c r="F2372" s="20">
        <v>100</v>
      </c>
      <c r="G2372" t="s">
        <v>23</v>
      </c>
      <c r="H2372">
        <v>799</v>
      </c>
      <c r="I2372" s="16" t="str">
        <f t="shared" si="37"/>
        <v>Normal</v>
      </c>
      <c r="J2372">
        <v>5</v>
      </c>
    </row>
    <row r="2373" spans="1:10">
      <c r="A2373" t="s">
        <v>4756</v>
      </c>
      <c r="B2373" t="s">
        <v>1489</v>
      </c>
      <c r="C2373" t="s">
        <v>2249</v>
      </c>
      <c r="D2373" s="9">
        <v>45118</v>
      </c>
      <c r="E2373" t="s">
        <v>2327</v>
      </c>
      <c r="G2373" t="s">
        <v>2345</v>
      </c>
      <c r="H2373">
        <v>1500</v>
      </c>
      <c r="I2373" s="16" t="str">
        <f t="shared" si="37"/>
        <v>Normal</v>
      </c>
      <c r="J2373">
        <v>4</v>
      </c>
    </row>
    <row r="2374" spans="1:10">
      <c r="A2374" t="s">
        <v>4757</v>
      </c>
      <c r="B2374" t="s">
        <v>1708</v>
      </c>
      <c r="C2374" t="s">
        <v>2261</v>
      </c>
      <c r="D2374" s="9">
        <v>45552</v>
      </c>
      <c r="E2374" t="s">
        <v>2327</v>
      </c>
      <c r="F2374" s="20">
        <v>15</v>
      </c>
      <c r="G2374" t="s">
        <v>2339</v>
      </c>
      <c r="I2374" s="16" t="str">
        <f t="shared" si="37"/>
        <v>Unknown</v>
      </c>
      <c r="J2374" t="s">
        <v>39</v>
      </c>
    </row>
    <row r="2375" spans="1:10">
      <c r="A2375" t="s">
        <v>4758</v>
      </c>
      <c r="B2375" t="s">
        <v>922</v>
      </c>
      <c r="C2375" t="s">
        <v>2259</v>
      </c>
      <c r="D2375" s="9">
        <v>45240</v>
      </c>
      <c r="E2375" t="s">
        <v>2330</v>
      </c>
      <c r="G2375" t="s">
        <v>2345</v>
      </c>
      <c r="H2375">
        <v>0</v>
      </c>
      <c r="I2375" s="16" t="str">
        <f t="shared" si="37"/>
        <v>Zero Amount</v>
      </c>
      <c r="J2375" t="s">
        <v>39</v>
      </c>
    </row>
    <row r="2376" spans="1:10">
      <c r="A2376" t="s">
        <v>4759</v>
      </c>
      <c r="B2376" t="s">
        <v>163</v>
      </c>
      <c r="C2376" t="s">
        <v>2218</v>
      </c>
      <c r="D2376" s="9">
        <v>45390</v>
      </c>
      <c r="E2376" t="s">
        <v>23</v>
      </c>
      <c r="G2376" t="s">
        <v>2331</v>
      </c>
      <c r="H2376">
        <v>1500</v>
      </c>
      <c r="I2376" s="16" t="str">
        <f t="shared" si="37"/>
        <v>Normal</v>
      </c>
      <c r="J2376" t="s">
        <v>39</v>
      </c>
    </row>
    <row r="2377" spans="1:10">
      <c r="A2377" t="s">
        <v>4760</v>
      </c>
      <c r="B2377" t="s">
        <v>1291</v>
      </c>
      <c r="C2377" t="s">
        <v>2216</v>
      </c>
      <c r="D2377" s="9">
        <v>45842</v>
      </c>
      <c r="E2377" t="s">
        <v>2324</v>
      </c>
      <c r="F2377" s="20">
        <v>40</v>
      </c>
      <c r="G2377" t="s">
        <v>23</v>
      </c>
      <c r="H2377">
        <v>1200</v>
      </c>
      <c r="I2377" s="16" t="str">
        <f t="shared" si="37"/>
        <v>Normal</v>
      </c>
      <c r="J2377">
        <v>5</v>
      </c>
    </row>
    <row r="2378" spans="1:10">
      <c r="A2378" t="s">
        <v>4761</v>
      </c>
      <c r="B2378" t="s">
        <v>1072</v>
      </c>
      <c r="C2378" t="s">
        <v>2269</v>
      </c>
      <c r="D2378" s="9">
        <v>46167</v>
      </c>
      <c r="E2378" t="s">
        <v>2330</v>
      </c>
      <c r="F2378" s="20">
        <v>100</v>
      </c>
      <c r="G2378" t="s">
        <v>23</v>
      </c>
      <c r="H2378">
        <v>499</v>
      </c>
      <c r="I2378" s="16" t="str">
        <f t="shared" si="37"/>
        <v>Normal</v>
      </c>
      <c r="J2378">
        <v>4</v>
      </c>
    </row>
    <row r="2379" spans="1:10">
      <c r="A2379" t="s">
        <v>4762</v>
      </c>
      <c r="B2379" t="s">
        <v>2080</v>
      </c>
      <c r="C2379" t="s">
        <v>2264</v>
      </c>
      <c r="D2379" s="9">
        <v>45357</v>
      </c>
      <c r="E2379" t="s">
        <v>2330</v>
      </c>
      <c r="F2379" s="20">
        <v>100</v>
      </c>
      <c r="G2379" t="s">
        <v>2331</v>
      </c>
      <c r="H2379">
        <v>2500</v>
      </c>
      <c r="I2379" s="16" t="str">
        <f t="shared" si="37"/>
        <v>Normal</v>
      </c>
      <c r="J2379" t="s">
        <v>39</v>
      </c>
    </row>
    <row r="2380" spans="1:10">
      <c r="A2380" t="s">
        <v>4763</v>
      </c>
      <c r="B2380" t="s">
        <v>1686</v>
      </c>
      <c r="C2380" t="s">
        <v>2193</v>
      </c>
      <c r="D2380" s="9">
        <v>45340</v>
      </c>
      <c r="E2380" t="s">
        <v>2330</v>
      </c>
      <c r="F2380" s="20">
        <v>100</v>
      </c>
      <c r="G2380" t="s">
        <v>2331</v>
      </c>
      <c r="H2380">
        <v>0</v>
      </c>
      <c r="I2380" s="16" t="str">
        <f t="shared" si="37"/>
        <v>Zero Amount</v>
      </c>
      <c r="J2380">
        <v>1</v>
      </c>
    </row>
    <row r="2381" spans="1:10">
      <c r="A2381" t="s">
        <v>4764</v>
      </c>
      <c r="B2381" t="s">
        <v>1492</v>
      </c>
      <c r="C2381" t="s">
        <v>2222</v>
      </c>
      <c r="D2381" s="9">
        <v>45206</v>
      </c>
      <c r="E2381" t="s">
        <v>2327</v>
      </c>
      <c r="F2381" s="20">
        <v>5</v>
      </c>
      <c r="G2381" t="s">
        <v>2339</v>
      </c>
      <c r="H2381">
        <v>0</v>
      </c>
      <c r="I2381" s="16" t="str">
        <f t="shared" si="37"/>
        <v>Zero Amount</v>
      </c>
      <c r="J2381" t="s">
        <v>39</v>
      </c>
    </row>
    <row r="2382" spans="1:10">
      <c r="A2382" t="s">
        <v>4765</v>
      </c>
      <c r="B2382" t="s">
        <v>1945</v>
      </c>
      <c r="C2382" t="s">
        <v>2231</v>
      </c>
      <c r="D2382" s="9">
        <v>45453</v>
      </c>
      <c r="E2382" t="s">
        <v>2330</v>
      </c>
      <c r="F2382" s="20">
        <v>100</v>
      </c>
      <c r="G2382" t="s">
        <v>2339</v>
      </c>
      <c r="H2382">
        <v>3000</v>
      </c>
      <c r="I2382" s="16" t="str">
        <f t="shared" si="37"/>
        <v>Normal</v>
      </c>
      <c r="J2382">
        <v>2</v>
      </c>
    </row>
    <row r="2383" spans="1:10">
      <c r="A2383" t="s">
        <v>4766</v>
      </c>
      <c r="B2383" t="s">
        <v>1620</v>
      </c>
      <c r="C2383" t="s">
        <v>2231</v>
      </c>
      <c r="D2383" s="9">
        <v>45167</v>
      </c>
      <c r="E2383" t="s">
        <v>2324</v>
      </c>
      <c r="F2383" s="20">
        <v>55</v>
      </c>
      <c r="G2383" t="s">
        <v>2345</v>
      </c>
      <c r="H2383">
        <v>3000</v>
      </c>
      <c r="I2383" s="16" t="str">
        <f t="shared" si="37"/>
        <v>Normal</v>
      </c>
      <c r="J2383" t="s">
        <v>39</v>
      </c>
    </row>
    <row r="2384" spans="1:10">
      <c r="A2384" t="s">
        <v>4767</v>
      </c>
      <c r="B2384" t="s">
        <v>615</v>
      </c>
      <c r="C2384" t="s">
        <v>2249</v>
      </c>
      <c r="D2384" s="9">
        <v>45413</v>
      </c>
      <c r="E2384" t="s">
        <v>2327</v>
      </c>
      <c r="F2384" s="20">
        <v>0</v>
      </c>
      <c r="G2384" t="s">
        <v>23</v>
      </c>
      <c r="H2384">
        <v>1500</v>
      </c>
      <c r="I2384" s="16" t="str">
        <f t="shared" si="37"/>
        <v>Normal</v>
      </c>
      <c r="J2384">
        <v>2</v>
      </c>
    </row>
    <row r="2385" spans="1:10">
      <c r="A2385" t="s">
        <v>4768</v>
      </c>
      <c r="B2385" t="s">
        <v>2006</v>
      </c>
      <c r="C2385" t="s">
        <v>2273</v>
      </c>
      <c r="D2385" s="9">
        <v>45878</v>
      </c>
      <c r="E2385" t="s">
        <v>2324</v>
      </c>
      <c r="F2385" s="20">
        <v>40</v>
      </c>
      <c r="G2385" t="s">
        <v>2328</v>
      </c>
      <c r="H2385">
        <v>799</v>
      </c>
      <c r="I2385" s="16" t="str">
        <f t="shared" si="37"/>
        <v>Normal</v>
      </c>
      <c r="J2385">
        <v>1</v>
      </c>
    </row>
    <row r="2386" spans="1:10">
      <c r="A2386" t="s">
        <v>4769</v>
      </c>
      <c r="B2386" t="s">
        <v>1432</v>
      </c>
      <c r="C2386" t="s">
        <v>2249</v>
      </c>
      <c r="D2386" s="9">
        <v>46004</v>
      </c>
      <c r="E2386" t="s">
        <v>23</v>
      </c>
      <c r="G2386" t="s">
        <v>2339</v>
      </c>
      <c r="H2386">
        <v>1500</v>
      </c>
      <c r="I2386" s="16" t="str">
        <f t="shared" si="37"/>
        <v>Normal</v>
      </c>
      <c r="J2386" t="s">
        <v>39</v>
      </c>
    </row>
    <row r="2387" spans="1:10">
      <c r="A2387" t="s">
        <v>4770</v>
      </c>
      <c r="B2387" t="s">
        <v>1336</v>
      </c>
      <c r="C2387" t="s">
        <v>2261</v>
      </c>
      <c r="D2387" s="9">
        <v>45742</v>
      </c>
      <c r="E2387" t="s">
        <v>2330</v>
      </c>
      <c r="F2387" s="20">
        <v>100</v>
      </c>
      <c r="G2387" t="s">
        <v>2339</v>
      </c>
      <c r="I2387" s="16" t="str">
        <f t="shared" si="37"/>
        <v>Unknown</v>
      </c>
      <c r="J2387" t="s">
        <v>39</v>
      </c>
    </row>
    <row r="2388" spans="1:10">
      <c r="A2388" t="s">
        <v>4771</v>
      </c>
      <c r="B2388" t="s">
        <v>1857</v>
      </c>
      <c r="C2388" t="s">
        <v>2193</v>
      </c>
      <c r="D2388" s="9">
        <v>45793</v>
      </c>
      <c r="E2388" t="s">
        <v>2324</v>
      </c>
      <c r="F2388" s="20">
        <v>10</v>
      </c>
      <c r="G2388" t="s">
        <v>2328</v>
      </c>
      <c r="H2388">
        <v>0</v>
      </c>
      <c r="I2388" s="16" t="str">
        <f t="shared" si="37"/>
        <v>Zero Amount</v>
      </c>
      <c r="J2388" t="s">
        <v>39</v>
      </c>
    </row>
    <row r="2389" spans="1:10">
      <c r="A2389" t="s">
        <v>4772</v>
      </c>
      <c r="B2389" t="s">
        <v>387</v>
      </c>
      <c r="C2389" t="s">
        <v>2253</v>
      </c>
      <c r="D2389" s="9">
        <v>45458</v>
      </c>
      <c r="E2389" t="s">
        <v>2330</v>
      </c>
      <c r="F2389" s="20">
        <v>100</v>
      </c>
      <c r="G2389" t="s">
        <v>2325</v>
      </c>
      <c r="H2389">
        <v>1200</v>
      </c>
      <c r="I2389" s="16" t="str">
        <f t="shared" si="37"/>
        <v>Normal</v>
      </c>
      <c r="J2389" t="s">
        <v>39</v>
      </c>
    </row>
    <row r="2390" spans="1:10">
      <c r="A2390" t="s">
        <v>4773</v>
      </c>
      <c r="B2390" t="s">
        <v>813</v>
      </c>
      <c r="C2390" t="s">
        <v>2228</v>
      </c>
      <c r="D2390" s="9">
        <v>45524</v>
      </c>
      <c r="E2390" t="s">
        <v>2330</v>
      </c>
      <c r="F2390" s="20">
        <v>100</v>
      </c>
      <c r="G2390" t="s">
        <v>2331</v>
      </c>
      <c r="I2390" s="16" t="str">
        <f t="shared" si="37"/>
        <v>Unknown</v>
      </c>
      <c r="J2390">
        <v>5</v>
      </c>
    </row>
    <row r="2391" spans="1:10">
      <c r="A2391" t="s">
        <v>4774</v>
      </c>
      <c r="B2391" t="s">
        <v>267</v>
      </c>
      <c r="C2391" t="s">
        <v>2187</v>
      </c>
      <c r="D2391" s="9">
        <v>46117</v>
      </c>
      <c r="E2391" t="s">
        <v>2330</v>
      </c>
      <c r="F2391" s="20">
        <v>100</v>
      </c>
      <c r="G2391" t="s">
        <v>2331</v>
      </c>
      <c r="H2391">
        <v>799</v>
      </c>
      <c r="I2391" s="16" t="str">
        <f t="shared" si="37"/>
        <v>Normal</v>
      </c>
      <c r="J2391" t="s">
        <v>39</v>
      </c>
    </row>
    <row r="2392" spans="1:10">
      <c r="A2392" t="s">
        <v>4775</v>
      </c>
      <c r="B2392" t="s">
        <v>1602</v>
      </c>
      <c r="C2392" t="s">
        <v>2202</v>
      </c>
      <c r="D2392" s="9">
        <v>45023</v>
      </c>
      <c r="E2392" t="s">
        <v>2327</v>
      </c>
      <c r="F2392" s="20">
        <v>5</v>
      </c>
      <c r="G2392" t="s">
        <v>2345</v>
      </c>
      <c r="H2392">
        <v>999.99</v>
      </c>
      <c r="I2392" s="16" t="str">
        <f t="shared" si="37"/>
        <v>Normal</v>
      </c>
      <c r="J2392">
        <v>3</v>
      </c>
    </row>
    <row r="2393" spans="1:10">
      <c r="A2393" t="s">
        <v>4776</v>
      </c>
      <c r="B2393" t="s">
        <v>1827</v>
      </c>
      <c r="C2393" t="s">
        <v>2198</v>
      </c>
      <c r="D2393" s="9">
        <v>45471</v>
      </c>
      <c r="E2393" t="s">
        <v>2324</v>
      </c>
      <c r="F2393" s="20">
        <v>40</v>
      </c>
      <c r="G2393" t="s">
        <v>23</v>
      </c>
      <c r="I2393" s="16" t="str">
        <f t="shared" si="37"/>
        <v>Unknown</v>
      </c>
      <c r="J2393">
        <v>4</v>
      </c>
    </row>
    <row r="2394" spans="1:10">
      <c r="A2394" t="s">
        <v>4777</v>
      </c>
      <c r="B2394" t="s">
        <v>2135</v>
      </c>
      <c r="C2394" t="s">
        <v>2249</v>
      </c>
      <c r="D2394" s="9">
        <v>45477</v>
      </c>
      <c r="E2394" t="s">
        <v>2330</v>
      </c>
      <c r="F2394" s="20">
        <v>100</v>
      </c>
      <c r="G2394" t="s">
        <v>2331</v>
      </c>
      <c r="H2394">
        <v>1500</v>
      </c>
      <c r="I2394" s="16" t="str">
        <f t="shared" si="37"/>
        <v>Normal</v>
      </c>
      <c r="J2394" t="s">
        <v>39</v>
      </c>
    </row>
    <row r="2395" spans="1:10">
      <c r="A2395" t="s">
        <v>4778</v>
      </c>
      <c r="B2395" t="s">
        <v>836</v>
      </c>
      <c r="C2395" t="s">
        <v>2205</v>
      </c>
      <c r="D2395" s="9">
        <v>45585</v>
      </c>
      <c r="E2395" t="s">
        <v>2330</v>
      </c>
      <c r="F2395" s="20">
        <v>100</v>
      </c>
      <c r="G2395" t="s">
        <v>23</v>
      </c>
      <c r="I2395" s="16" t="str">
        <f t="shared" si="37"/>
        <v>Unknown</v>
      </c>
      <c r="J2395" t="s">
        <v>39</v>
      </c>
    </row>
    <row r="2396" spans="1:10">
      <c r="A2396" t="s">
        <v>4779</v>
      </c>
      <c r="B2396" t="s">
        <v>1726</v>
      </c>
      <c r="C2396" t="s">
        <v>2273</v>
      </c>
      <c r="D2396" s="9">
        <v>45604</v>
      </c>
      <c r="E2396" t="s">
        <v>2324</v>
      </c>
      <c r="F2396" s="20">
        <v>40</v>
      </c>
      <c r="G2396" t="s">
        <v>23</v>
      </c>
      <c r="H2396">
        <v>799</v>
      </c>
      <c r="I2396" s="16" t="str">
        <f t="shared" si="37"/>
        <v>Normal</v>
      </c>
      <c r="J2396">
        <v>3</v>
      </c>
    </row>
    <row r="2397" spans="1:10">
      <c r="A2397" t="s">
        <v>4780</v>
      </c>
      <c r="B2397" t="s">
        <v>1095</v>
      </c>
      <c r="C2397" t="s">
        <v>2267</v>
      </c>
      <c r="D2397" s="9">
        <v>45911</v>
      </c>
      <c r="E2397" t="s">
        <v>23</v>
      </c>
      <c r="G2397" t="s">
        <v>2331</v>
      </c>
      <c r="H2397">
        <v>999.99</v>
      </c>
      <c r="I2397" s="16" t="str">
        <f t="shared" si="37"/>
        <v>Normal</v>
      </c>
      <c r="J2397" t="s">
        <v>39</v>
      </c>
    </row>
    <row r="2398" spans="1:10">
      <c r="A2398" t="s">
        <v>4781</v>
      </c>
      <c r="B2398" t="s">
        <v>1126</v>
      </c>
      <c r="C2398" t="s">
        <v>2261</v>
      </c>
      <c r="D2398" s="9">
        <v>45445</v>
      </c>
      <c r="E2398" t="s">
        <v>2330</v>
      </c>
      <c r="F2398" s="20">
        <v>100</v>
      </c>
      <c r="G2398" t="s">
        <v>2331</v>
      </c>
      <c r="I2398" s="16" t="str">
        <f t="shared" si="37"/>
        <v>Unknown</v>
      </c>
      <c r="J2398">
        <v>4</v>
      </c>
    </row>
    <row r="2399" spans="1:10">
      <c r="A2399" t="s">
        <v>4782</v>
      </c>
      <c r="B2399" t="s">
        <v>335</v>
      </c>
      <c r="C2399" t="s">
        <v>2253</v>
      </c>
      <c r="D2399" s="9">
        <v>45862</v>
      </c>
      <c r="E2399" t="s">
        <v>23</v>
      </c>
      <c r="G2399" t="s">
        <v>2328</v>
      </c>
      <c r="H2399">
        <v>1200</v>
      </c>
      <c r="I2399" s="16" t="str">
        <f t="shared" si="37"/>
        <v>Normal</v>
      </c>
      <c r="J2399">
        <v>4</v>
      </c>
    </row>
    <row r="2400" spans="1:10">
      <c r="A2400" t="s">
        <v>4783</v>
      </c>
      <c r="B2400" t="s">
        <v>1285</v>
      </c>
      <c r="C2400" t="s">
        <v>2193</v>
      </c>
      <c r="D2400" s="9">
        <v>45835</v>
      </c>
      <c r="E2400" t="s">
        <v>2327</v>
      </c>
      <c r="F2400" s="20">
        <v>20</v>
      </c>
      <c r="G2400" t="s">
        <v>2345</v>
      </c>
      <c r="H2400">
        <v>0</v>
      </c>
      <c r="I2400" s="16" t="str">
        <f t="shared" si="37"/>
        <v>Zero Amount</v>
      </c>
      <c r="J2400">
        <v>4</v>
      </c>
    </row>
    <row r="2401" spans="1:10">
      <c r="A2401" t="s">
        <v>4784</v>
      </c>
      <c r="B2401" t="s">
        <v>2122</v>
      </c>
      <c r="C2401" t="s">
        <v>2209</v>
      </c>
      <c r="D2401" s="9">
        <v>45378</v>
      </c>
      <c r="E2401" t="s">
        <v>2324</v>
      </c>
      <c r="G2401" t="s">
        <v>2345</v>
      </c>
      <c r="H2401">
        <v>499</v>
      </c>
      <c r="I2401" s="16" t="str">
        <f t="shared" si="37"/>
        <v>Normal</v>
      </c>
      <c r="J2401">
        <v>3</v>
      </c>
    </row>
    <row r="2402" spans="1:10">
      <c r="A2402" t="s">
        <v>4785</v>
      </c>
      <c r="B2402" t="s">
        <v>1517</v>
      </c>
      <c r="C2402" t="s">
        <v>2253</v>
      </c>
      <c r="D2402" s="9">
        <v>45133</v>
      </c>
      <c r="E2402" t="s">
        <v>2330</v>
      </c>
      <c r="F2402" s="20">
        <v>100</v>
      </c>
      <c r="G2402" t="s">
        <v>2331</v>
      </c>
      <c r="H2402">
        <v>1200</v>
      </c>
      <c r="I2402" s="16" t="str">
        <f t="shared" si="37"/>
        <v>Normal</v>
      </c>
      <c r="J2402" t="s">
        <v>39</v>
      </c>
    </row>
    <row r="2403" spans="1:10">
      <c r="A2403" t="s">
        <v>4786</v>
      </c>
      <c r="B2403" t="s">
        <v>457</v>
      </c>
      <c r="C2403" t="s">
        <v>2231</v>
      </c>
      <c r="D2403" s="9">
        <v>46296</v>
      </c>
      <c r="E2403" t="s">
        <v>23</v>
      </c>
      <c r="G2403" t="s">
        <v>23</v>
      </c>
      <c r="H2403">
        <v>3000</v>
      </c>
      <c r="I2403" s="16" t="str">
        <f t="shared" si="37"/>
        <v>Normal</v>
      </c>
      <c r="J2403" t="s">
        <v>39</v>
      </c>
    </row>
    <row r="2404" spans="1:10">
      <c r="A2404" t="s">
        <v>4787</v>
      </c>
      <c r="B2404" t="s">
        <v>1592</v>
      </c>
      <c r="C2404" t="s">
        <v>2213</v>
      </c>
      <c r="D2404" s="9">
        <v>46158</v>
      </c>
      <c r="E2404" t="s">
        <v>2330</v>
      </c>
      <c r="F2404" s="20">
        <v>100</v>
      </c>
      <c r="G2404" t="s">
        <v>23</v>
      </c>
      <c r="H2404">
        <v>1500</v>
      </c>
      <c r="I2404" s="16" t="str">
        <f t="shared" si="37"/>
        <v>Normal</v>
      </c>
      <c r="J2404" t="s">
        <v>39</v>
      </c>
    </row>
    <row r="2405" spans="1:10">
      <c r="A2405" t="s">
        <v>4788</v>
      </c>
      <c r="B2405" t="s">
        <v>491</v>
      </c>
      <c r="C2405" t="s">
        <v>2244</v>
      </c>
      <c r="D2405" s="9">
        <v>45996</v>
      </c>
      <c r="E2405" t="s">
        <v>2327</v>
      </c>
      <c r="F2405" s="20">
        <v>0</v>
      </c>
      <c r="G2405" t="s">
        <v>2345</v>
      </c>
      <c r="H2405">
        <v>-1200</v>
      </c>
      <c r="I2405" s="16" t="str">
        <f t="shared" si="37"/>
        <v>Review</v>
      </c>
      <c r="J2405" t="s">
        <v>39</v>
      </c>
    </row>
    <row r="2406" spans="1:10">
      <c r="A2406" t="s">
        <v>4789</v>
      </c>
      <c r="B2406" t="s">
        <v>1898</v>
      </c>
      <c r="C2406" t="s">
        <v>2228</v>
      </c>
      <c r="D2406" s="9">
        <v>45713</v>
      </c>
      <c r="E2406" t="s">
        <v>2330</v>
      </c>
      <c r="F2406" s="20">
        <v>100</v>
      </c>
      <c r="G2406" t="s">
        <v>2345</v>
      </c>
      <c r="H2406">
        <v>799</v>
      </c>
      <c r="I2406" s="16" t="str">
        <f t="shared" si="37"/>
        <v>Normal</v>
      </c>
      <c r="J2406">
        <v>5</v>
      </c>
    </row>
    <row r="2407" spans="1:10">
      <c r="A2407" t="s">
        <v>4790</v>
      </c>
      <c r="B2407" t="s">
        <v>597</v>
      </c>
      <c r="C2407" t="s">
        <v>2249</v>
      </c>
      <c r="D2407" s="9">
        <v>45358</v>
      </c>
      <c r="E2407" t="s">
        <v>2330</v>
      </c>
      <c r="F2407" s="20">
        <v>100</v>
      </c>
      <c r="G2407" t="s">
        <v>2325</v>
      </c>
      <c r="H2407">
        <v>1500</v>
      </c>
      <c r="I2407" s="16" t="str">
        <f t="shared" si="37"/>
        <v>Normal</v>
      </c>
      <c r="J2407" t="s">
        <v>39</v>
      </c>
    </row>
    <row r="2408" spans="1:10">
      <c r="A2408" t="s">
        <v>4791</v>
      </c>
      <c r="B2408" t="s">
        <v>1689</v>
      </c>
      <c r="C2408" t="s">
        <v>2267</v>
      </c>
      <c r="D2408" s="9">
        <v>45353</v>
      </c>
      <c r="E2408" t="s">
        <v>2330</v>
      </c>
      <c r="F2408" s="20">
        <v>100</v>
      </c>
      <c r="G2408" t="s">
        <v>2339</v>
      </c>
      <c r="H2408">
        <v>999.99</v>
      </c>
      <c r="I2408" s="16" t="str">
        <f t="shared" si="37"/>
        <v>Normal</v>
      </c>
      <c r="J2408">
        <v>4</v>
      </c>
    </row>
    <row r="2409" spans="1:10">
      <c r="A2409" t="s">
        <v>4792</v>
      </c>
      <c r="B2409" t="s">
        <v>932</v>
      </c>
      <c r="C2409" t="s">
        <v>2257</v>
      </c>
      <c r="D2409" s="9">
        <v>46177</v>
      </c>
      <c r="E2409" t="s">
        <v>2324</v>
      </c>
      <c r="F2409" s="20">
        <v>25</v>
      </c>
      <c r="G2409" t="s">
        <v>2331</v>
      </c>
      <c r="I2409" s="16" t="str">
        <f t="shared" si="37"/>
        <v>Unknown</v>
      </c>
      <c r="J2409" t="s">
        <v>39</v>
      </c>
    </row>
    <row r="2410" spans="1:10">
      <c r="A2410" t="s">
        <v>4793</v>
      </c>
      <c r="B2410" t="s">
        <v>1798</v>
      </c>
      <c r="C2410" t="s">
        <v>2253</v>
      </c>
      <c r="D2410" s="9">
        <v>45502</v>
      </c>
      <c r="E2410" t="s">
        <v>2337</v>
      </c>
      <c r="F2410" s="20">
        <v>20</v>
      </c>
      <c r="G2410" t="s">
        <v>23</v>
      </c>
      <c r="H2410">
        <v>1200</v>
      </c>
      <c r="I2410" s="16" t="str">
        <f t="shared" si="37"/>
        <v>Normal</v>
      </c>
      <c r="J2410">
        <v>4</v>
      </c>
    </row>
    <row r="2411" spans="1:10">
      <c r="A2411" t="s">
        <v>4794</v>
      </c>
      <c r="B2411" t="s">
        <v>1984</v>
      </c>
      <c r="C2411" t="s">
        <v>2257</v>
      </c>
      <c r="D2411" s="9">
        <v>45417</v>
      </c>
      <c r="E2411" t="s">
        <v>2324</v>
      </c>
      <c r="F2411" s="20">
        <v>55</v>
      </c>
      <c r="G2411" t="s">
        <v>23</v>
      </c>
      <c r="I2411" s="16" t="str">
        <f t="shared" si="37"/>
        <v>Unknown</v>
      </c>
      <c r="J2411">
        <v>5</v>
      </c>
    </row>
    <row r="2412" spans="1:10">
      <c r="A2412" t="s">
        <v>4795</v>
      </c>
      <c r="B2412" t="s">
        <v>1540</v>
      </c>
      <c r="C2412" t="s">
        <v>2225</v>
      </c>
      <c r="D2412" s="9">
        <v>45443</v>
      </c>
      <c r="E2412" t="s">
        <v>2324</v>
      </c>
      <c r="F2412" s="20">
        <v>40</v>
      </c>
      <c r="G2412" t="s">
        <v>2339</v>
      </c>
      <c r="I2412" s="16" t="str">
        <f t="shared" si="37"/>
        <v>Unknown</v>
      </c>
      <c r="J2412">
        <v>1</v>
      </c>
    </row>
    <row r="2413" spans="1:10">
      <c r="A2413" t="s">
        <v>4796</v>
      </c>
      <c r="B2413" t="s">
        <v>200</v>
      </c>
      <c r="C2413" t="s">
        <v>2202</v>
      </c>
      <c r="D2413" s="9">
        <v>45837</v>
      </c>
      <c r="E2413" t="s">
        <v>2330</v>
      </c>
      <c r="G2413" t="s">
        <v>2331</v>
      </c>
      <c r="H2413">
        <v>999.99</v>
      </c>
      <c r="I2413" s="16" t="str">
        <f t="shared" si="37"/>
        <v>Normal</v>
      </c>
      <c r="J2413" t="s">
        <v>39</v>
      </c>
    </row>
    <row r="2414" spans="1:10">
      <c r="A2414" t="s">
        <v>4797</v>
      </c>
      <c r="B2414" t="s">
        <v>641</v>
      </c>
      <c r="C2414" t="s">
        <v>2257</v>
      </c>
      <c r="D2414" s="9">
        <v>45130</v>
      </c>
      <c r="E2414" t="s">
        <v>2337</v>
      </c>
      <c r="F2414" s="20">
        <v>15</v>
      </c>
      <c r="G2414" t="s">
        <v>2325</v>
      </c>
      <c r="I2414" s="16" t="str">
        <f t="shared" si="37"/>
        <v>Unknown</v>
      </c>
      <c r="J2414" t="s">
        <v>39</v>
      </c>
    </row>
    <row r="2415" spans="1:10">
      <c r="A2415" t="s">
        <v>4798</v>
      </c>
      <c r="B2415" t="s">
        <v>1383</v>
      </c>
      <c r="C2415" t="s">
        <v>2198</v>
      </c>
      <c r="D2415" s="9">
        <v>45782</v>
      </c>
      <c r="E2415" t="s">
        <v>23</v>
      </c>
      <c r="G2415" t="s">
        <v>2331</v>
      </c>
      <c r="I2415" s="16" t="str">
        <f t="shared" si="37"/>
        <v>Unknown</v>
      </c>
      <c r="J2415" t="s">
        <v>39</v>
      </c>
    </row>
    <row r="2416" spans="1:10">
      <c r="A2416" t="s">
        <v>4799</v>
      </c>
      <c r="B2416" t="s">
        <v>1303</v>
      </c>
      <c r="C2416" t="s">
        <v>2216</v>
      </c>
      <c r="D2416" s="9">
        <v>45280</v>
      </c>
      <c r="E2416" t="s">
        <v>23</v>
      </c>
      <c r="G2416" t="s">
        <v>2331</v>
      </c>
      <c r="H2416">
        <v>1200</v>
      </c>
      <c r="I2416" s="16" t="str">
        <f t="shared" si="37"/>
        <v>Normal</v>
      </c>
      <c r="J2416">
        <v>3</v>
      </c>
    </row>
    <row r="2417" spans="1:10">
      <c r="A2417" t="s">
        <v>4800</v>
      </c>
      <c r="B2417" t="s">
        <v>1445</v>
      </c>
      <c r="C2417" t="s">
        <v>2249</v>
      </c>
      <c r="D2417" s="9">
        <v>45572</v>
      </c>
      <c r="E2417" t="s">
        <v>2337</v>
      </c>
      <c r="F2417" s="20">
        <v>15</v>
      </c>
      <c r="G2417" t="s">
        <v>2345</v>
      </c>
      <c r="H2417">
        <v>1500</v>
      </c>
      <c r="I2417" s="16" t="str">
        <f t="shared" si="37"/>
        <v>Normal</v>
      </c>
      <c r="J2417">
        <v>5</v>
      </c>
    </row>
    <row r="2418" spans="1:10">
      <c r="A2418" t="s">
        <v>4801</v>
      </c>
      <c r="B2418" t="s">
        <v>1907</v>
      </c>
      <c r="C2418" t="s">
        <v>2233</v>
      </c>
      <c r="D2418" s="9">
        <v>45570</v>
      </c>
      <c r="E2418" t="s">
        <v>2327</v>
      </c>
      <c r="F2418" s="20">
        <v>15</v>
      </c>
      <c r="G2418" t="s">
        <v>2331</v>
      </c>
      <c r="H2418">
        <v>2500</v>
      </c>
      <c r="I2418" s="16" t="str">
        <f t="shared" si="37"/>
        <v>Normal</v>
      </c>
      <c r="J2418">
        <v>4</v>
      </c>
    </row>
    <row r="2419" spans="1:10">
      <c r="A2419" t="s">
        <v>4802</v>
      </c>
      <c r="B2419" t="s">
        <v>4803</v>
      </c>
      <c r="C2419" t="s">
        <v>2187</v>
      </c>
      <c r="D2419" s="9">
        <v>46189</v>
      </c>
      <c r="E2419" t="s">
        <v>2337</v>
      </c>
      <c r="F2419" s="20">
        <v>5</v>
      </c>
      <c r="G2419" t="s">
        <v>2328</v>
      </c>
      <c r="H2419">
        <v>799</v>
      </c>
      <c r="I2419" s="16" t="str">
        <f t="shared" si="37"/>
        <v>Normal</v>
      </c>
      <c r="J2419">
        <v>3</v>
      </c>
    </row>
    <row r="2420" spans="1:10">
      <c r="A2420" t="s">
        <v>4804</v>
      </c>
      <c r="B2420" t="s">
        <v>2132</v>
      </c>
      <c r="C2420" t="s">
        <v>2205</v>
      </c>
      <c r="D2420" s="9">
        <v>45123</v>
      </c>
      <c r="E2420" t="s">
        <v>2337</v>
      </c>
      <c r="F2420" s="20">
        <v>15</v>
      </c>
      <c r="G2420" t="s">
        <v>2331</v>
      </c>
      <c r="H2420">
        <v>1500</v>
      </c>
      <c r="I2420" s="16" t="str">
        <f t="shared" si="37"/>
        <v>Normal</v>
      </c>
      <c r="J2420">
        <v>4</v>
      </c>
    </row>
    <row r="2421" spans="1:10">
      <c r="A2421" t="s">
        <v>4805</v>
      </c>
      <c r="B2421" t="s">
        <v>442</v>
      </c>
      <c r="C2421" t="s">
        <v>2205</v>
      </c>
      <c r="D2421" s="9">
        <v>46164</v>
      </c>
      <c r="E2421" t="s">
        <v>2330</v>
      </c>
      <c r="F2421" s="20">
        <v>100</v>
      </c>
      <c r="G2421" t="s">
        <v>23</v>
      </c>
      <c r="H2421">
        <v>-1500</v>
      </c>
      <c r="I2421" s="16" t="str">
        <f t="shared" si="37"/>
        <v>Review</v>
      </c>
      <c r="J2421">
        <v>4</v>
      </c>
    </row>
    <row r="2422" spans="1:10">
      <c r="A2422" t="s">
        <v>4806</v>
      </c>
      <c r="B2422" t="s">
        <v>1558</v>
      </c>
      <c r="C2422" t="s">
        <v>2257</v>
      </c>
      <c r="D2422" s="9">
        <v>45707</v>
      </c>
      <c r="E2422" t="s">
        <v>2327</v>
      </c>
      <c r="G2422" t="s">
        <v>2345</v>
      </c>
      <c r="I2422" s="16" t="str">
        <f t="shared" si="37"/>
        <v>Unknown</v>
      </c>
      <c r="J2422">
        <v>1</v>
      </c>
    </row>
    <row r="2423" spans="1:10">
      <c r="A2423" t="s">
        <v>4807</v>
      </c>
      <c r="B2423" t="s">
        <v>2642</v>
      </c>
      <c r="C2423" t="s">
        <v>2247</v>
      </c>
      <c r="D2423" s="9">
        <v>45635</v>
      </c>
      <c r="E2423" t="s">
        <v>2330</v>
      </c>
      <c r="G2423" t="s">
        <v>2331</v>
      </c>
      <c r="I2423" s="16" t="str">
        <f t="shared" si="37"/>
        <v>Unknown</v>
      </c>
      <c r="J2423">
        <v>2</v>
      </c>
    </row>
    <row r="2424" spans="1:10">
      <c r="A2424" t="s">
        <v>4808</v>
      </c>
      <c r="B2424" t="s">
        <v>520</v>
      </c>
      <c r="C2424" t="s">
        <v>2247</v>
      </c>
      <c r="D2424" s="9">
        <v>45355</v>
      </c>
      <c r="E2424" t="s">
        <v>2330</v>
      </c>
      <c r="G2424" t="s">
        <v>2331</v>
      </c>
      <c r="I2424" s="16" t="str">
        <f t="shared" si="37"/>
        <v>Unknown</v>
      </c>
      <c r="J2424">
        <v>4</v>
      </c>
    </row>
    <row r="2425" spans="1:10">
      <c r="A2425" t="s">
        <v>4809</v>
      </c>
      <c r="B2425" t="s">
        <v>40</v>
      </c>
      <c r="C2425" t="s">
        <v>2209</v>
      </c>
      <c r="D2425" s="9">
        <v>46107</v>
      </c>
      <c r="E2425" t="s">
        <v>2330</v>
      </c>
      <c r="F2425" s="20">
        <v>100</v>
      </c>
      <c r="G2425" t="s">
        <v>23</v>
      </c>
      <c r="H2425">
        <v>499</v>
      </c>
      <c r="I2425" s="16" t="str">
        <f t="shared" si="37"/>
        <v>Normal</v>
      </c>
      <c r="J2425">
        <v>2</v>
      </c>
    </row>
    <row r="2426" spans="1:10">
      <c r="A2426" t="s">
        <v>4810</v>
      </c>
      <c r="B2426" t="s">
        <v>2038</v>
      </c>
      <c r="C2426" t="s">
        <v>2269</v>
      </c>
      <c r="D2426" s="9">
        <v>45242</v>
      </c>
      <c r="E2426" t="s">
        <v>2330</v>
      </c>
      <c r="F2426" s="20">
        <v>100</v>
      </c>
      <c r="G2426" t="s">
        <v>23</v>
      </c>
      <c r="H2426">
        <v>-499</v>
      </c>
      <c r="I2426" s="16" t="str">
        <f t="shared" si="37"/>
        <v>Review</v>
      </c>
      <c r="J2426">
        <v>2</v>
      </c>
    </row>
    <row r="2427" spans="1:10">
      <c r="A2427" t="s">
        <v>4811</v>
      </c>
      <c r="B2427" t="s">
        <v>2094</v>
      </c>
      <c r="C2427" t="s">
        <v>2235</v>
      </c>
      <c r="D2427" s="9">
        <v>45763</v>
      </c>
      <c r="E2427" t="s">
        <v>2324</v>
      </c>
      <c r="F2427" s="20">
        <v>10</v>
      </c>
      <c r="G2427" t="s">
        <v>2345</v>
      </c>
      <c r="H2427">
        <v>1808.84</v>
      </c>
      <c r="I2427" s="16" t="str">
        <f t="shared" si="37"/>
        <v>Normal</v>
      </c>
      <c r="J2427">
        <v>5</v>
      </c>
    </row>
    <row r="2428" spans="1:10">
      <c r="A2428" t="s">
        <v>4812</v>
      </c>
      <c r="B2428" t="s">
        <v>1705</v>
      </c>
      <c r="C2428" t="s">
        <v>2187</v>
      </c>
      <c r="D2428" s="9">
        <v>46029</v>
      </c>
      <c r="E2428" t="s">
        <v>2330</v>
      </c>
      <c r="F2428" s="20">
        <v>100</v>
      </c>
      <c r="G2428" t="s">
        <v>2331</v>
      </c>
      <c r="H2428">
        <v>799</v>
      </c>
      <c r="I2428" s="16" t="str">
        <f t="shared" si="37"/>
        <v>Normal</v>
      </c>
      <c r="J2428">
        <v>4</v>
      </c>
    </row>
    <row r="2429" spans="1:10">
      <c r="A2429" t="s">
        <v>4813</v>
      </c>
      <c r="B2429" t="s">
        <v>1114</v>
      </c>
      <c r="C2429" t="s">
        <v>2235</v>
      </c>
      <c r="D2429" s="9">
        <v>45204</v>
      </c>
      <c r="E2429" t="s">
        <v>2327</v>
      </c>
      <c r="F2429" s="20">
        <v>5</v>
      </c>
      <c r="G2429" t="s">
        <v>2339</v>
      </c>
      <c r="H2429">
        <v>3000</v>
      </c>
      <c r="I2429" s="16" t="str">
        <f t="shared" si="37"/>
        <v>Normal</v>
      </c>
      <c r="J2429">
        <v>1</v>
      </c>
    </row>
    <row r="2430" spans="1:10">
      <c r="A2430" t="s">
        <v>4814</v>
      </c>
      <c r="B2430" t="s">
        <v>250</v>
      </c>
      <c r="C2430" t="s">
        <v>2273</v>
      </c>
      <c r="D2430" s="9">
        <v>45337</v>
      </c>
      <c r="E2430" t="s">
        <v>2330</v>
      </c>
      <c r="G2430" t="s">
        <v>2328</v>
      </c>
      <c r="H2430">
        <v>799</v>
      </c>
      <c r="I2430" s="16" t="str">
        <f t="shared" si="37"/>
        <v>Normal</v>
      </c>
      <c r="J2430">
        <v>3</v>
      </c>
    </row>
    <row r="2431" spans="1:10">
      <c r="A2431" t="s">
        <v>4815</v>
      </c>
      <c r="B2431" t="s">
        <v>1809</v>
      </c>
      <c r="C2431" t="s">
        <v>2231</v>
      </c>
      <c r="D2431" s="9">
        <v>46185</v>
      </c>
      <c r="E2431" t="s">
        <v>23</v>
      </c>
      <c r="G2431" t="s">
        <v>2328</v>
      </c>
      <c r="H2431">
        <v>3000</v>
      </c>
      <c r="I2431" s="16" t="str">
        <f t="shared" si="37"/>
        <v>Normal</v>
      </c>
      <c r="J2431" t="s">
        <v>39</v>
      </c>
    </row>
    <row r="2432" spans="1:10">
      <c r="A2432" t="s">
        <v>4816</v>
      </c>
      <c r="B2432" t="s">
        <v>842</v>
      </c>
      <c r="C2432" t="s">
        <v>2253</v>
      </c>
      <c r="D2432" s="9">
        <v>45723</v>
      </c>
      <c r="E2432" t="s">
        <v>2337</v>
      </c>
      <c r="F2432" s="20">
        <v>5</v>
      </c>
      <c r="G2432" t="s">
        <v>2339</v>
      </c>
      <c r="H2432">
        <v>-1200</v>
      </c>
      <c r="I2432" s="16" t="str">
        <f t="shared" si="37"/>
        <v>Review</v>
      </c>
      <c r="J2432" t="s">
        <v>39</v>
      </c>
    </row>
    <row r="2433" spans="1:10">
      <c r="A2433" t="s">
        <v>4817</v>
      </c>
      <c r="B2433" t="s">
        <v>597</v>
      </c>
      <c r="C2433" t="s">
        <v>2187</v>
      </c>
      <c r="D2433" s="9">
        <v>45293</v>
      </c>
      <c r="E2433" t="s">
        <v>2330</v>
      </c>
      <c r="G2433" t="s">
        <v>2339</v>
      </c>
      <c r="H2433">
        <v>799</v>
      </c>
      <c r="I2433" s="16" t="str">
        <f t="shared" si="37"/>
        <v>Normal</v>
      </c>
      <c r="J2433">
        <v>5</v>
      </c>
    </row>
    <row r="2434" spans="1:10">
      <c r="A2434" t="s">
        <v>4818</v>
      </c>
      <c r="B2434" t="s">
        <v>1452</v>
      </c>
      <c r="C2434" t="s">
        <v>2267</v>
      </c>
      <c r="D2434" s="9">
        <v>45272</v>
      </c>
      <c r="E2434" t="s">
        <v>2330</v>
      </c>
      <c r="F2434" s="20">
        <v>100</v>
      </c>
      <c r="G2434" t="s">
        <v>2325</v>
      </c>
      <c r="H2434">
        <v>999.99</v>
      </c>
      <c r="I2434" s="16" t="str">
        <f t="shared" si="37"/>
        <v>Normal</v>
      </c>
      <c r="J2434">
        <v>1</v>
      </c>
    </row>
    <row r="2435" spans="1:10">
      <c r="A2435" t="s">
        <v>4819</v>
      </c>
      <c r="B2435" t="s">
        <v>1578</v>
      </c>
      <c r="C2435" t="s">
        <v>2269</v>
      </c>
      <c r="D2435" s="9">
        <v>45950</v>
      </c>
      <c r="E2435" t="s">
        <v>2337</v>
      </c>
      <c r="F2435" s="20">
        <v>0</v>
      </c>
      <c r="G2435" t="s">
        <v>2328</v>
      </c>
      <c r="H2435">
        <v>499</v>
      </c>
      <c r="I2435" s="16" t="str">
        <f t="shared" ref="I2435:I2498" si="38">IF(H2435="", "Unknown", IF(H2435=0, "Zero Amount", IF(H2435&lt;1, "Review", IF(H2435&gt;1, "Normal"))))</f>
        <v>Normal</v>
      </c>
      <c r="J2435">
        <v>5</v>
      </c>
    </row>
    <row r="2436" spans="1:10">
      <c r="A2436" t="s">
        <v>4820</v>
      </c>
      <c r="B2436" t="s">
        <v>1849</v>
      </c>
      <c r="C2436" t="s">
        <v>2259</v>
      </c>
      <c r="D2436" s="9">
        <v>45902</v>
      </c>
      <c r="E2436" t="s">
        <v>2324</v>
      </c>
      <c r="F2436" s="20">
        <v>75</v>
      </c>
      <c r="G2436" t="s">
        <v>2331</v>
      </c>
      <c r="H2436">
        <v>0</v>
      </c>
      <c r="I2436" s="16" t="str">
        <f t="shared" si="38"/>
        <v>Zero Amount</v>
      </c>
      <c r="J2436">
        <v>1</v>
      </c>
    </row>
    <row r="2437" spans="1:10">
      <c r="A2437" t="s">
        <v>4821</v>
      </c>
      <c r="B2437" t="s">
        <v>968</v>
      </c>
      <c r="C2437" t="s">
        <v>2249</v>
      </c>
      <c r="D2437" s="9">
        <v>45331</v>
      </c>
      <c r="E2437" t="s">
        <v>2337</v>
      </c>
      <c r="G2437" t="s">
        <v>2331</v>
      </c>
      <c r="H2437">
        <v>1500</v>
      </c>
      <c r="I2437" s="16" t="str">
        <f t="shared" si="38"/>
        <v>Normal</v>
      </c>
      <c r="J2437" t="s">
        <v>39</v>
      </c>
    </row>
    <row r="2438" spans="1:10">
      <c r="A2438" t="s">
        <v>4822</v>
      </c>
      <c r="B2438" t="s">
        <v>1565</v>
      </c>
      <c r="C2438" t="s">
        <v>2218</v>
      </c>
      <c r="D2438" s="9">
        <v>45545</v>
      </c>
      <c r="E2438" t="s">
        <v>2330</v>
      </c>
      <c r="F2438" s="20">
        <v>100</v>
      </c>
      <c r="G2438" t="s">
        <v>2339</v>
      </c>
      <c r="H2438">
        <v>1500</v>
      </c>
      <c r="I2438" s="16" t="str">
        <f t="shared" si="38"/>
        <v>Normal</v>
      </c>
      <c r="J2438" t="s">
        <v>39</v>
      </c>
    </row>
    <row r="2439" spans="1:10">
      <c r="A2439" t="s">
        <v>4823</v>
      </c>
      <c r="B2439" t="s">
        <v>997</v>
      </c>
      <c r="C2439" t="s">
        <v>2249</v>
      </c>
      <c r="D2439" s="9">
        <v>45921</v>
      </c>
      <c r="E2439" t="s">
        <v>2324</v>
      </c>
      <c r="F2439" s="20">
        <v>60</v>
      </c>
      <c r="G2439" t="s">
        <v>2345</v>
      </c>
      <c r="H2439">
        <v>949.76</v>
      </c>
      <c r="I2439" s="16" t="str">
        <f t="shared" si="38"/>
        <v>Normal</v>
      </c>
      <c r="J2439">
        <v>1</v>
      </c>
    </row>
    <row r="2440" spans="1:10">
      <c r="A2440" t="s">
        <v>4824</v>
      </c>
      <c r="B2440" t="s">
        <v>324</v>
      </c>
      <c r="C2440" t="s">
        <v>2202</v>
      </c>
      <c r="D2440" s="9">
        <v>45556</v>
      </c>
      <c r="E2440" t="s">
        <v>2330</v>
      </c>
      <c r="G2440" t="s">
        <v>2331</v>
      </c>
      <c r="H2440">
        <v>999.99</v>
      </c>
      <c r="I2440" s="16" t="str">
        <f t="shared" si="38"/>
        <v>Normal</v>
      </c>
      <c r="J2440">
        <v>4</v>
      </c>
    </row>
    <row r="2441" spans="1:10">
      <c r="A2441" t="s">
        <v>4825</v>
      </c>
      <c r="B2441" t="s">
        <v>1967</v>
      </c>
      <c r="C2441" t="s">
        <v>2257</v>
      </c>
      <c r="D2441" s="9">
        <v>45754</v>
      </c>
      <c r="E2441" t="s">
        <v>2330</v>
      </c>
      <c r="F2441" s="20">
        <v>100</v>
      </c>
      <c r="G2441" t="s">
        <v>2325</v>
      </c>
      <c r="I2441" s="16" t="str">
        <f t="shared" si="38"/>
        <v>Unknown</v>
      </c>
      <c r="J2441">
        <v>5</v>
      </c>
    </row>
    <row r="2442" spans="1:10">
      <c r="A2442" t="s">
        <v>4826</v>
      </c>
      <c r="B2442" t="s">
        <v>2351</v>
      </c>
      <c r="C2442" t="s">
        <v>2259</v>
      </c>
      <c r="D2442" s="9">
        <v>45448</v>
      </c>
      <c r="E2442" t="s">
        <v>2330</v>
      </c>
      <c r="F2442" s="20">
        <v>100</v>
      </c>
      <c r="G2442" t="s">
        <v>2331</v>
      </c>
      <c r="H2442">
        <v>0</v>
      </c>
      <c r="I2442" s="16" t="str">
        <f t="shared" si="38"/>
        <v>Zero Amount</v>
      </c>
      <c r="J2442">
        <v>2</v>
      </c>
    </row>
    <row r="2443" spans="1:10">
      <c r="A2443" t="s">
        <v>4827</v>
      </c>
      <c r="B2443" t="s">
        <v>264</v>
      </c>
      <c r="C2443" t="s">
        <v>2222</v>
      </c>
      <c r="D2443" s="9">
        <v>45496</v>
      </c>
      <c r="E2443" t="s">
        <v>2330</v>
      </c>
      <c r="G2443" t="s">
        <v>2328</v>
      </c>
      <c r="H2443">
        <v>0</v>
      </c>
      <c r="I2443" s="16" t="str">
        <f t="shared" si="38"/>
        <v>Zero Amount</v>
      </c>
      <c r="J2443">
        <v>1</v>
      </c>
    </row>
    <row r="2444" spans="1:10">
      <c r="A2444" t="s">
        <v>4828</v>
      </c>
      <c r="B2444" t="s">
        <v>1442</v>
      </c>
      <c r="C2444" t="s">
        <v>2271</v>
      </c>
      <c r="D2444" s="9">
        <v>45213</v>
      </c>
      <c r="E2444" t="s">
        <v>2324</v>
      </c>
      <c r="F2444" s="20">
        <v>10</v>
      </c>
      <c r="G2444" t="s">
        <v>2325</v>
      </c>
      <c r="H2444">
        <v>1200</v>
      </c>
      <c r="I2444" s="16" t="str">
        <f t="shared" si="38"/>
        <v>Normal</v>
      </c>
      <c r="J2444">
        <v>1</v>
      </c>
    </row>
    <row r="2445" spans="1:10">
      <c r="A2445" t="s">
        <v>4829</v>
      </c>
      <c r="B2445" t="s">
        <v>1933</v>
      </c>
      <c r="C2445" t="s">
        <v>2251</v>
      </c>
      <c r="D2445" s="9">
        <v>46067</v>
      </c>
      <c r="E2445" t="s">
        <v>2324</v>
      </c>
      <c r="F2445" s="20">
        <v>40</v>
      </c>
      <c r="G2445" t="s">
        <v>23</v>
      </c>
      <c r="H2445">
        <v>-1500</v>
      </c>
      <c r="I2445" s="16" t="str">
        <f t="shared" si="38"/>
        <v>Review</v>
      </c>
      <c r="J2445">
        <v>5</v>
      </c>
    </row>
    <row r="2446" spans="1:10">
      <c r="A2446" t="s">
        <v>4830</v>
      </c>
      <c r="B2446" t="s">
        <v>1177</v>
      </c>
      <c r="C2446" t="s">
        <v>2235</v>
      </c>
      <c r="D2446" s="9">
        <v>46239</v>
      </c>
      <c r="E2446" t="s">
        <v>2324</v>
      </c>
      <c r="F2446" s="20">
        <v>60</v>
      </c>
      <c r="G2446" t="s">
        <v>2345</v>
      </c>
      <c r="I2446" s="16" t="str">
        <f t="shared" si="38"/>
        <v>Unknown</v>
      </c>
      <c r="J2446" t="s">
        <v>39</v>
      </c>
    </row>
    <row r="2447" spans="1:10">
      <c r="A2447" t="s">
        <v>4831</v>
      </c>
      <c r="B2447" t="s">
        <v>414</v>
      </c>
      <c r="C2447" t="s">
        <v>2273</v>
      </c>
      <c r="D2447" s="9">
        <v>45698</v>
      </c>
      <c r="E2447" t="s">
        <v>2324</v>
      </c>
      <c r="F2447" s="20">
        <v>55</v>
      </c>
      <c r="G2447" t="s">
        <v>23</v>
      </c>
      <c r="H2447">
        <v>799</v>
      </c>
      <c r="I2447" s="16" t="str">
        <f t="shared" si="38"/>
        <v>Normal</v>
      </c>
      <c r="J2447">
        <v>2</v>
      </c>
    </row>
    <row r="2448" spans="1:10">
      <c r="A2448" t="s">
        <v>4832</v>
      </c>
      <c r="B2448" t="s">
        <v>1680</v>
      </c>
      <c r="C2448" t="s">
        <v>2244</v>
      </c>
      <c r="D2448" s="9">
        <v>45357</v>
      </c>
      <c r="E2448" t="s">
        <v>2330</v>
      </c>
      <c r="F2448" s="20">
        <v>100</v>
      </c>
      <c r="G2448" t="s">
        <v>2345</v>
      </c>
      <c r="I2448" s="16" t="str">
        <f t="shared" si="38"/>
        <v>Unknown</v>
      </c>
      <c r="J2448" t="s">
        <v>39</v>
      </c>
    </row>
    <row r="2449" spans="1:10">
      <c r="A2449" t="s">
        <v>4833</v>
      </c>
      <c r="B2449" t="s">
        <v>607</v>
      </c>
      <c r="C2449" t="s">
        <v>2271</v>
      </c>
      <c r="D2449" s="9">
        <v>45685</v>
      </c>
      <c r="E2449" t="s">
        <v>2324</v>
      </c>
      <c r="F2449" s="20">
        <v>55</v>
      </c>
      <c r="G2449" t="s">
        <v>2325</v>
      </c>
      <c r="H2449">
        <v>1200</v>
      </c>
      <c r="I2449" s="16" t="str">
        <f t="shared" si="38"/>
        <v>Normal</v>
      </c>
      <c r="J2449">
        <v>4</v>
      </c>
    </row>
    <row r="2450" spans="1:10">
      <c r="A2450" t="s">
        <v>4834</v>
      </c>
      <c r="B2450" t="s">
        <v>1794</v>
      </c>
      <c r="C2450" t="s">
        <v>2257</v>
      </c>
      <c r="D2450" s="9">
        <v>45527</v>
      </c>
      <c r="E2450" t="s">
        <v>2337</v>
      </c>
      <c r="F2450" s="20">
        <v>0</v>
      </c>
      <c r="G2450" t="s">
        <v>2328</v>
      </c>
      <c r="I2450" s="16" t="str">
        <f t="shared" si="38"/>
        <v>Unknown</v>
      </c>
      <c r="J2450" t="s">
        <v>39</v>
      </c>
    </row>
    <row r="2451" spans="1:10">
      <c r="A2451" t="s">
        <v>4835</v>
      </c>
      <c r="B2451" t="s">
        <v>1582</v>
      </c>
      <c r="C2451" t="s">
        <v>2264</v>
      </c>
      <c r="D2451" s="9">
        <v>46039</v>
      </c>
      <c r="E2451" t="s">
        <v>2337</v>
      </c>
      <c r="F2451" s="20">
        <v>0</v>
      </c>
      <c r="G2451" t="s">
        <v>23</v>
      </c>
      <c r="I2451" s="16" t="str">
        <f t="shared" si="38"/>
        <v>Unknown</v>
      </c>
      <c r="J2451" t="s">
        <v>39</v>
      </c>
    </row>
    <row r="2452" spans="1:10">
      <c r="A2452" t="s">
        <v>4836</v>
      </c>
      <c r="B2452" t="s">
        <v>1442</v>
      </c>
      <c r="C2452" t="s">
        <v>2235</v>
      </c>
      <c r="D2452" s="9">
        <v>45640</v>
      </c>
      <c r="E2452" t="s">
        <v>2330</v>
      </c>
      <c r="F2452" s="20">
        <v>100</v>
      </c>
      <c r="G2452" t="s">
        <v>2331</v>
      </c>
      <c r="H2452">
        <v>3000</v>
      </c>
      <c r="I2452" s="16" t="str">
        <f t="shared" si="38"/>
        <v>Normal</v>
      </c>
      <c r="J2452">
        <v>1</v>
      </c>
    </row>
    <row r="2453" spans="1:10">
      <c r="A2453" t="s">
        <v>4837</v>
      </c>
      <c r="B2453" t="s">
        <v>2583</v>
      </c>
      <c r="C2453" t="s">
        <v>2269</v>
      </c>
      <c r="D2453" s="9">
        <v>45606</v>
      </c>
      <c r="E2453" t="s">
        <v>2324</v>
      </c>
      <c r="G2453" t="s">
        <v>2325</v>
      </c>
      <c r="H2453">
        <v>499</v>
      </c>
      <c r="I2453" s="16" t="str">
        <f t="shared" si="38"/>
        <v>Normal</v>
      </c>
      <c r="J2453" t="s">
        <v>39</v>
      </c>
    </row>
    <row r="2454" spans="1:10">
      <c r="A2454" t="s">
        <v>4838</v>
      </c>
      <c r="B2454" t="s">
        <v>1404</v>
      </c>
      <c r="C2454" t="s">
        <v>2213</v>
      </c>
      <c r="D2454" s="9">
        <v>46003</v>
      </c>
      <c r="E2454" t="s">
        <v>2324</v>
      </c>
      <c r="F2454" s="20">
        <v>75</v>
      </c>
      <c r="G2454" t="s">
        <v>2331</v>
      </c>
      <c r="H2454">
        <v>1500</v>
      </c>
      <c r="I2454" s="16" t="str">
        <f t="shared" si="38"/>
        <v>Normal</v>
      </c>
      <c r="J2454">
        <v>5</v>
      </c>
    </row>
    <row r="2455" spans="1:10">
      <c r="A2455" t="s">
        <v>4839</v>
      </c>
      <c r="B2455" t="s">
        <v>1576</v>
      </c>
      <c r="C2455" t="s">
        <v>2225</v>
      </c>
      <c r="D2455" s="9">
        <v>45590</v>
      </c>
      <c r="E2455" t="s">
        <v>2327</v>
      </c>
      <c r="G2455" t="s">
        <v>2325</v>
      </c>
      <c r="I2455" s="16" t="str">
        <f t="shared" si="38"/>
        <v>Unknown</v>
      </c>
      <c r="J2455">
        <v>3</v>
      </c>
    </row>
    <row r="2456" spans="1:10">
      <c r="A2456" t="s">
        <v>4840</v>
      </c>
      <c r="B2456" t="s">
        <v>946</v>
      </c>
      <c r="C2456" t="s">
        <v>2247</v>
      </c>
      <c r="D2456" s="9">
        <v>46110</v>
      </c>
      <c r="E2456" t="s">
        <v>2327</v>
      </c>
      <c r="F2456" s="20">
        <v>15</v>
      </c>
      <c r="G2456" t="s">
        <v>2339</v>
      </c>
      <c r="I2456" s="16" t="str">
        <f t="shared" si="38"/>
        <v>Unknown</v>
      </c>
      <c r="J2456" t="s">
        <v>39</v>
      </c>
    </row>
    <row r="2457" spans="1:10">
      <c r="A2457" t="s">
        <v>4841</v>
      </c>
      <c r="B2457" t="s">
        <v>383</v>
      </c>
      <c r="C2457" t="s">
        <v>2235</v>
      </c>
      <c r="D2457" s="9">
        <v>45292</v>
      </c>
      <c r="E2457" t="s">
        <v>23</v>
      </c>
      <c r="G2457" t="s">
        <v>2331</v>
      </c>
      <c r="H2457">
        <v>3000</v>
      </c>
      <c r="I2457" s="16" t="str">
        <f t="shared" si="38"/>
        <v>Normal</v>
      </c>
      <c r="J2457">
        <v>3</v>
      </c>
    </row>
    <row r="2458" spans="1:10">
      <c r="A2458" t="s">
        <v>4842</v>
      </c>
      <c r="B2458" t="s">
        <v>1248</v>
      </c>
      <c r="C2458" t="s">
        <v>2244</v>
      </c>
      <c r="D2458" s="9">
        <v>45327</v>
      </c>
      <c r="E2458" t="s">
        <v>2337</v>
      </c>
      <c r="F2458" s="20">
        <v>20</v>
      </c>
      <c r="G2458" t="s">
        <v>2325</v>
      </c>
      <c r="H2458">
        <v>1200</v>
      </c>
      <c r="I2458" s="16" t="str">
        <f t="shared" si="38"/>
        <v>Normal</v>
      </c>
      <c r="J2458">
        <v>5</v>
      </c>
    </row>
    <row r="2459" spans="1:10">
      <c r="A2459" t="s">
        <v>4843</v>
      </c>
      <c r="B2459" t="s">
        <v>40</v>
      </c>
      <c r="C2459" t="s">
        <v>2267</v>
      </c>
      <c r="D2459" s="9">
        <v>45681</v>
      </c>
      <c r="E2459" t="s">
        <v>2330</v>
      </c>
      <c r="F2459" s="20">
        <v>100</v>
      </c>
      <c r="G2459" t="s">
        <v>2331</v>
      </c>
      <c r="H2459">
        <v>999.99</v>
      </c>
      <c r="I2459" s="16" t="str">
        <f t="shared" si="38"/>
        <v>Normal</v>
      </c>
      <c r="J2459" t="s">
        <v>39</v>
      </c>
    </row>
    <row r="2460" spans="1:10">
      <c r="A2460" t="s">
        <v>4844</v>
      </c>
      <c r="B2460" t="s">
        <v>787</v>
      </c>
      <c r="C2460" t="s">
        <v>2209</v>
      </c>
      <c r="D2460" s="9">
        <v>45464</v>
      </c>
      <c r="E2460" t="s">
        <v>2327</v>
      </c>
      <c r="F2460" s="20">
        <v>20</v>
      </c>
      <c r="G2460" t="s">
        <v>2325</v>
      </c>
      <c r="H2460">
        <v>-499</v>
      </c>
      <c r="I2460" s="16" t="str">
        <f t="shared" si="38"/>
        <v>Review</v>
      </c>
      <c r="J2460">
        <v>4</v>
      </c>
    </row>
    <row r="2461" spans="1:10">
      <c r="A2461" t="s">
        <v>4845</v>
      </c>
      <c r="B2461" t="s">
        <v>976</v>
      </c>
      <c r="C2461" t="s">
        <v>2225</v>
      </c>
      <c r="D2461" s="9">
        <v>45606</v>
      </c>
      <c r="E2461" t="s">
        <v>2324</v>
      </c>
      <c r="G2461" t="s">
        <v>2339</v>
      </c>
      <c r="I2461" s="16" t="str">
        <f t="shared" si="38"/>
        <v>Unknown</v>
      </c>
      <c r="J2461" t="s">
        <v>39</v>
      </c>
    </row>
    <row r="2462" spans="1:10">
      <c r="A2462" t="s">
        <v>4846</v>
      </c>
      <c r="B2462" t="s">
        <v>4847</v>
      </c>
      <c r="C2462" t="s">
        <v>2228</v>
      </c>
      <c r="D2462" s="9">
        <v>45286</v>
      </c>
      <c r="E2462" t="s">
        <v>2337</v>
      </c>
      <c r="F2462" s="20">
        <v>0</v>
      </c>
      <c r="G2462" t="s">
        <v>23</v>
      </c>
      <c r="H2462">
        <v>799</v>
      </c>
      <c r="I2462" s="16" t="str">
        <f t="shared" si="38"/>
        <v>Normal</v>
      </c>
      <c r="J2462">
        <v>1</v>
      </c>
    </row>
    <row r="2463" spans="1:10">
      <c r="A2463" t="s">
        <v>4848</v>
      </c>
      <c r="B2463" t="s">
        <v>739</v>
      </c>
      <c r="C2463" t="s">
        <v>2273</v>
      </c>
      <c r="D2463" s="9">
        <v>46092</v>
      </c>
      <c r="E2463" t="s">
        <v>23</v>
      </c>
      <c r="G2463" t="s">
        <v>2345</v>
      </c>
      <c r="H2463">
        <v>799</v>
      </c>
      <c r="I2463" s="16" t="str">
        <f t="shared" si="38"/>
        <v>Normal</v>
      </c>
      <c r="J2463" t="s">
        <v>39</v>
      </c>
    </row>
    <row r="2464" spans="1:10">
      <c r="A2464" t="s">
        <v>4849</v>
      </c>
      <c r="B2464" t="s">
        <v>1700</v>
      </c>
      <c r="C2464" t="s">
        <v>2261</v>
      </c>
      <c r="D2464" s="9">
        <v>45518</v>
      </c>
      <c r="E2464" t="s">
        <v>2327</v>
      </c>
      <c r="F2464" s="20">
        <v>20</v>
      </c>
      <c r="G2464" t="s">
        <v>2331</v>
      </c>
      <c r="I2464" s="16" t="str">
        <f t="shared" si="38"/>
        <v>Unknown</v>
      </c>
      <c r="J2464">
        <v>5</v>
      </c>
    </row>
    <row r="2465" spans="1:10">
      <c r="A2465" t="s">
        <v>4850</v>
      </c>
      <c r="B2465" t="s">
        <v>481</v>
      </c>
      <c r="C2465" t="s">
        <v>2271</v>
      </c>
      <c r="D2465" s="9">
        <v>45813</v>
      </c>
      <c r="E2465" t="s">
        <v>2330</v>
      </c>
      <c r="G2465" t="s">
        <v>23</v>
      </c>
      <c r="H2465">
        <v>1200</v>
      </c>
      <c r="I2465" s="16" t="str">
        <f t="shared" si="38"/>
        <v>Normal</v>
      </c>
      <c r="J2465" t="s">
        <v>39</v>
      </c>
    </row>
    <row r="2466" spans="1:10">
      <c r="A2466" t="s">
        <v>4851</v>
      </c>
      <c r="B2466" t="s">
        <v>1870</v>
      </c>
      <c r="C2466" t="s">
        <v>2273</v>
      </c>
      <c r="D2466" s="9">
        <v>46165</v>
      </c>
      <c r="E2466" t="s">
        <v>2330</v>
      </c>
      <c r="F2466" s="20">
        <v>100</v>
      </c>
      <c r="G2466" t="s">
        <v>2345</v>
      </c>
      <c r="H2466">
        <v>799</v>
      </c>
      <c r="I2466" s="16" t="str">
        <f t="shared" si="38"/>
        <v>Normal</v>
      </c>
      <c r="J2466" t="s">
        <v>39</v>
      </c>
    </row>
    <row r="2467" spans="1:10">
      <c r="A2467" t="s">
        <v>4852</v>
      </c>
      <c r="B2467" t="s">
        <v>56</v>
      </c>
      <c r="C2467" t="s">
        <v>2235</v>
      </c>
      <c r="D2467" s="9">
        <v>45547</v>
      </c>
      <c r="E2467" t="s">
        <v>2327</v>
      </c>
      <c r="F2467" s="20">
        <v>0</v>
      </c>
      <c r="G2467" t="s">
        <v>2345</v>
      </c>
      <c r="H2467">
        <v>3000</v>
      </c>
      <c r="I2467" s="16" t="str">
        <f t="shared" si="38"/>
        <v>Normal</v>
      </c>
      <c r="J2467" t="s">
        <v>39</v>
      </c>
    </row>
    <row r="2468" spans="1:10">
      <c r="A2468" t="s">
        <v>4853</v>
      </c>
      <c r="B2468" t="s">
        <v>554</v>
      </c>
      <c r="C2468" t="s">
        <v>2213</v>
      </c>
      <c r="D2468" s="9">
        <v>45795</v>
      </c>
      <c r="E2468" t="s">
        <v>2330</v>
      </c>
      <c r="G2468" t="s">
        <v>2345</v>
      </c>
      <c r="H2468">
        <v>1500</v>
      </c>
      <c r="I2468" s="16" t="str">
        <f t="shared" si="38"/>
        <v>Normal</v>
      </c>
      <c r="J2468">
        <v>5</v>
      </c>
    </row>
    <row r="2469" spans="1:10">
      <c r="A2469" t="s">
        <v>4854</v>
      </c>
      <c r="B2469" t="s">
        <v>1315</v>
      </c>
      <c r="C2469" t="s">
        <v>2259</v>
      </c>
      <c r="D2469" s="9">
        <v>45776</v>
      </c>
      <c r="E2469" t="s">
        <v>23</v>
      </c>
      <c r="G2469" t="s">
        <v>2331</v>
      </c>
      <c r="H2469">
        <v>0</v>
      </c>
      <c r="I2469" s="16" t="str">
        <f t="shared" si="38"/>
        <v>Zero Amount</v>
      </c>
      <c r="J2469">
        <v>5</v>
      </c>
    </row>
    <row r="2470" spans="1:10">
      <c r="A2470" t="s">
        <v>4855</v>
      </c>
      <c r="B2470" t="s">
        <v>1592</v>
      </c>
      <c r="C2470" t="s">
        <v>2273</v>
      </c>
      <c r="D2470" s="9">
        <v>45249</v>
      </c>
      <c r="E2470" t="s">
        <v>23</v>
      </c>
      <c r="G2470" t="s">
        <v>2328</v>
      </c>
      <c r="H2470">
        <v>420.64</v>
      </c>
      <c r="I2470" s="16" t="str">
        <f t="shared" si="38"/>
        <v>Normal</v>
      </c>
      <c r="J2470" t="s">
        <v>39</v>
      </c>
    </row>
    <row r="2471" spans="1:10">
      <c r="A2471" t="s">
        <v>4856</v>
      </c>
      <c r="B2471" t="s">
        <v>1319</v>
      </c>
      <c r="C2471" t="s">
        <v>2261</v>
      </c>
      <c r="D2471" s="9">
        <v>45777</v>
      </c>
      <c r="E2471" t="s">
        <v>2337</v>
      </c>
      <c r="F2471" s="20">
        <v>20</v>
      </c>
      <c r="G2471" t="s">
        <v>2328</v>
      </c>
      <c r="I2471" s="16" t="str">
        <f t="shared" si="38"/>
        <v>Unknown</v>
      </c>
      <c r="J2471">
        <v>4</v>
      </c>
    </row>
    <row r="2472" spans="1:10">
      <c r="A2472" t="s">
        <v>4857</v>
      </c>
      <c r="B2472" t="s">
        <v>2351</v>
      </c>
      <c r="C2472" t="s">
        <v>2269</v>
      </c>
      <c r="D2472" s="9">
        <v>46192</v>
      </c>
      <c r="E2472" t="s">
        <v>2330</v>
      </c>
      <c r="F2472" s="20">
        <v>100</v>
      </c>
      <c r="G2472" t="s">
        <v>2345</v>
      </c>
      <c r="H2472">
        <v>499</v>
      </c>
      <c r="I2472" s="16" t="str">
        <f t="shared" si="38"/>
        <v>Normal</v>
      </c>
      <c r="J2472">
        <v>2</v>
      </c>
    </row>
    <row r="2473" spans="1:10">
      <c r="A2473" t="s">
        <v>4858</v>
      </c>
      <c r="B2473" t="s">
        <v>99</v>
      </c>
      <c r="C2473" t="s">
        <v>2249</v>
      </c>
      <c r="D2473" s="9">
        <v>45755</v>
      </c>
      <c r="E2473" t="s">
        <v>2324</v>
      </c>
      <c r="F2473" s="20">
        <v>25</v>
      </c>
      <c r="G2473" t="s">
        <v>2345</v>
      </c>
      <c r="H2473">
        <v>1500</v>
      </c>
      <c r="I2473" s="16" t="str">
        <f t="shared" si="38"/>
        <v>Normal</v>
      </c>
      <c r="J2473" t="s">
        <v>39</v>
      </c>
    </row>
    <row r="2474" spans="1:10">
      <c r="A2474" t="s">
        <v>4859</v>
      </c>
      <c r="B2474" t="s">
        <v>546</v>
      </c>
      <c r="C2474" t="s">
        <v>2253</v>
      </c>
      <c r="D2474" s="9">
        <v>45900</v>
      </c>
      <c r="E2474" t="s">
        <v>2324</v>
      </c>
      <c r="F2474" s="20">
        <v>25</v>
      </c>
      <c r="G2474" t="s">
        <v>2339</v>
      </c>
      <c r="H2474">
        <v>671.37</v>
      </c>
      <c r="I2474" s="16" t="str">
        <f t="shared" si="38"/>
        <v>Normal</v>
      </c>
      <c r="J2474">
        <v>5</v>
      </c>
    </row>
    <row r="2475" spans="1:10">
      <c r="A2475" t="s">
        <v>4860</v>
      </c>
      <c r="B2475" t="s">
        <v>506</v>
      </c>
      <c r="C2475" t="s">
        <v>2267</v>
      </c>
      <c r="D2475" s="9">
        <v>46134</v>
      </c>
      <c r="E2475" t="s">
        <v>2324</v>
      </c>
      <c r="G2475" t="s">
        <v>2345</v>
      </c>
      <c r="H2475">
        <v>999.99</v>
      </c>
      <c r="I2475" s="16" t="str">
        <f t="shared" si="38"/>
        <v>Normal</v>
      </c>
      <c r="J2475">
        <v>2</v>
      </c>
    </row>
    <row r="2476" spans="1:10">
      <c r="A2476" t="s">
        <v>4861</v>
      </c>
      <c r="B2476" t="s">
        <v>1705</v>
      </c>
      <c r="C2476" t="s">
        <v>2187</v>
      </c>
      <c r="D2476" s="9">
        <v>45602</v>
      </c>
      <c r="E2476" t="s">
        <v>2330</v>
      </c>
      <c r="G2476" t="s">
        <v>2328</v>
      </c>
      <c r="H2476">
        <v>799</v>
      </c>
      <c r="I2476" s="16" t="str">
        <f t="shared" si="38"/>
        <v>Normal</v>
      </c>
      <c r="J2476">
        <v>5</v>
      </c>
    </row>
    <row r="2477" spans="1:10">
      <c r="A2477" t="s">
        <v>4862</v>
      </c>
      <c r="B2477" t="s">
        <v>231</v>
      </c>
      <c r="C2477" t="s">
        <v>2261</v>
      </c>
      <c r="D2477" s="9">
        <v>45371</v>
      </c>
      <c r="E2477" t="s">
        <v>2324</v>
      </c>
      <c r="F2477" s="20">
        <v>55</v>
      </c>
      <c r="G2477" t="s">
        <v>2331</v>
      </c>
      <c r="I2477" s="16" t="str">
        <f t="shared" si="38"/>
        <v>Unknown</v>
      </c>
      <c r="J2477">
        <v>4</v>
      </c>
    </row>
    <row r="2478" spans="1:10">
      <c r="A2478" t="s">
        <v>4863</v>
      </c>
      <c r="B2478" t="s">
        <v>184</v>
      </c>
      <c r="C2478" t="s">
        <v>2259</v>
      </c>
      <c r="D2478" s="9">
        <v>45721</v>
      </c>
      <c r="E2478" t="s">
        <v>2324</v>
      </c>
      <c r="F2478" s="20">
        <v>10</v>
      </c>
      <c r="G2478" t="s">
        <v>2339</v>
      </c>
      <c r="H2478">
        <v>0</v>
      </c>
      <c r="I2478" s="16" t="str">
        <f t="shared" si="38"/>
        <v>Zero Amount</v>
      </c>
      <c r="J2478" t="s">
        <v>39</v>
      </c>
    </row>
    <row r="2479" spans="1:10">
      <c r="A2479" t="s">
        <v>4864</v>
      </c>
      <c r="B2479" t="s">
        <v>1565</v>
      </c>
      <c r="C2479" t="s">
        <v>2187</v>
      </c>
      <c r="D2479" s="9">
        <v>45615</v>
      </c>
      <c r="E2479" t="s">
        <v>2330</v>
      </c>
      <c r="F2479" s="20">
        <v>100</v>
      </c>
      <c r="G2479" t="s">
        <v>2325</v>
      </c>
      <c r="H2479">
        <v>799</v>
      </c>
      <c r="I2479" s="16" t="str">
        <f t="shared" si="38"/>
        <v>Normal</v>
      </c>
      <c r="J2479" t="s">
        <v>39</v>
      </c>
    </row>
    <row r="2480" spans="1:10">
      <c r="A2480" t="s">
        <v>4865</v>
      </c>
      <c r="B2480" t="s">
        <v>997</v>
      </c>
      <c r="C2480" t="s">
        <v>2269</v>
      </c>
      <c r="D2480" s="9">
        <v>45197</v>
      </c>
      <c r="E2480" t="s">
        <v>2324</v>
      </c>
      <c r="F2480" s="20">
        <v>60</v>
      </c>
      <c r="G2480" t="s">
        <v>2325</v>
      </c>
      <c r="H2480">
        <v>-499</v>
      </c>
      <c r="I2480" s="16" t="str">
        <f t="shared" si="38"/>
        <v>Review</v>
      </c>
      <c r="J2480">
        <v>5</v>
      </c>
    </row>
    <row r="2481" spans="1:10">
      <c r="A2481" t="s">
        <v>4866</v>
      </c>
      <c r="B2481" t="s">
        <v>846</v>
      </c>
      <c r="C2481" t="s">
        <v>2225</v>
      </c>
      <c r="D2481" s="9">
        <v>45503</v>
      </c>
      <c r="E2481" t="s">
        <v>2330</v>
      </c>
      <c r="F2481" s="20">
        <v>100</v>
      </c>
      <c r="G2481" t="s">
        <v>2331</v>
      </c>
      <c r="I2481" s="16" t="str">
        <f t="shared" si="38"/>
        <v>Unknown</v>
      </c>
      <c r="J2481">
        <v>3</v>
      </c>
    </row>
    <row r="2482" spans="1:10">
      <c r="A2482" t="s">
        <v>4867</v>
      </c>
      <c r="B2482" t="s">
        <v>1492</v>
      </c>
      <c r="C2482" t="s">
        <v>2209</v>
      </c>
      <c r="D2482" s="9">
        <v>45912</v>
      </c>
      <c r="E2482" t="s">
        <v>2330</v>
      </c>
      <c r="G2482" t="s">
        <v>2331</v>
      </c>
      <c r="H2482">
        <v>499</v>
      </c>
      <c r="I2482" s="16" t="str">
        <f t="shared" si="38"/>
        <v>Normal</v>
      </c>
      <c r="J2482">
        <v>4</v>
      </c>
    </row>
    <row r="2483" spans="1:10">
      <c r="A2483" t="s">
        <v>4868</v>
      </c>
      <c r="B2483" t="s">
        <v>965</v>
      </c>
      <c r="C2483" t="s">
        <v>2231</v>
      </c>
      <c r="D2483" s="9">
        <v>46066</v>
      </c>
      <c r="E2483" t="s">
        <v>2337</v>
      </c>
      <c r="F2483" s="20">
        <v>20</v>
      </c>
      <c r="G2483" t="s">
        <v>2325</v>
      </c>
      <c r="H2483">
        <v>3000</v>
      </c>
      <c r="I2483" s="16" t="str">
        <f t="shared" si="38"/>
        <v>Normal</v>
      </c>
      <c r="J2483">
        <v>2</v>
      </c>
    </row>
    <row r="2484" spans="1:10">
      <c r="A2484" t="s">
        <v>4869</v>
      </c>
      <c r="B2484" t="s">
        <v>611</v>
      </c>
      <c r="C2484" t="s">
        <v>2187</v>
      </c>
      <c r="D2484" s="9">
        <v>45814</v>
      </c>
      <c r="E2484" t="s">
        <v>2324</v>
      </c>
      <c r="F2484" s="20">
        <v>55</v>
      </c>
      <c r="G2484" t="s">
        <v>2328</v>
      </c>
      <c r="H2484">
        <v>799</v>
      </c>
      <c r="I2484" s="16" t="str">
        <f t="shared" si="38"/>
        <v>Normal</v>
      </c>
      <c r="J2484" t="s">
        <v>39</v>
      </c>
    </row>
    <row r="2485" spans="1:10">
      <c r="A2485" t="s">
        <v>4870</v>
      </c>
      <c r="B2485" t="s">
        <v>1578</v>
      </c>
      <c r="C2485" t="s">
        <v>2228</v>
      </c>
      <c r="D2485" s="9">
        <v>45703</v>
      </c>
      <c r="E2485" t="s">
        <v>2327</v>
      </c>
      <c r="F2485" s="20">
        <v>15</v>
      </c>
      <c r="G2485" t="s">
        <v>2345</v>
      </c>
      <c r="H2485">
        <v>799</v>
      </c>
      <c r="I2485" s="16" t="str">
        <f t="shared" si="38"/>
        <v>Normal</v>
      </c>
      <c r="J2485">
        <v>4</v>
      </c>
    </row>
    <row r="2486" spans="1:10">
      <c r="A2486" t="s">
        <v>4871</v>
      </c>
      <c r="B2486" t="s">
        <v>1218</v>
      </c>
      <c r="C2486" t="s">
        <v>2271</v>
      </c>
      <c r="D2486" s="9">
        <v>46044</v>
      </c>
      <c r="E2486" t="s">
        <v>23</v>
      </c>
      <c r="G2486" t="s">
        <v>2345</v>
      </c>
      <c r="H2486">
        <v>1200</v>
      </c>
      <c r="I2486" s="16" t="str">
        <f t="shared" si="38"/>
        <v>Normal</v>
      </c>
      <c r="J2486" t="s">
        <v>39</v>
      </c>
    </row>
    <row r="2487" spans="1:10">
      <c r="A2487" t="s">
        <v>4872</v>
      </c>
      <c r="B2487" t="s">
        <v>174</v>
      </c>
      <c r="C2487" t="s">
        <v>2257</v>
      </c>
      <c r="D2487" s="9">
        <v>46029</v>
      </c>
      <c r="E2487" t="s">
        <v>2327</v>
      </c>
      <c r="F2487" s="20">
        <v>0</v>
      </c>
      <c r="G2487" t="s">
        <v>2345</v>
      </c>
      <c r="I2487" s="16" t="str">
        <f t="shared" si="38"/>
        <v>Unknown</v>
      </c>
      <c r="J2487">
        <v>5</v>
      </c>
    </row>
    <row r="2488" spans="1:10">
      <c r="A2488" t="s">
        <v>4873</v>
      </c>
      <c r="B2488" t="s">
        <v>357</v>
      </c>
      <c r="C2488" t="s">
        <v>2222</v>
      </c>
      <c r="D2488" s="9">
        <v>45274</v>
      </c>
      <c r="E2488" t="s">
        <v>2337</v>
      </c>
      <c r="F2488" s="20">
        <v>0</v>
      </c>
      <c r="G2488" t="s">
        <v>2345</v>
      </c>
      <c r="H2488">
        <v>0</v>
      </c>
      <c r="I2488" s="16" t="str">
        <f t="shared" si="38"/>
        <v>Zero Amount</v>
      </c>
      <c r="J2488">
        <v>3</v>
      </c>
    </row>
    <row r="2489" spans="1:10">
      <c r="A2489" t="s">
        <v>4874</v>
      </c>
      <c r="B2489" t="s">
        <v>2066</v>
      </c>
      <c r="C2489" t="s">
        <v>2261</v>
      </c>
      <c r="D2489" s="9">
        <v>45502</v>
      </c>
      <c r="E2489" t="s">
        <v>2330</v>
      </c>
      <c r="G2489" t="s">
        <v>23</v>
      </c>
      <c r="I2489" s="16" t="str">
        <f t="shared" si="38"/>
        <v>Unknown</v>
      </c>
      <c r="J2489">
        <v>1</v>
      </c>
    </row>
    <row r="2490" spans="1:10">
      <c r="A2490" t="s">
        <v>4875</v>
      </c>
      <c r="B2490" t="s">
        <v>460</v>
      </c>
      <c r="C2490" t="s">
        <v>2231</v>
      </c>
      <c r="D2490" s="9">
        <v>46056</v>
      </c>
      <c r="E2490" t="s">
        <v>2330</v>
      </c>
      <c r="F2490" s="20">
        <v>100</v>
      </c>
      <c r="G2490" t="s">
        <v>2325</v>
      </c>
      <c r="H2490">
        <v>3000</v>
      </c>
      <c r="I2490" s="16" t="str">
        <f t="shared" si="38"/>
        <v>Normal</v>
      </c>
      <c r="J2490" t="s">
        <v>39</v>
      </c>
    </row>
    <row r="2491" spans="1:10">
      <c r="A2491" t="s">
        <v>4876</v>
      </c>
      <c r="B2491" t="s">
        <v>900</v>
      </c>
      <c r="C2491" t="s">
        <v>2225</v>
      </c>
      <c r="D2491" s="9">
        <v>45290</v>
      </c>
      <c r="E2491" t="s">
        <v>2330</v>
      </c>
      <c r="F2491" s="20">
        <v>100</v>
      </c>
      <c r="G2491" t="s">
        <v>2325</v>
      </c>
      <c r="I2491" s="16" t="str">
        <f t="shared" si="38"/>
        <v>Unknown</v>
      </c>
      <c r="J2491">
        <v>4</v>
      </c>
    </row>
    <row r="2492" spans="1:10">
      <c r="A2492" t="s">
        <v>4877</v>
      </c>
      <c r="B2492" t="s">
        <v>80</v>
      </c>
      <c r="C2492" t="s">
        <v>2198</v>
      </c>
      <c r="D2492" s="9">
        <v>46125</v>
      </c>
      <c r="E2492" t="s">
        <v>2330</v>
      </c>
      <c r="F2492" s="20">
        <v>100</v>
      </c>
      <c r="G2492" t="s">
        <v>2325</v>
      </c>
      <c r="I2492" s="16" t="str">
        <f t="shared" si="38"/>
        <v>Unknown</v>
      </c>
      <c r="J2492" t="s">
        <v>39</v>
      </c>
    </row>
    <row r="2493" spans="1:10">
      <c r="A2493" t="s">
        <v>4878</v>
      </c>
      <c r="B2493" t="s">
        <v>281</v>
      </c>
      <c r="C2493" t="s">
        <v>2244</v>
      </c>
      <c r="D2493" s="9">
        <v>46107</v>
      </c>
      <c r="E2493" t="s">
        <v>2324</v>
      </c>
      <c r="F2493" s="20">
        <v>75</v>
      </c>
      <c r="G2493" t="s">
        <v>2345</v>
      </c>
      <c r="H2493">
        <v>1200</v>
      </c>
      <c r="I2493" s="16" t="str">
        <f t="shared" si="38"/>
        <v>Normal</v>
      </c>
      <c r="J2493" t="s">
        <v>39</v>
      </c>
    </row>
    <row r="2494" spans="1:10">
      <c r="A2494" t="s">
        <v>4879</v>
      </c>
      <c r="B2494" t="s">
        <v>1970</v>
      </c>
      <c r="C2494" t="s">
        <v>2193</v>
      </c>
      <c r="D2494" s="9">
        <v>45451</v>
      </c>
      <c r="E2494" t="s">
        <v>2330</v>
      </c>
      <c r="F2494" s="20">
        <v>100</v>
      </c>
      <c r="G2494" t="s">
        <v>2345</v>
      </c>
      <c r="H2494">
        <v>0</v>
      </c>
      <c r="I2494" s="16" t="str">
        <f t="shared" si="38"/>
        <v>Zero Amount</v>
      </c>
      <c r="J2494">
        <v>3</v>
      </c>
    </row>
    <row r="2495" spans="1:10">
      <c r="A2495" t="s">
        <v>4880</v>
      </c>
      <c r="B2495" t="s">
        <v>277</v>
      </c>
      <c r="C2495" t="s">
        <v>2225</v>
      </c>
      <c r="D2495" s="9">
        <v>45419</v>
      </c>
      <c r="E2495" t="s">
        <v>2327</v>
      </c>
      <c r="G2495" t="s">
        <v>2325</v>
      </c>
      <c r="I2495" s="16" t="str">
        <f t="shared" si="38"/>
        <v>Unknown</v>
      </c>
      <c r="J2495" t="s">
        <v>39</v>
      </c>
    </row>
    <row r="2496" spans="1:10">
      <c r="A2496" t="s">
        <v>4881</v>
      </c>
      <c r="B2496" t="s">
        <v>228</v>
      </c>
      <c r="C2496" t="s">
        <v>2273</v>
      </c>
      <c r="D2496" s="9">
        <v>46078</v>
      </c>
      <c r="E2496" t="s">
        <v>2330</v>
      </c>
      <c r="F2496" s="20">
        <v>100</v>
      </c>
      <c r="G2496" t="s">
        <v>2331</v>
      </c>
      <c r="I2496" s="16" t="str">
        <f t="shared" si="38"/>
        <v>Unknown</v>
      </c>
      <c r="J2496">
        <v>5</v>
      </c>
    </row>
    <row r="2497" spans="1:10">
      <c r="A2497" t="s">
        <v>4882</v>
      </c>
      <c r="B2497" t="s">
        <v>930</v>
      </c>
      <c r="C2497" t="s">
        <v>2261</v>
      </c>
      <c r="D2497" s="9">
        <v>45324</v>
      </c>
      <c r="E2497" t="s">
        <v>2337</v>
      </c>
      <c r="F2497" s="20">
        <v>5</v>
      </c>
      <c r="G2497" t="s">
        <v>2345</v>
      </c>
      <c r="I2497" s="16" t="str">
        <f t="shared" si="38"/>
        <v>Unknown</v>
      </c>
      <c r="J2497">
        <v>5</v>
      </c>
    </row>
    <row r="2498" spans="1:10">
      <c r="A2498" t="s">
        <v>4883</v>
      </c>
      <c r="B2498" t="s">
        <v>1898</v>
      </c>
      <c r="C2498" t="s">
        <v>2264</v>
      </c>
      <c r="D2498" s="9">
        <v>45603</v>
      </c>
      <c r="E2498" t="s">
        <v>2327</v>
      </c>
      <c r="F2498" s="20">
        <v>5</v>
      </c>
      <c r="G2498" t="s">
        <v>2331</v>
      </c>
      <c r="H2498">
        <v>2500</v>
      </c>
      <c r="I2498" s="16" t="str">
        <f t="shared" si="38"/>
        <v>Normal</v>
      </c>
      <c r="J2498">
        <v>4</v>
      </c>
    </row>
    <row r="2499" spans="1:10">
      <c r="A2499" t="s">
        <v>4884</v>
      </c>
      <c r="B2499" t="s">
        <v>2111</v>
      </c>
      <c r="C2499" t="s">
        <v>2222</v>
      </c>
      <c r="D2499" s="9">
        <v>45366</v>
      </c>
      <c r="E2499" t="s">
        <v>2330</v>
      </c>
      <c r="G2499" t="s">
        <v>2331</v>
      </c>
      <c r="H2499">
        <v>0</v>
      </c>
      <c r="I2499" s="16" t="str">
        <f t="shared" ref="I2499:I2562" si="39">IF(H2499="", "Unknown", IF(H2499=0, "Zero Amount", IF(H2499&lt;1, "Review", IF(H2499&gt;1, "Normal"))))</f>
        <v>Zero Amount</v>
      </c>
      <c r="J2499">
        <v>5</v>
      </c>
    </row>
    <row r="2500" spans="1:10">
      <c r="A2500" t="s">
        <v>4885</v>
      </c>
      <c r="B2500" t="s">
        <v>846</v>
      </c>
      <c r="C2500" t="s">
        <v>2198</v>
      </c>
      <c r="D2500" s="9">
        <v>45759</v>
      </c>
      <c r="E2500" t="s">
        <v>2330</v>
      </c>
      <c r="F2500" s="20">
        <v>100</v>
      </c>
      <c r="G2500" t="s">
        <v>2325</v>
      </c>
      <c r="I2500" s="16" t="str">
        <f t="shared" si="39"/>
        <v>Unknown</v>
      </c>
      <c r="J2500">
        <v>3</v>
      </c>
    </row>
    <row r="2501" spans="1:10">
      <c r="A2501" t="s">
        <v>4886</v>
      </c>
      <c r="B2501" t="s">
        <v>936</v>
      </c>
      <c r="C2501" t="s">
        <v>2187</v>
      </c>
      <c r="D2501" s="9">
        <v>46182</v>
      </c>
      <c r="E2501" t="s">
        <v>2337</v>
      </c>
      <c r="F2501" s="20">
        <v>20</v>
      </c>
      <c r="G2501" t="s">
        <v>2345</v>
      </c>
      <c r="H2501">
        <v>438.09</v>
      </c>
      <c r="I2501" s="16" t="str">
        <f t="shared" si="39"/>
        <v>Normal</v>
      </c>
      <c r="J2501">
        <v>1</v>
      </c>
    </row>
    <row r="2502" spans="1:10">
      <c r="A2502" t="s">
        <v>4887</v>
      </c>
      <c r="B2502" t="s">
        <v>548</v>
      </c>
      <c r="C2502" t="s">
        <v>2202</v>
      </c>
      <c r="D2502" s="9">
        <v>45971</v>
      </c>
      <c r="E2502" t="s">
        <v>2324</v>
      </c>
      <c r="F2502" s="20">
        <v>75</v>
      </c>
      <c r="G2502" t="s">
        <v>2328</v>
      </c>
      <c r="I2502" s="16" t="str">
        <f t="shared" si="39"/>
        <v>Unknown</v>
      </c>
      <c r="J2502">
        <v>2</v>
      </c>
    </row>
    <row r="2503" spans="1:10">
      <c r="A2503" t="s">
        <v>4888</v>
      </c>
      <c r="B2503" t="s">
        <v>894</v>
      </c>
      <c r="C2503" t="s">
        <v>2237</v>
      </c>
      <c r="D2503" s="9">
        <v>46164</v>
      </c>
      <c r="E2503" t="s">
        <v>2324</v>
      </c>
      <c r="F2503" s="20">
        <v>75</v>
      </c>
      <c r="G2503" t="s">
        <v>2331</v>
      </c>
      <c r="H2503">
        <v>1346.38</v>
      </c>
      <c r="I2503" s="16" t="str">
        <f t="shared" si="39"/>
        <v>Normal</v>
      </c>
      <c r="J2503" t="s">
        <v>39</v>
      </c>
    </row>
    <row r="2504" spans="1:10">
      <c r="A2504" t="s">
        <v>4889</v>
      </c>
      <c r="B2504" t="s">
        <v>1515</v>
      </c>
      <c r="C2504" t="s">
        <v>2264</v>
      </c>
      <c r="D2504" s="9">
        <v>45646</v>
      </c>
      <c r="E2504" t="s">
        <v>2337</v>
      </c>
      <c r="F2504" s="20">
        <v>20</v>
      </c>
      <c r="G2504" t="s">
        <v>23</v>
      </c>
      <c r="H2504">
        <v>2500</v>
      </c>
      <c r="I2504" s="16" t="str">
        <f t="shared" si="39"/>
        <v>Normal</v>
      </c>
      <c r="J2504" t="s">
        <v>39</v>
      </c>
    </row>
    <row r="2505" spans="1:10">
      <c r="A2505" t="s">
        <v>4890</v>
      </c>
      <c r="B2505" t="s">
        <v>1486</v>
      </c>
      <c r="C2505" t="s">
        <v>2269</v>
      </c>
      <c r="D2505" s="9">
        <v>45219</v>
      </c>
      <c r="E2505" t="s">
        <v>2330</v>
      </c>
      <c r="F2505" s="20">
        <v>100</v>
      </c>
      <c r="G2505" t="s">
        <v>2328</v>
      </c>
      <c r="H2505">
        <v>499</v>
      </c>
      <c r="I2505" s="16" t="str">
        <f t="shared" si="39"/>
        <v>Normal</v>
      </c>
      <c r="J2505">
        <v>4</v>
      </c>
    </row>
    <row r="2506" spans="1:10">
      <c r="A2506" t="s">
        <v>4891</v>
      </c>
      <c r="B2506" t="s">
        <v>2018</v>
      </c>
      <c r="C2506" t="s">
        <v>2241</v>
      </c>
      <c r="D2506" s="9">
        <v>45759</v>
      </c>
      <c r="E2506" t="s">
        <v>2324</v>
      </c>
      <c r="F2506" s="20">
        <v>10</v>
      </c>
      <c r="G2506" t="s">
        <v>2328</v>
      </c>
      <c r="H2506">
        <v>2500</v>
      </c>
      <c r="I2506" s="16" t="str">
        <f t="shared" si="39"/>
        <v>Normal</v>
      </c>
      <c r="J2506" t="s">
        <v>39</v>
      </c>
    </row>
    <row r="2507" spans="1:10">
      <c r="A2507" t="s">
        <v>4892</v>
      </c>
      <c r="B2507" t="s">
        <v>634</v>
      </c>
      <c r="C2507" t="s">
        <v>2235</v>
      </c>
      <c r="D2507" s="9">
        <v>45461</v>
      </c>
      <c r="E2507" t="s">
        <v>2327</v>
      </c>
      <c r="G2507" t="s">
        <v>2328</v>
      </c>
      <c r="H2507">
        <v>3000</v>
      </c>
      <c r="I2507" s="16" t="str">
        <f t="shared" si="39"/>
        <v>Normal</v>
      </c>
      <c r="J2507" t="s">
        <v>39</v>
      </c>
    </row>
    <row r="2508" spans="1:10">
      <c r="A2508" t="s">
        <v>4893</v>
      </c>
      <c r="B2508" t="s">
        <v>1620</v>
      </c>
      <c r="C2508" t="s">
        <v>2235</v>
      </c>
      <c r="D2508" s="9">
        <v>46106</v>
      </c>
      <c r="E2508" t="s">
        <v>2330</v>
      </c>
      <c r="F2508" s="20">
        <v>100</v>
      </c>
      <c r="G2508" t="s">
        <v>2325</v>
      </c>
      <c r="H2508">
        <v>-3000</v>
      </c>
      <c r="I2508" s="16" t="str">
        <f t="shared" si="39"/>
        <v>Review</v>
      </c>
      <c r="J2508">
        <v>4</v>
      </c>
    </row>
    <row r="2509" spans="1:10">
      <c r="A2509" t="s">
        <v>4894</v>
      </c>
      <c r="B2509" t="s">
        <v>1670</v>
      </c>
      <c r="C2509" t="s">
        <v>2251</v>
      </c>
      <c r="D2509" s="9">
        <v>45272</v>
      </c>
      <c r="E2509" t="s">
        <v>2324</v>
      </c>
      <c r="F2509" s="20">
        <v>55</v>
      </c>
      <c r="G2509" t="s">
        <v>2345</v>
      </c>
      <c r="H2509">
        <v>1500</v>
      </c>
      <c r="I2509" s="16" t="str">
        <f t="shared" si="39"/>
        <v>Normal</v>
      </c>
      <c r="J2509">
        <v>3</v>
      </c>
    </row>
    <row r="2510" spans="1:10">
      <c r="A2510" t="s">
        <v>4895</v>
      </c>
      <c r="B2510" t="s">
        <v>1719</v>
      </c>
      <c r="C2510" t="s">
        <v>2222</v>
      </c>
      <c r="D2510" s="9">
        <v>45604</v>
      </c>
      <c r="E2510" t="s">
        <v>2330</v>
      </c>
      <c r="F2510" s="20">
        <v>100</v>
      </c>
      <c r="G2510" t="s">
        <v>2331</v>
      </c>
      <c r="H2510">
        <v>0</v>
      </c>
      <c r="I2510" s="16" t="str">
        <f t="shared" si="39"/>
        <v>Zero Amount</v>
      </c>
      <c r="J2510">
        <v>3</v>
      </c>
    </row>
    <row r="2511" spans="1:10">
      <c r="A2511" t="s">
        <v>4896</v>
      </c>
      <c r="B2511" t="s">
        <v>535</v>
      </c>
      <c r="C2511" t="s">
        <v>2225</v>
      </c>
      <c r="D2511" s="9">
        <v>46300</v>
      </c>
      <c r="E2511" t="s">
        <v>23</v>
      </c>
      <c r="G2511" t="s">
        <v>2328</v>
      </c>
      <c r="I2511" s="16" t="str">
        <f t="shared" si="39"/>
        <v>Unknown</v>
      </c>
      <c r="J2511">
        <v>5</v>
      </c>
    </row>
    <row r="2512" spans="1:10">
      <c r="A2512" t="s">
        <v>4897</v>
      </c>
      <c r="B2512" t="s">
        <v>1222</v>
      </c>
      <c r="C2512" t="s">
        <v>2249</v>
      </c>
      <c r="D2512" s="9">
        <v>45105</v>
      </c>
      <c r="E2512" t="s">
        <v>2337</v>
      </c>
      <c r="F2512" s="20">
        <v>15</v>
      </c>
      <c r="G2512" t="s">
        <v>2325</v>
      </c>
      <c r="H2512">
        <v>-1500</v>
      </c>
      <c r="I2512" s="16" t="str">
        <f t="shared" si="39"/>
        <v>Review</v>
      </c>
      <c r="J2512" t="s">
        <v>39</v>
      </c>
    </row>
    <row r="2513" spans="1:10">
      <c r="A2513" t="s">
        <v>4898</v>
      </c>
      <c r="B2513" t="s">
        <v>2061</v>
      </c>
      <c r="C2513" t="s">
        <v>2228</v>
      </c>
      <c r="D2513" s="9">
        <v>45133</v>
      </c>
      <c r="E2513" t="s">
        <v>2330</v>
      </c>
      <c r="F2513" s="20">
        <v>100</v>
      </c>
      <c r="G2513" t="s">
        <v>2331</v>
      </c>
      <c r="H2513">
        <v>799</v>
      </c>
      <c r="I2513" s="16" t="str">
        <f t="shared" si="39"/>
        <v>Normal</v>
      </c>
      <c r="J2513">
        <v>3</v>
      </c>
    </row>
    <row r="2514" spans="1:10">
      <c r="A2514" t="s">
        <v>4899</v>
      </c>
      <c r="B2514" t="s">
        <v>1107</v>
      </c>
      <c r="C2514" t="s">
        <v>2202</v>
      </c>
      <c r="D2514" s="9">
        <v>45664</v>
      </c>
      <c r="E2514" t="s">
        <v>2324</v>
      </c>
      <c r="G2514" t="s">
        <v>2325</v>
      </c>
      <c r="H2514">
        <v>999.99</v>
      </c>
      <c r="I2514" s="16" t="str">
        <f t="shared" si="39"/>
        <v>Normal</v>
      </c>
      <c r="J2514">
        <v>4</v>
      </c>
    </row>
    <row r="2515" spans="1:10">
      <c r="A2515" t="s">
        <v>4900</v>
      </c>
      <c r="B2515" t="s">
        <v>2111</v>
      </c>
      <c r="C2515" t="s">
        <v>2198</v>
      </c>
      <c r="D2515" s="9">
        <v>46048</v>
      </c>
      <c r="E2515" t="s">
        <v>2324</v>
      </c>
      <c r="G2515" t="s">
        <v>2331</v>
      </c>
      <c r="I2515" s="16" t="str">
        <f t="shared" si="39"/>
        <v>Unknown</v>
      </c>
      <c r="J2515">
        <v>4</v>
      </c>
    </row>
    <row r="2516" spans="1:10">
      <c r="A2516" t="s">
        <v>4901</v>
      </c>
      <c r="B2516" t="s">
        <v>1981</v>
      </c>
      <c r="C2516" t="s">
        <v>2244</v>
      </c>
      <c r="D2516" s="9">
        <v>46189</v>
      </c>
      <c r="E2516" t="s">
        <v>2324</v>
      </c>
      <c r="F2516" s="20">
        <v>75</v>
      </c>
      <c r="G2516" t="s">
        <v>2345</v>
      </c>
      <c r="H2516">
        <v>1200</v>
      </c>
      <c r="I2516" s="16" t="str">
        <f t="shared" si="39"/>
        <v>Normal</v>
      </c>
      <c r="J2516" t="s">
        <v>39</v>
      </c>
    </row>
    <row r="2517" spans="1:10">
      <c r="A2517" t="s">
        <v>4902</v>
      </c>
      <c r="B2517" t="s">
        <v>1948</v>
      </c>
      <c r="C2517" t="s">
        <v>2233</v>
      </c>
      <c r="D2517" s="9">
        <v>46042</v>
      </c>
      <c r="E2517" t="s">
        <v>2330</v>
      </c>
      <c r="F2517" s="20">
        <v>100</v>
      </c>
      <c r="G2517" t="s">
        <v>2345</v>
      </c>
      <c r="H2517">
        <v>2500</v>
      </c>
      <c r="I2517" s="16" t="str">
        <f t="shared" si="39"/>
        <v>Normal</v>
      </c>
      <c r="J2517">
        <v>3</v>
      </c>
    </row>
    <row r="2518" spans="1:10">
      <c r="A2518" t="s">
        <v>4903</v>
      </c>
      <c r="B2518" t="s">
        <v>713</v>
      </c>
      <c r="C2518" t="s">
        <v>2218</v>
      </c>
      <c r="D2518" s="9">
        <v>45086</v>
      </c>
      <c r="E2518" t="s">
        <v>2327</v>
      </c>
      <c r="G2518" t="s">
        <v>23</v>
      </c>
      <c r="H2518">
        <v>1500</v>
      </c>
      <c r="I2518" s="16" t="str">
        <f t="shared" si="39"/>
        <v>Normal</v>
      </c>
      <c r="J2518">
        <v>5</v>
      </c>
    </row>
    <row r="2519" spans="1:10">
      <c r="A2519" t="s">
        <v>4904</v>
      </c>
      <c r="B2519" t="s">
        <v>1315</v>
      </c>
      <c r="C2519" t="s">
        <v>2251</v>
      </c>
      <c r="D2519" s="9">
        <v>45555</v>
      </c>
      <c r="E2519" t="s">
        <v>2330</v>
      </c>
      <c r="F2519" s="20">
        <v>100</v>
      </c>
      <c r="G2519" t="s">
        <v>2339</v>
      </c>
      <c r="H2519">
        <v>1500</v>
      </c>
      <c r="I2519" s="16" t="str">
        <f t="shared" si="39"/>
        <v>Normal</v>
      </c>
      <c r="J2519">
        <v>1</v>
      </c>
    </row>
    <row r="2520" spans="1:10">
      <c r="A2520" t="s">
        <v>4905</v>
      </c>
      <c r="B2520" t="s">
        <v>1544</v>
      </c>
      <c r="C2520" t="s">
        <v>2213</v>
      </c>
      <c r="D2520" s="9">
        <v>45382</v>
      </c>
      <c r="E2520" t="s">
        <v>2324</v>
      </c>
      <c r="F2520" s="20">
        <v>10</v>
      </c>
      <c r="G2520" t="s">
        <v>2345</v>
      </c>
      <c r="H2520">
        <v>1500</v>
      </c>
      <c r="I2520" s="16" t="str">
        <f t="shared" si="39"/>
        <v>Normal</v>
      </c>
      <c r="J2520" t="s">
        <v>39</v>
      </c>
    </row>
    <row r="2521" spans="1:10">
      <c r="A2521" t="s">
        <v>4906</v>
      </c>
      <c r="B2521" t="s">
        <v>274</v>
      </c>
      <c r="C2521" t="s">
        <v>2251</v>
      </c>
      <c r="D2521" s="9">
        <v>45882</v>
      </c>
      <c r="E2521" t="s">
        <v>2337</v>
      </c>
      <c r="F2521" s="20">
        <v>0</v>
      </c>
      <c r="G2521" t="s">
        <v>2345</v>
      </c>
      <c r="H2521">
        <v>1500</v>
      </c>
      <c r="I2521" s="16" t="str">
        <f t="shared" si="39"/>
        <v>Normal</v>
      </c>
      <c r="J2521">
        <v>5</v>
      </c>
    </row>
    <row r="2522" spans="1:10">
      <c r="A2522" t="s">
        <v>4907</v>
      </c>
      <c r="B2522" t="s">
        <v>1500</v>
      </c>
      <c r="C2522" t="s">
        <v>2253</v>
      </c>
      <c r="D2522" s="9">
        <v>45230</v>
      </c>
      <c r="E2522" t="s">
        <v>2324</v>
      </c>
      <c r="F2522" s="20">
        <v>25</v>
      </c>
      <c r="G2522" t="s">
        <v>2325</v>
      </c>
      <c r="H2522">
        <v>1200</v>
      </c>
      <c r="I2522" s="16" t="str">
        <f t="shared" si="39"/>
        <v>Normal</v>
      </c>
      <c r="J2522" t="s">
        <v>39</v>
      </c>
    </row>
    <row r="2523" spans="1:10">
      <c r="A2523" t="s">
        <v>4908</v>
      </c>
      <c r="B2523" t="s">
        <v>4909</v>
      </c>
      <c r="C2523" t="s">
        <v>2249</v>
      </c>
      <c r="D2523" s="9">
        <v>45949</v>
      </c>
      <c r="E2523" t="s">
        <v>2324</v>
      </c>
      <c r="F2523" s="20">
        <v>75</v>
      </c>
      <c r="G2523" t="s">
        <v>2339</v>
      </c>
      <c r="H2523">
        <v>1500</v>
      </c>
      <c r="I2523" s="16" t="str">
        <f t="shared" si="39"/>
        <v>Normal</v>
      </c>
      <c r="J2523">
        <v>5</v>
      </c>
    </row>
    <row r="2524" spans="1:10">
      <c r="A2524" t="s">
        <v>4910</v>
      </c>
      <c r="B2524" t="s">
        <v>200</v>
      </c>
      <c r="C2524" t="s">
        <v>2187</v>
      </c>
      <c r="D2524" s="9">
        <v>45807</v>
      </c>
      <c r="E2524" t="s">
        <v>2330</v>
      </c>
      <c r="F2524" s="20">
        <v>100</v>
      </c>
      <c r="G2524" t="s">
        <v>2345</v>
      </c>
      <c r="H2524">
        <v>799</v>
      </c>
      <c r="I2524" s="16" t="str">
        <f t="shared" si="39"/>
        <v>Normal</v>
      </c>
      <c r="J2524" t="s">
        <v>39</v>
      </c>
    </row>
    <row r="2525" spans="1:10">
      <c r="A2525" t="s">
        <v>4911</v>
      </c>
      <c r="B2525" t="s">
        <v>675</v>
      </c>
      <c r="C2525" t="s">
        <v>2271</v>
      </c>
      <c r="D2525" s="9">
        <v>45683</v>
      </c>
      <c r="E2525" t="s">
        <v>2337</v>
      </c>
      <c r="F2525" s="20">
        <v>5</v>
      </c>
      <c r="G2525" t="s">
        <v>23</v>
      </c>
      <c r="H2525">
        <v>1200</v>
      </c>
      <c r="I2525" s="16" t="str">
        <f t="shared" si="39"/>
        <v>Normal</v>
      </c>
      <c r="J2525">
        <v>2</v>
      </c>
    </row>
    <row r="2526" spans="1:10">
      <c r="A2526" t="s">
        <v>4912</v>
      </c>
      <c r="B2526" t="s">
        <v>1365</v>
      </c>
      <c r="C2526" t="s">
        <v>2216</v>
      </c>
      <c r="D2526" s="9">
        <v>45123</v>
      </c>
      <c r="E2526" t="s">
        <v>2330</v>
      </c>
      <c r="G2526" t="s">
        <v>2331</v>
      </c>
      <c r="H2526">
        <v>1200</v>
      </c>
      <c r="I2526" s="16" t="str">
        <f t="shared" si="39"/>
        <v>Normal</v>
      </c>
      <c r="J2526" t="s">
        <v>39</v>
      </c>
    </row>
    <row r="2527" spans="1:10">
      <c r="A2527" t="s">
        <v>4913</v>
      </c>
      <c r="B2527" t="s">
        <v>1835</v>
      </c>
      <c r="C2527" t="s">
        <v>2271</v>
      </c>
      <c r="D2527" s="9">
        <v>45624</v>
      </c>
      <c r="E2527" t="s">
        <v>2324</v>
      </c>
      <c r="G2527" t="s">
        <v>2331</v>
      </c>
      <c r="H2527">
        <v>1200</v>
      </c>
      <c r="I2527" s="16" t="str">
        <f t="shared" si="39"/>
        <v>Normal</v>
      </c>
      <c r="J2527">
        <v>2</v>
      </c>
    </row>
    <row r="2528" spans="1:10">
      <c r="A2528" t="s">
        <v>4914</v>
      </c>
      <c r="B2528" t="s">
        <v>1520</v>
      </c>
      <c r="C2528" t="s">
        <v>2253</v>
      </c>
      <c r="D2528" s="9">
        <v>45893</v>
      </c>
      <c r="E2528" t="s">
        <v>2330</v>
      </c>
      <c r="G2528" t="s">
        <v>23</v>
      </c>
      <c r="H2528">
        <v>610.9</v>
      </c>
      <c r="I2528" s="16" t="str">
        <f t="shared" si="39"/>
        <v>Normal</v>
      </c>
      <c r="J2528" t="s">
        <v>39</v>
      </c>
    </row>
    <row r="2529" spans="1:10">
      <c r="A2529" t="s">
        <v>4915</v>
      </c>
      <c r="B2529" t="s">
        <v>803</v>
      </c>
      <c r="C2529" t="s">
        <v>2228</v>
      </c>
      <c r="D2529" s="9">
        <v>45419</v>
      </c>
      <c r="E2529" t="s">
        <v>2330</v>
      </c>
      <c r="G2529" t="s">
        <v>2325</v>
      </c>
      <c r="H2529">
        <v>799</v>
      </c>
      <c r="I2529" s="16" t="str">
        <f t="shared" si="39"/>
        <v>Normal</v>
      </c>
      <c r="J2529">
        <v>2</v>
      </c>
    </row>
    <row r="2530" spans="1:10">
      <c r="A2530" t="s">
        <v>4916</v>
      </c>
      <c r="B2530" t="s">
        <v>972</v>
      </c>
      <c r="C2530" t="s">
        <v>2225</v>
      </c>
      <c r="D2530" s="9">
        <v>45534</v>
      </c>
      <c r="E2530" t="s">
        <v>2324</v>
      </c>
      <c r="F2530" s="20">
        <v>40</v>
      </c>
      <c r="G2530" t="s">
        <v>2328</v>
      </c>
      <c r="I2530" s="16" t="str">
        <f t="shared" si="39"/>
        <v>Unknown</v>
      </c>
      <c r="J2530">
        <v>4</v>
      </c>
    </row>
    <row r="2531" spans="1:10">
      <c r="A2531" t="s">
        <v>4917</v>
      </c>
      <c r="B2531" t="s">
        <v>1333</v>
      </c>
      <c r="C2531" t="s">
        <v>2273</v>
      </c>
      <c r="D2531" s="9">
        <v>45999</v>
      </c>
      <c r="E2531" t="s">
        <v>2330</v>
      </c>
      <c r="F2531" s="20">
        <v>100</v>
      </c>
      <c r="G2531" t="s">
        <v>2345</v>
      </c>
      <c r="H2531">
        <v>799</v>
      </c>
      <c r="I2531" s="16" t="str">
        <f t="shared" si="39"/>
        <v>Normal</v>
      </c>
      <c r="J2531">
        <v>2</v>
      </c>
    </row>
    <row r="2532" spans="1:10">
      <c r="A2532" t="s">
        <v>4918</v>
      </c>
      <c r="B2532" t="s">
        <v>2077</v>
      </c>
      <c r="C2532" t="s">
        <v>2259</v>
      </c>
      <c r="D2532" s="9">
        <v>45940</v>
      </c>
      <c r="E2532" t="s">
        <v>2324</v>
      </c>
      <c r="F2532" s="20">
        <v>75</v>
      </c>
      <c r="G2532" t="s">
        <v>2339</v>
      </c>
      <c r="H2532">
        <v>0</v>
      </c>
      <c r="I2532" s="16" t="str">
        <f t="shared" si="39"/>
        <v>Zero Amount</v>
      </c>
      <c r="J2532">
        <v>5</v>
      </c>
    </row>
    <row r="2533" spans="1:10">
      <c r="A2533" t="s">
        <v>4919</v>
      </c>
      <c r="B2533" t="s">
        <v>1555</v>
      </c>
      <c r="C2533" t="s">
        <v>2267</v>
      </c>
      <c r="D2533" s="9">
        <v>45496</v>
      </c>
      <c r="E2533" t="s">
        <v>2330</v>
      </c>
      <c r="F2533" s="20">
        <v>100</v>
      </c>
      <c r="G2533" t="s">
        <v>2345</v>
      </c>
      <c r="H2533">
        <v>-999.99</v>
      </c>
      <c r="I2533" s="16" t="str">
        <f t="shared" si="39"/>
        <v>Review</v>
      </c>
      <c r="J2533">
        <v>4</v>
      </c>
    </row>
    <row r="2534" spans="1:10">
      <c r="A2534" t="s">
        <v>4920</v>
      </c>
      <c r="B2534" t="s">
        <v>1918</v>
      </c>
      <c r="C2534" t="s">
        <v>2225</v>
      </c>
      <c r="D2534" s="9">
        <v>45883</v>
      </c>
      <c r="E2534" t="s">
        <v>2327</v>
      </c>
      <c r="F2534" s="20">
        <v>0</v>
      </c>
      <c r="G2534" t="s">
        <v>23</v>
      </c>
      <c r="I2534" s="16" t="str">
        <f t="shared" si="39"/>
        <v>Unknown</v>
      </c>
      <c r="J2534">
        <v>5</v>
      </c>
    </row>
    <row r="2535" spans="1:10">
      <c r="A2535" t="s">
        <v>4921</v>
      </c>
      <c r="B2535" t="s">
        <v>40</v>
      </c>
      <c r="C2535" t="s">
        <v>2273</v>
      </c>
      <c r="D2535" s="9">
        <v>45658</v>
      </c>
      <c r="E2535" t="s">
        <v>2330</v>
      </c>
      <c r="G2535" t="s">
        <v>2328</v>
      </c>
      <c r="H2535">
        <v>799</v>
      </c>
      <c r="I2535" s="16" t="str">
        <f t="shared" si="39"/>
        <v>Normal</v>
      </c>
      <c r="J2535">
        <v>1</v>
      </c>
    </row>
    <row r="2536" spans="1:10">
      <c r="A2536" t="s">
        <v>4922</v>
      </c>
      <c r="B2536" t="s">
        <v>2073</v>
      </c>
      <c r="C2536" t="s">
        <v>2213</v>
      </c>
      <c r="D2536" s="9">
        <v>45809</v>
      </c>
      <c r="E2536" t="s">
        <v>2330</v>
      </c>
      <c r="G2536" t="s">
        <v>2328</v>
      </c>
      <c r="H2536">
        <v>1500</v>
      </c>
      <c r="I2536" s="16" t="str">
        <f t="shared" si="39"/>
        <v>Normal</v>
      </c>
      <c r="J2536">
        <v>2</v>
      </c>
    </row>
    <row r="2537" spans="1:10">
      <c r="A2537" t="s">
        <v>4923</v>
      </c>
      <c r="B2537" t="s">
        <v>1654</v>
      </c>
      <c r="C2537" t="s">
        <v>2257</v>
      </c>
      <c r="D2537" s="9">
        <v>45332</v>
      </c>
      <c r="E2537" t="s">
        <v>2330</v>
      </c>
      <c r="F2537" s="20">
        <v>100</v>
      </c>
      <c r="G2537" t="s">
        <v>2345</v>
      </c>
      <c r="I2537" s="16" t="str">
        <f t="shared" si="39"/>
        <v>Unknown</v>
      </c>
      <c r="J2537">
        <v>3</v>
      </c>
    </row>
    <row r="2538" spans="1:10">
      <c r="A2538" t="s">
        <v>4924</v>
      </c>
      <c r="B2538" t="s">
        <v>1207</v>
      </c>
      <c r="C2538" t="s">
        <v>2264</v>
      </c>
      <c r="D2538" s="9">
        <v>45233</v>
      </c>
      <c r="E2538" t="s">
        <v>2324</v>
      </c>
      <c r="F2538" s="20">
        <v>75</v>
      </c>
      <c r="G2538" t="s">
        <v>2345</v>
      </c>
      <c r="H2538">
        <v>2500</v>
      </c>
      <c r="I2538" s="16" t="str">
        <f t="shared" si="39"/>
        <v>Normal</v>
      </c>
      <c r="J2538" t="s">
        <v>39</v>
      </c>
    </row>
    <row r="2539" spans="1:10">
      <c r="A2539" t="s">
        <v>4925</v>
      </c>
      <c r="B2539" t="s">
        <v>1496</v>
      </c>
      <c r="C2539" t="s">
        <v>2235</v>
      </c>
      <c r="D2539" s="9">
        <v>45257</v>
      </c>
      <c r="E2539" t="s">
        <v>2330</v>
      </c>
      <c r="F2539" s="20">
        <v>100</v>
      </c>
      <c r="G2539" t="s">
        <v>2345</v>
      </c>
      <c r="H2539">
        <v>3000</v>
      </c>
      <c r="I2539" s="16" t="str">
        <f t="shared" si="39"/>
        <v>Normal</v>
      </c>
      <c r="J2539" t="s">
        <v>39</v>
      </c>
    </row>
    <row r="2540" spans="1:10">
      <c r="A2540" t="s">
        <v>4926</v>
      </c>
      <c r="B2540" t="s">
        <v>675</v>
      </c>
      <c r="C2540" t="s">
        <v>2273</v>
      </c>
      <c r="D2540" s="9">
        <v>45385</v>
      </c>
      <c r="E2540" t="s">
        <v>2330</v>
      </c>
      <c r="F2540" s="20">
        <v>100</v>
      </c>
      <c r="G2540" t="s">
        <v>23</v>
      </c>
      <c r="H2540">
        <v>799</v>
      </c>
      <c r="I2540" s="16" t="str">
        <f t="shared" si="39"/>
        <v>Normal</v>
      </c>
      <c r="J2540">
        <v>4</v>
      </c>
    </row>
    <row r="2541" spans="1:10">
      <c r="A2541" t="s">
        <v>4927</v>
      </c>
      <c r="B2541" t="s">
        <v>1666</v>
      </c>
      <c r="C2541" t="s">
        <v>2216</v>
      </c>
      <c r="D2541" s="9">
        <v>46002</v>
      </c>
      <c r="E2541" t="s">
        <v>23</v>
      </c>
      <c r="G2541" t="s">
        <v>2331</v>
      </c>
      <c r="H2541">
        <v>1200</v>
      </c>
      <c r="I2541" s="16" t="str">
        <f t="shared" si="39"/>
        <v>Normal</v>
      </c>
      <c r="J2541" t="s">
        <v>39</v>
      </c>
    </row>
    <row r="2542" spans="1:10">
      <c r="A2542" t="s">
        <v>4928</v>
      </c>
      <c r="B2542" t="s">
        <v>1030</v>
      </c>
      <c r="C2542" t="s">
        <v>2251</v>
      </c>
      <c r="D2542" s="9">
        <v>45923</v>
      </c>
      <c r="E2542" t="s">
        <v>2330</v>
      </c>
      <c r="F2542" s="20">
        <v>100</v>
      </c>
      <c r="G2542" t="s">
        <v>2345</v>
      </c>
      <c r="H2542">
        <v>1500</v>
      </c>
      <c r="I2542" s="16" t="str">
        <f t="shared" si="39"/>
        <v>Normal</v>
      </c>
      <c r="J2542">
        <v>1</v>
      </c>
    </row>
    <row r="2543" spans="1:10">
      <c r="A2543" t="s">
        <v>4929</v>
      </c>
      <c r="B2543" t="s">
        <v>270</v>
      </c>
      <c r="C2543" t="s">
        <v>2233</v>
      </c>
      <c r="D2543" s="9">
        <v>45220</v>
      </c>
      <c r="E2543" t="s">
        <v>2324</v>
      </c>
      <c r="F2543" s="20">
        <v>60</v>
      </c>
      <c r="G2543" t="s">
        <v>2345</v>
      </c>
      <c r="H2543">
        <v>2500</v>
      </c>
      <c r="I2543" s="16" t="str">
        <f t="shared" si="39"/>
        <v>Normal</v>
      </c>
      <c r="J2543">
        <v>3</v>
      </c>
    </row>
    <row r="2544" spans="1:10">
      <c r="A2544" t="s">
        <v>4930</v>
      </c>
      <c r="B2544" t="s">
        <v>3809</v>
      </c>
      <c r="C2544" t="s">
        <v>2257</v>
      </c>
      <c r="D2544" s="9">
        <v>45283</v>
      </c>
      <c r="E2544" t="s">
        <v>2330</v>
      </c>
      <c r="F2544" s="20">
        <v>100</v>
      </c>
      <c r="G2544" t="s">
        <v>2345</v>
      </c>
      <c r="I2544" s="16" t="str">
        <f t="shared" si="39"/>
        <v>Unknown</v>
      </c>
      <c r="J2544">
        <v>2</v>
      </c>
    </row>
    <row r="2545" spans="1:10">
      <c r="A2545" t="s">
        <v>4931</v>
      </c>
      <c r="B2545" t="s">
        <v>717</v>
      </c>
      <c r="C2545" t="s">
        <v>2244</v>
      </c>
      <c r="D2545" s="9">
        <v>45550</v>
      </c>
      <c r="E2545" t="s">
        <v>2330</v>
      </c>
      <c r="G2545" t="s">
        <v>2331</v>
      </c>
      <c r="H2545">
        <v>1200</v>
      </c>
      <c r="I2545" s="16" t="str">
        <f t="shared" si="39"/>
        <v>Normal</v>
      </c>
      <c r="J2545">
        <v>1</v>
      </c>
    </row>
    <row r="2546" spans="1:10">
      <c r="A2546" t="s">
        <v>4932</v>
      </c>
      <c r="B2546" t="s">
        <v>548</v>
      </c>
      <c r="C2546" t="s">
        <v>2273</v>
      </c>
      <c r="D2546" s="9">
        <v>45470</v>
      </c>
      <c r="E2546" t="s">
        <v>2330</v>
      </c>
      <c r="G2546" t="s">
        <v>23</v>
      </c>
      <c r="H2546">
        <v>-799</v>
      </c>
      <c r="I2546" s="16" t="str">
        <f t="shared" si="39"/>
        <v>Review</v>
      </c>
      <c r="J2546">
        <v>1</v>
      </c>
    </row>
    <row r="2547" spans="1:10">
      <c r="A2547" t="s">
        <v>4933</v>
      </c>
      <c r="B2547" t="s">
        <v>1248</v>
      </c>
      <c r="C2547" t="s">
        <v>2213</v>
      </c>
      <c r="D2547" s="9">
        <v>46098</v>
      </c>
      <c r="E2547" t="s">
        <v>2324</v>
      </c>
      <c r="F2547" s="20">
        <v>10</v>
      </c>
      <c r="G2547" t="s">
        <v>2331</v>
      </c>
      <c r="H2547">
        <v>1500</v>
      </c>
      <c r="I2547" s="16" t="str">
        <f t="shared" si="39"/>
        <v>Normal</v>
      </c>
      <c r="J2547" t="s">
        <v>39</v>
      </c>
    </row>
    <row r="2548" spans="1:10">
      <c r="A2548" t="s">
        <v>4934</v>
      </c>
      <c r="B2548" t="s">
        <v>2122</v>
      </c>
      <c r="C2548" t="s">
        <v>2187</v>
      </c>
      <c r="D2548" s="9">
        <v>45880</v>
      </c>
      <c r="E2548" t="s">
        <v>2327</v>
      </c>
      <c r="F2548" s="20">
        <v>20</v>
      </c>
      <c r="G2548" t="s">
        <v>23</v>
      </c>
      <c r="H2548">
        <v>799</v>
      </c>
      <c r="I2548" s="16" t="str">
        <f t="shared" si="39"/>
        <v>Normal</v>
      </c>
      <c r="J2548">
        <v>3</v>
      </c>
    </row>
    <row r="2549" spans="1:10">
      <c r="A2549" t="s">
        <v>4935</v>
      </c>
      <c r="B2549" t="s">
        <v>1007</v>
      </c>
      <c r="C2549" t="s">
        <v>2205</v>
      </c>
      <c r="D2549" s="9">
        <v>45328</v>
      </c>
      <c r="E2549" t="s">
        <v>2337</v>
      </c>
      <c r="F2549" s="20">
        <v>20</v>
      </c>
      <c r="G2549" t="s">
        <v>2331</v>
      </c>
      <c r="H2549">
        <v>1500</v>
      </c>
      <c r="I2549" s="16" t="str">
        <f t="shared" si="39"/>
        <v>Normal</v>
      </c>
      <c r="J2549" t="s">
        <v>39</v>
      </c>
    </row>
    <row r="2550" spans="1:10">
      <c r="A2550" t="s">
        <v>4936</v>
      </c>
      <c r="B2550" t="s">
        <v>445</v>
      </c>
      <c r="C2550" t="s">
        <v>2257</v>
      </c>
      <c r="D2550" s="9">
        <v>45204</v>
      </c>
      <c r="E2550" t="s">
        <v>2324</v>
      </c>
      <c r="F2550" s="20">
        <v>55</v>
      </c>
      <c r="G2550" t="s">
        <v>2331</v>
      </c>
      <c r="I2550" s="16" t="str">
        <f t="shared" si="39"/>
        <v>Unknown</v>
      </c>
      <c r="J2550">
        <v>1</v>
      </c>
    </row>
    <row r="2551" spans="1:10">
      <c r="A2551" t="s">
        <v>4937</v>
      </c>
      <c r="B2551" t="s">
        <v>1311</v>
      </c>
      <c r="C2551" t="s">
        <v>2222</v>
      </c>
      <c r="D2551" s="9">
        <v>45801</v>
      </c>
      <c r="E2551" t="s">
        <v>2324</v>
      </c>
      <c r="F2551" s="20">
        <v>40</v>
      </c>
      <c r="G2551" t="s">
        <v>2331</v>
      </c>
      <c r="H2551">
        <v>0</v>
      </c>
      <c r="I2551" s="16" t="str">
        <f t="shared" si="39"/>
        <v>Zero Amount</v>
      </c>
      <c r="J2551">
        <v>4</v>
      </c>
    </row>
    <row r="2552" spans="1:10">
      <c r="A2552" t="s">
        <v>4938</v>
      </c>
      <c r="B2552" t="s">
        <v>2155</v>
      </c>
      <c r="C2552" t="s">
        <v>2216</v>
      </c>
      <c r="D2552" s="9">
        <v>45208</v>
      </c>
      <c r="E2552" t="s">
        <v>2324</v>
      </c>
      <c r="F2552" s="20">
        <v>10</v>
      </c>
      <c r="G2552" t="s">
        <v>2345</v>
      </c>
      <c r="H2552">
        <v>1200</v>
      </c>
      <c r="I2552" s="16" t="str">
        <f t="shared" si="39"/>
        <v>Normal</v>
      </c>
      <c r="J2552">
        <v>5</v>
      </c>
    </row>
    <row r="2553" spans="1:10">
      <c r="A2553" t="s">
        <v>4939</v>
      </c>
      <c r="B2553" t="s">
        <v>1299</v>
      </c>
      <c r="C2553" t="s">
        <v>2267</v>
      </c>
      <c r="D2553" s="9">
        <v>46056</v>
      </c>
      <c r="E2553" t="s">
        <v>2324</v>
      </c>
      <c r="G2553" t="s">
        <v>2345</v>
      </c>
      <c r="H2553">
        <v>999.99</v>
      </c>
      <c r="I2553" s="16" t="str">
        <f t="shared" si="39"/>
        <v>Normal</v>
      </c>
      <c r="J2553">
        <v>1</v>
      </c>
    </row>
    <row r="2554" spans="1:10">
      <c r="A2554" t="s">
        <v>4940</v>
      </c>
      <c r="B2554" t="s">
        <v>1558</v>
      </c>
      <c r="C2554" t="s">
        <v>2205</v>
      </c>
      <c r="D2554" s="9">
        <v>45577</v>
      </c>
      <c r="E2554" t="s">
        <v>2327</v>
      </c>
      <c r="G2554" t="s">
        <v>2325</v>
      </c>
      <c r="H2554">
        <v>1500</v>
      </c>
      <c r="I2554" s="16" t="str">
        <f t="shared" si="39"/>
        <v>Normal</v>
      </c>
      <c r="J2554" t="s">
        <v>39</v>
      </c>
    </row>
    <row r="2555" spans="1:10">
      <c r="A2555" t="s">
        <v>4941</v>
      </c>
      <c r="B2555" t="s">
        <v>946</v>
      </c>
      <c r="C2555" t="s">
        <v>2235</v>
      </c>
      <c r="D2555" s="9">
        <v>45366</v>
      </c>
      <c r="E2555" t="s">
        <v>2337</v>
      </c>
      <c r="F2555" s="20">
        <v>0</v>
      </c>
      <c r="G2555" t="s">
        <v>2331</v>
      </c>
      <c r="H2555">
        <v>3000</v>
      </c>
      <c r="I2555" s="16" t="str">
        <f t="shared" si="39"/>
        <v>Normal</v>
      </c>
      <c r="J2555" t="s">
        <v>39</v>
      </c>
    </row>
    <row r="2556" spans="1:10">
      <c r="A2556" t="s">
        <v>4942</v>
      </c>
      <c r="B2556" t="s">
        <v>2583</v>
      </c>
      <c r="C2556" t="s">
        <v>2228</v>
      </c>
      <c r="D2556" s="9">
        <v>45382</v>
      </c>
      <c r="E2556" t="s">
        <v>2327</v>
      </c>
      <c r="F2556" s="20">
        <v>20</v>
      </c>
      <c r="G2556" t="s">
        <v>2339</v>
      </c>
      <c r="H2556">
        <v>799</v>
      </c>
      <c r="I2556" s="16" t="str">
        <f t="shared" si="39"/>
        <v>Normal</v>
      </c>
      <c r="J2556">
        <v>2</v>
      </c>
    </row>
    <row r="2557" spans="1:10">
      <c r="A2557" t="s">
        <v>4943</v>
      </c>
      <c r="B2557" t="s">
        <v>1582</v>
      </c>
      <c r="C2557" t="s">
        <v>2187</v>
      </c>
      <c r="D2557" s="9">
        <v>45421</v>
      </c>
      <c r="E2557" t="s">
        <v>2330</v>
      </c>
      <c r="G2557" t="s">
        <v>23</v>
      </c>
      <c r="H2557">
        <v>799</v>
      </c>
      <c r="I2557" s="16" t="str">
        <f t="shared" si="39"/>
        <v>Normal</v>
      </c>
      <c r="J2557">
        <v>5</v>
      </c>
    </row>
    <row r="2558" spans="1:10">
      <c r="A2558" t="s">
        <v>4944</v>
      </c>
      <c r="B2558" t="s">
        <v>1464</v>
      </c>
      <c r="C2558" t="s">
        <v>2209</v>
      </c>
      <c r="D2558" s="9">
        <v>45585</v>
      </c>
      <c r="E2558" t="s">
        <v>2330</v>
      </c>
      <c r="F2558" s="20">
        <v>100</v>
      </c>
      <c r="G2558" t="s">
        <v>2331</v>
      </c>
      <c r="H2558">
        <v>499</v>
      </c>
      <c r="I2558" s="16" t="str">
        <f t="shared" si="39"/>
        <v>Normal</v>
      </c>
      <c r="J2558">
        <v>4</v>
      </c>
    </row>
    <row r="2559" spans="1:10">
      <c r="A2559" t="s">
        <v>4945</v>
      </c>
      <c r="B2559" t="s">
        <v>1606</v>
      </c>
      <c r="C2559" t="s">
        <v>2216</v>
      </c>
      <c r="D2559" s="9">
        <v>45960</v>
      </c>
      <c r="E2559" t="s">
        <v>2330</v>
      </c>
      <c r="F2559" s="20">
        <v>100</v>
      </c>
      <c r="G2559" t="s">
        <v>2331</v>
      </c>
      <c r="H2559">
        <v>1200</v>
      </c>
      <c r="I2559" s="16" t="str">
        <f t="shared" si="39"/>
        <v>Normal</v>
      </c>
      <c r="J2559">
        <v>4</v>
      </c>
    </row>
    <row r="2560" spans="1:10">
      <c r="A2560" t="s">
        <v>4946</v>
      </c>
      <c r="B2560" t="s">
        <v>1624</v>
      </c>
      <c r="C2560" t="s">
        <v>2259</v>
      </c>
      <c r="D2560" s="9">
        <v>45864</v>
      </c>
      <c r="E2560" t="s">
        <v>2330</v>
      </c>
      <c r="F2560" s="20">
        <v>100</v>
      </c>
      <c r="G2560" t="s">
        <v>2331</v>
      </c>
      <c r="H2560">
        <v>0</v>
      </c>
      <c r="I2560" s="16" t="str">
        <f t="shared" si="39"/>
        <v>Zero Amount</v>
      </c>
      <c r="J2560">
        <v>2</v>
      </c>
    </row>
    <row r="2561" spans="1:10">
      <c r="A2561" t="s">
        <v>4947</v>
      </c>
      <c r="B2561" t="s">
        <v>729</v>
      </c>
      <c r="C2561" t="s">
        <v>2244</v>
      </c>
      <c r="D2561" s="9">
        <v>45720</v>
      </c>
      <c r="E2561" t="s">
        <v>2327</v>
      </c>
      <c r="F2561" s="20">
        <v>20</v>
      </c>
      <c r="G2561" t="s">
        <v>2331</v>
      </c>
      <c r="H2561">
        <v>1200</v>
      </c>
      <c r="I2561" s="16" t="str">
        <f t="shared" si="39"/>
        <v>Normal</v>
      </c>
      <c r="J2561">
        <v>5</v>
      </c>
    </row>
    <row r="2562" spans="1:10">
      <c r="A2562" t="s">
        <v>4948</v>
      </c>
      <c r="B2562" t="s">
        <v>678</v>
      </c>
      <c r="C2562" t="s">
        <v>2261</v>
      </c>
      <c r="D2562" s="9">
        <v>45749</v>
      </c>
      <c r="E2562" t="s">
        <v>2330</v>
      </c>
      <c r="G2562" t="s">
        <v>2345</v>
      </c>
      <c r="I2562" s="16" t="str">
        <f t="shared" si="39"/>
        <v>Unknown</v>
      </c>
      <c r="J2562">
        <v>1</v>
      </c>
    </row>
    <row r="2563" spans="1:10">
      <c r="A2563" t="s">
        <v>4949</v>
      </c>
      <c r="B2563" t="s">
        <v>1169</v>
      </c>
      <c r="C2563" t="s">
        <v>2241</v>
      </c>
      <c r="D2563" s="9">
        <v>45698</v>
      </c>
      <c r="E2563" t="s">
        <v>2324</v>
      </c>
      <c r="F2563" s="20">
        <v>75</v>
      </c>
      <c r="G2563" t="s">
        <v>2345</v>
      </c>
      <c r="H2563">
        <v>2155.09</v>
      </c>
      <c r="I2563" s="16" t="str">
        <f t="shared" ref="I2563:I2626" si="40">IF(H2563="", "Unknown", IF(H2563=0, "Zero Amount", IF(H2563&lt;1, "Review", IF(H2563&gt;1, "Normal"))))</f>
        <v>Normal</v>
      </c>
      <c r="J2563">
        <v>2</v>
      </c>
    </row>
    <row r="2564" spans="1:10">
      <c r="A2564" t="s">
        <v>4950</v>
      </c>
      <c r="B2564" t="s">
        <v>570</v>
      </c>
      <c r="C2564" t="s">
        <v>2228</v>
      </c>
      <c r="D2564" s="9">
        <v>45260</v>
      </c>
      <c r="E2564" t="s">
        <v>2330</v>
      </c>
      <c r="F2564" s="20">
        <v>100</v>
      </c>
      <c r="G2564" t="s">
        <v>2345</v>
      </c>
      <c r="H2564">
        <v>799</v>
      </c>
      <c r="I2564" s="16" t="str">
        <f t="shared" si="40"/>
        <v>Normal</v>
      </c>
      <c r="J2564">
        <v>4</v>
      </c>
    </row>
    <row r="2565" spans="1:10">
      <c r="A2565" t="s">
        <v>4951</v>
      </c>
      <c r="B2565" t="s">
        <v>570</v>
      </c>
      <c r="C2565" t="s">
        <v>2244</v>
      </c>
      <c r="D2565" s="9">
        <v>45414</v>
      </c>
      <c r="E2565" t="s">
        <v>2330</v>
      </c>
      <c r="F2565" s="20">
        <v>100</v>
      </c>
      <c r="G2565" t="s">
        <v>2339</v>
      </c>
      <c r="H2565">
        <v>-1200</v>
      </c>
      <c r="I2565" s="16" t="str">
        <f t="shared" si="40"/>
        <v>Review</v>
      </c>
      <c r="J2565" t="s">
        <v>39</v>
      </c>
    </row>
    <row r="2566" spans="1:10">
      <c r="A2566" t="s">
        <v>4952</v>
      </c>
      <c r="B2566" t="s">
        <v>1748</v>
      </c>
      <c r="C2566" t="s">
        <v>2228</v>
      </c>
      <c r="D2566" s="9">
        <v>45340</v>
      </c>
      <c r="E2566" t="s">
        <v>23</v>
      </c>
      <c r="G2566" t="s">
        <v>2331</v>
      </c>
      <c r="H2566">
        <v>799</v>
      </c>
      <c r="I2566" s="16" t="str">
        <f t="shared" si="40"/>
        <v>Normal</v>
      </c>
      <c r="J2566">
        <v>4</v>
      </c>
    </row>
    <row r="2567" spans="1:10">
      <c r="A2567" t="s">
        <v>4953</v>
      </c>
      <c r="B2567" t="s">
        <v>442</v>
      </c>
      <c r="C2567" t="s">
        <v>2257</v>
      </c>
      <c r="D2567" s="9">
        <v>45504</v>
      </c>
      <c r="E2567" t="s">
        <v>2330</v>
      </c>
      <c r="G2567" t="s">
        <v>2345</v>
      </c>
      <c r="I2567" s="16" t="str">
        <f t="shared" si="40"/>
        <v>Unknown</v>
      </c>
      <c r="J2567">
        <v>4</v>
      </c>
    </row>
    <row r="2568" spans="1:10">
      <c r="A2568" t="s">
        <v>4954</v>
      </c>
      <c r="B2568" t="s">
        <v>987</v>
      </c>
      <c r="C2568" t="s">
        <v>2213</v>
      </c>
      <c r="D2568" s="9">
        <v>45495</v>
      </c>
      <c r="E2568" t="s">
        <v>2330</v>
      </c>
      <c r="F2568" s="20">
        <v>100</v>
      </c>
      <c r="G2568" t="s">
        <v>2331</v>
      </c>
      <c r="I2568" s="16" t="str">
        <f t="shared" si="40"/>
        <v>Unknown</v>
      </c>
      <c r="J2568">
        <v>2</v>
      </c>
    </row>
    <row r="2569" spans="1:10">
      <c r="A2569" t="s">
        <v>4955</v>
      </c>
      <c r="B2569" t="s">
        <v>863</v>
      </c>
      <c r="C2569" t="s">
        <v>2273</v>
      </c>
      <c r="D2569" s="9">
        <v>45417</v>
      </c>
      <c r="E2569" t="s">
        <v>2330</v>
      </c>
      <c r="F2569" s="20">
        <v>100</v>
      </c>
      <c r="G2569" t="s">
        <v>23</v>
      </c>
      <c r="H2569">
        <v>799</v>
      </c>
      <c r="I2569" s="16" t="str">
        <f t="shared" si="40"/>
        <v>Normal</v>
      </c>
      <c r="J2569" t="s">
        <v>39</v>
      </c>
    </row>
    <row r="2570" spans="1:10">
      <c r="A2570" t="s">
        <v>4956</v>
      </c>
      <c r="B2570" t="s">
        <v>1794</v>
      </c>
      <c r="C2570" t="s">
        <v>2202</v>
      </c>
      <c r="D2570" s="9">
        <v>46133</v>
      </c>
      <c r="E2570" t="s">
        <v>2324</v>
      </c>
      <c r="F2570" s="20">
        <v>40</v>
      </c>
      <c r="G2570" t="s">
        <v>2331</v>
      </c>
      <c r="I2570" s="16" t="str">
        <f t="shared" si="40"/>
        <v>Unknown</v>
      </c>
      <c r="J2570" t="s">
        <v>39</v>
      </c>
    </row>
    <row r="2571" spans="1:10">
      <c r="A2571" t="s">
        <v>4957</v>
      </c>
      <c r="B2571" t="s">
        <v>4958</v>
      </c>
      <c r="C2571" t="s">
        <v>2249</v>
      </c>
      <c r="D2571" s="9">
        <v>45271</v>
      </c>
      <c r="E2571" t="s">
        <v>2337</v>
      </c>
      <c r="F2571" s="20">
        <v>15</v>
      </c>
      <c r="G2571" t="s">
        <v>2325</v>
      </c>
      <c r="H2571">
        <v>1500</v>
      </c>
      <c r="I2571" s="16" t="str">
        <f t="shared" si="40"/>
        <v>Normal</v>
      </c>
      <c r="J2571" t="s">
        <v>39</v>
      </c>
    </row>
    <row r="2572" spans="1:10">
      <c r="A2572" t="s">
        <v>4959</v>
      </c>
      <c r="B2572" t="s">
        <v>634</v>
      </c>
      <c r="C2572" t="s">
        <v>2241</v>
      </c>
      <c r="D2572" s="9">
        <v>45792</v>
      </c>
      <c r="E2572" t="s">
        <v>2337</v>
      </c>
      <c r="F2572" s="20">
        <v>5</v>
      </c>
      <c r="G2572" t="s">
        <v>2345</v>
      </c>
      <c r="H2572">
        <v>2500</v>
      </c>
      <c r="I2572" s="16" t="str">
        <f t="shared" si="40"/>
        <v>Normal</v>
      </c>
      <c r="J2572">
        <v>4</v>
      </c>
    </row>
    <row r="2573" spans="1:10">
      <c r="A2573" t="s">
        <v>4960</v>
      </c>
      <c r="B2573" t="s">
        <v>1867</v>
      </c>
      <c r="C2573" t="s">
        <v>2237</v>
      </c>
      <c r="D2573" s="9">
        <v>45618</v>
      </c>
      <c r="E2573" t="s">
        <v>2327</v>
      </c>
      <c r="F2573" s="20">
        <v>5</v>
      </c>
      <c r="G2573" t="s">
        <v>2325</v>
      </c>
      <c r="H2573">
        <v>1500</v>
      </c>
      <c r="I2573" s="16" t="str">
        <f t="shared" si="40"/>
        <v>Normal</v>
      </c>
      <c r="J2573" t="s">
        <v>39</v>
      </c>
    </row>
    <row r="2574" spans="1:10">
      <c r="A2574" t="s">
        <v>4961</v>
      </c>
      <c r="B2574" t="s">
        <v>1483</v>
      </c>
      <c r="C2574" t="s">
        <v>2247</v>
      </c>
      <c r="D2574" s="9">
        <v>45580</v>
      </c>
      <c r="E2574" t="s">
        <v>2324</v>
      </c>
      <c r="F2574" s="20">
        <v>55</v>
      </c>
      <c r="G2574" t="s">
        <v>2328</v>
      </c>
      <c r="I2574" s="16" t="str">
        <f t="shared" si="40"/>
        <v>Unknown</v>
      </c>
      <c r="J2574">
        <v>1</v>
      </c>
    </row>
    <row r="2575" spans="1:10">
      <c r="A2575" t="s">
        <v>4962</v>
      </c>
      <c r="B2575" t="s">
        <v>1794</v>
      </c>
      <c r="C2575" t="s">
        <v>2202</v>
      </c>
      <c r="D2575" s="9">
        <v>45421</v>
      </c>
      <c r="E2575" t="s">
        <v>2324</v>
      </c>
      <c r="F2575" s="20">
        <v>25</v>
      </c>
      <c r="G2575" t="s">
        <v>23</v>
      </c>
      <c r="H2575">
        <v>999.99</v>
      </c>
      <c r="I2575" s="16" t="str">
        <f t="shared" si="40"/>
        <v>Normal</v>
      </c>
      <c r="J2575">
        <v>4</v>
      </c>
    </row>
    <row r="2576" spans="1:10">
      <c r="A2576" t="s">
        <v>4963</v>
      </c>
      <c r="B2576" t="s">
        <v>1809</v>
      </c>
      <c r="C2576" t="s">
        <v>2187</v>
      </c>
      <c r="D2576" s="9">
        <v>45913</v>
      </c>
      <c r="E2576" t="s">
        <v>2330</v>
      </c>
      <c r="G2576" t="s">
        <v>2331</v>
      </c>
      <c r="I2576" s="16" t="str">
        <f t="shared" si="40"/>
        <v>Unknown</v>
      </c>
      <c r="J2576">
        <v>3</v>
      </c>
    </row>
    <row r="2577" spans="1:10">
      <c r="A2577" t="s">
        <v>4964</v>
      </c>
      <c r="B2577" t="s">
        <v>1401</v>
      </c>
      <c r="C2577" t="s">
        <v>2269</v>
      </c>
      <c r="D2577" s="9">
        <v>45859</v>
      </c>
      <c r="E2577" t="s">
        <v>2330</v>
      </c>
      <c r="F2577" s="20">
        <v>100</v>
      </c>
      <c r="G2577" t="s">
        <v>2345</v>
      </c>
      <c r="H2577">
        <v>499</v>
      </c>
      <c r="I2577" s="16" t="str">
        <f t="shared" si="40"/>
        <v>Normal</v>
      </c>
      <c r="J2577">
        <v>2</v>
      </c>
    </row>
    <row r="2578" spans="1:10">
      <c r="A2578" t="s">
        <v>4965</v>
      </c>
      <c r="B2578" t="s">
        <v>67</v>
      </c>
      <c r="C2578" t="s">
        <v>2264</v>
      </c>
      <c r="D2578" s="9">
        <v>45258</v>
      </c>
      <c r="E2578" t="s">
        <v>2330</v>
      </c>
      <c r="F2578" s="20">
        <v>100</v>
      </c>
      <c r="G2578" t="s">
        <v>2328</v>
      </c>
      <c r="H2578">
        <v>2500</v>
      </c>
      <c r="I2578" s="16" t="str">
        <f t="shared" si="40"/>
        <v>Normal</v>
      </c>
      <c r="J2578" t="s">
        <v>39</v>
      </c>
    </row>
    <row r="2579" spans="1:10">
      <c r="A2579" t="s">
        <v>4966</v>
      </c>
      <c r="B2579" t="s">
        <v>1930</v>
      </c>
      <c r="C2579" t="s">
        <v>2216</v>
      </c>
      <c r="D2579" s="9">
        <v>45418</v>
      </c>
      <c r="E2579" t="s">
        <v>23</v>
      </c>
      <c r="G2579" t="s">
        <v>2325</v>
      </c>
      <c r="H2579">
        <v>1200</v>
      </c>
      <c r="I2579" s="16" t="str">
        <f t="shared" si="40"/>
        <v>Normal</v>
      </c>
      <c r="J2579">
        <v>5</v>
      </c>
    </row>
    <row r="2580" spans="1:10">
      <c r="A2580" t="s">
        <v>4967</v>
      </c>
      <c r="B2580" t="s">
        <v>1177</v>
      </c>
      <c r="C2580" t="s">
        <v>2251</v>
      </c>
      <c r="D2580" s="9">
        <v>45519</v>
      </c>
      <c r="E2580" t="s">
        <v>2330</v>
      </c>
      <c r="F2580" s="20">
        <v>100</v>
      </c>
      <c r="G2580" t="s">
        <v>2328</v>
      </c>
      <c r="H2580">
        <v>1500</v>
      </c>
      <c r="I2580" s="16" t="str">
        <f t="shared" si="40"/>
        <v>Normal</v>
      </c>
      <c r="J2580" t="s">
        <v>39</v>
      </c>
    </row>
    <row r="2581" spans="1:10">
      <c r="A2581" t="s">
        <v>4968</v>
      </c>
      <c r="B2581" t="s">
        <v>1686</v>
      </c>
      <c r="C2581" t="s">
        <v>2261</v>
      </c>
      <c r="D2581" s="9">
        <v>45795</v>
      </c>
      <c r="E2581" t="s">
        <v>2330</v>
      </c>
      <c r="F2581" s="20">
        <v>100</v>
      </c>
      <c r="G2581" t="s">
        <v>2345</v>
      </c>
      <c r="I2581" s="16" t="str">
        <f t="shared" si="40"/>
        <v>Unknown</v>
      </c>
      <c r="J2581">
        <v>1</v>
      </c>
    </row>
    <row r="2582" spans="1:10">
      <c r="A2582" t="s">
        <v>4969</v>
      </c>
      <c r="B2582" t="s">
        <v>2929</v>
      </c>
      <c r="C2582" t="s">
        <v>2187</v>
      </c>
      <c r="D2582" s="9">
        <v>45128</v>
      </c>
      <c r="E2582" t="s">
        <v>2330</v>
      </c>
      <c r="F2582" s="20">
        <v>100</v>
      </c>
      <c r="G2582" t="s">
        <v>23</v>
      </c>
      <c r="H2582">
        <v>799</v>
      </c>
      <c r="I2582" s="16" t="str">
        <f t="shared" si="40"/>
        <v>Normal</v>
      </c>
      <c r="J2582">
        <v>2</v>
      </c>
    </row>
    <row r="2583" spans="1:10">
      <c r="A2583" t="s">
        <v>4970</v>
      </c>
      <c r="B2583" t="s">
        <v>1311</v>
      </c>
      <c r="C2583" t="s">
        <v>2222</v>
      </c>
      <c r="D2583" s="9">
        <v>45329</v>
      </c>
      <c r="E2583" t="s">
        <v>2324</v>
      </c>
      <c r="F2583" s="20">
        <v>60</v>
      </c>
      <c r="G2583" t="s">
        <v>2328</v>
      </c>
      <c r="H2583">
        <v>0</v>
      </c>
      <c r="I2583" s="16" t="str">
        <f t="shared" si="40"/>
        <v>Zero Amount</v>
      </c>
      <c r="J2583" t="s">
        <v>39</v>
      </c>
    </row>
    <row r="2584" spans="1:10">
      <c r="A2584" t="s">
        <v>4971</v>
      </c>
      <c r="B2584" t="s">
        <v>2006</v>
      </c>
      <c r="C2584" t="s">
        <v>2241</v>
      </c>
      <c r="D2584" s="9">
        <v>45430</v>
      </c>
      <c r="E2584" t="s">
        <v>2330</v>
      </c>
      <c r="F2584" s="20">
        <v>100</v>
      </c>
      <c r="G2584" t="s">
        <v>2339</v>
      </c>
      <c r="H2584">
        <v>2500</v>
      </c>
      <c r="I2584" s="16" t="str">
        <f t="shared" si="40"/>
        <v>Normal</v>
      </c>
      <c r="J2584" t="s">
        <v>39</v>
      </c>
    </row>
    <row r="2585" spans="1:10">
      <c r="A2585" t="s">
        <v>4972</v>
      </c>
      <c r="B2585" t="s">
        <v>1666</v>
      </c>
      <c r="C2585" t="s">
        <v>2209</v>
      </c>
      <c r="D2585" s="9">
        <v>45738</v>
      </c>
      <c r="E2585" t="s">
        <v>2330</v>
      </c>
      <c r="F2585" s="20">
        <v>100</v>
      </c>
      <c r="G2585" t="s">
        <v>2325</v>
      </c>
      <c r="H2585">
        <v>499</v>
      </c>
      <c r="I2585" s="16" t="str">
        <f t="shared" si="40"/>
        <v>Normal</v>
      </c>
      <c r="J2585">
        <v>3</v>
      </c>
    </row>
    <row r="2586" spans="1:10">
      <c r="A2586" t="s">
        <v>4973</v>
      </c>
      <c r="B2586" t="s">
        <v>1069</v>
      </c>
      <c r="C2586" t="s">
        <v>2231</v>
      </c>
      <c r="D2586" s="9">
        <v>45382</v>
      </c>
      <c r="E2586" t="s">
        <v>2324</v>
      </c>
      <c r="F2586" s="20">
        <v>60</v>
      </c>
      <c r="G2586" t="s">
        <v>2345</v>
      </c>
      <c r="H2586">
        <v>3000</v>
      </c>
      <c r="I2586" s="16" t="str">
        <f t="shared" si="40"/>
        <v>Normal</v>
      </c>
      <c r="J2586">
        <v>2</v>
      </c>
    </row>
    <row r="2587" spans="1:10">
      <c r="A2587" t="s">
        <v>4974</v>
      </c>
      <c r="B2587" t="s">
        <v>397</v>
      </c>
      <c r="C2587" t="s">
        <v>2216</v>
      </c>
      <c r="D2587" s="9">
        <v>45888</v>
      </c>
      <c r="E2587" t="s">
        <v>2327</v>
      </c>
      <c r="F2587" s="20">
        <v>15</v>
      </c>
      <c r="G2587" t="s">
        <v>2325</v>
      </c>
      <c r="H2587">
        <v>1200</v>
      </c>
      <c r="I2587" s="16" t="str">
        <f t="shared" si="40"/>
        <v>Normal</v>
      </c>
      <c r="J2587">
        <v>1</v>
      </c>
    </row>
    <row r="2588" spans="1:10">
      <c r="A2588" t="s">
        <v>4975</v>
      </c>
      <c r="B2588" t="s">
        <v>320</v>
      </c>
      <c r="C2588" t="s">
        <v>2271</v>
      </c>
      <c r="D2588" s="9">
        <v>45915</v>
      </c>
      <c r="E2588" t="s">
        <v>2337</v>
      </c>
      <c r="G2588" t="s">
        <v>2328</v>
      </c>
      <c r="H2588">
        <v>1200</v>
      </c>
      <c r="I2588" s="16" t="str">
        <f t="shared" si="40"/>
        <v>Normal</v>
      </c>
      <c r="J2588" t="s">
        <v>39</v>
      </c>
    </row>
    <row r="2589" spans="1:10">
      <c r="A2589" t="s">
        <v>4976</v>
      </c>
      <c r="B2589" t="s">
        <v>854</v>
      </c>
      <c r="C2589" t="s">
        <v>2233</v>
      </c>
      <c r="D2589" s="9">
        <v>46189</v>
      </c>
      <c r="E2589" t="s">
        <v>2330</v>
      </c>
      <c r="F2589" s="20">
        <v>100</v>
      </c>
      <c r="G2589" t="s">
        <v>2331</v>
      </c>
      <c r="H2589">
        <v>2500</v>
      </c>
      <c r="I2589" s="16" t="str">
        <f t="shared" si="40"/>
        <v>Normal</v>
      </c>
      <c r="J2589">
        <v>5</v>
      </c>
    </row>
    <row r="2590" spans="1:10">
      <c r="A2590" t="s">
        <v>4977</v>
      </c>
      <c r="B2590" t="s">
        <v>1776</v>
      </c>
      <c r="C2590" t="s">
        <v>2216</v>
      </c>
      <c r="D2590" s="9">
        <v>45542</v>
      </c>
      <c r="E2590" t="s">
        <v>2337</v>
      </c>
      <c r="G2590" t="s">
        <v>2345</v>
      </c>
      <c r="H2590">
        <v>1200</v>
      </c>
      <c r="I2590" s="16" t="str">
        <f t="shared" si="40"/>
        <v>Normal</v>
      </c>
      <c r="J2590" t="s">
        <v>39</v>
      </c>
    </row>
    <row r="2591" spans="1:10">
      <c r="A2591" t="s">
        <v>4978</v>
      </c>
      <c r="B2591" t="s">
        <v>1802</v>
      </c>
      <c r="C2591" t="s">
        <v>2233</v>
      </c>
      <c r="D2591" s="9">
        <v>45775</v>
      </c>
      <c r="E2591" t="s">
        <v>2327</v>
      </c>
      <c r="F2591" s="20">
        <v>0</v>
      </c>
      <c r="G2591" t="s">
        <v>2339</v>
      </c>
      <c r="H2591">
        <v>2500</v>
      </c>
      <c r="I2591" s="16" t="str">
        <f t="shared" si="40"/>
        <v>Normal</v>
      </c>
      <c r="J2591" t="s">
        <v>39</v>
      </c>
    </row>
    <row r="2592" spans="1:10">
      <c r="A2592" t="s">
        <v>4979</v>
      </c>
      <c r="B2592" t="s">
        <v>335</v>
      </c>
      <c r="C2592" t="s">
        <v>2218</v>
      </c>
      <c r="D2592" s="9">
        <v>45284</v>
      </c>
      <c r="E2592" t="s">
        <v>2324</v>
      </c>
      <c r="G2592" t="s">
        <v>2345</v>
      </c>
      <c r="H2592">
        <v>1500</v>
      </c>
      <c r="I2592" s="16" t="str">
        <f t="shared" si="40"/>
        <v>Normal</v>
      </c>
      <c r="J2592" t="s">
        <v>39</v>
      </c>
    </row>
    <row r="2593" spans="1:10">
      <c r="A2593" t="s">
        <v>4980</v>
      </c>
      <c r="B2593" t="s">
        <v>1700</v>
      </c>
      <c r="C2593" t="s">
        <v>2202</v>
      </c>
      <c r="D2593" s="9">
        <v>45329</v>
      </c>
      <c r="E2593" t="s">
        <v>2330</v>
      </c>
      <c r="F2593" s="20">
        <v>100</v>
      </c>
      <c r="G2593" t="s">
        <v>2345</v>
      </c>
      <c r="H2593">
        <v>999.99</v>
      </c>
      <c r="I2593" s="16" t="str">
        <f t="shared" si="40"/>
        <v>Normal</v>
      </c>
      <c r="J2593">
        <v>2</v>
      </c>
    </row>
    <row r="2594" spans="1:10">
      <c r="A2594" t="s">
        <v>4981</v>
      </c>
      <c r="B2594" t="s">
        <v>1974</v>
      </c>
      <c r="C2594" t="s">
        <v>2267</v>
      </c>
      <c r="D2594" s="9">
        <v>45268</v>
      </c>
      <c r="E2594" t="s">
        <v>2324</v>
      </c>
      <c r="F2594" s="20">
        <v>10</v>
      </c>
      <c r="G2594" t="s">
        <v>2345</v>
      </c>
      <c r="H2594">
        <v>999.99</v>
      </c>
      <c r="I2594" s="16" t="str">
        <f t="shared" si="40"/>
        <v>Normal</v>
      </c>
      <c r="J2594" t="s">
        <v>39</v>
      </c>
    </row>
    <row r="2595" spans="1:10">
      <c r="A2595" t="s">
        <v>4982</v>
      </c>
      <c r="B2595" t="s">
        <v>1960</v>
      </c>
      <c r="C2595" t="s">
        <v>2228</v>
      </c>
      <c r="D2595" s="9">
        <v>46032</v>
      </c>
      <c r="E2595" t="s">
        <v>2324</v>
      </c>
      <c r="G2595" t="s">
        <v>2345</v>
      </c>
      <c r="H2595">
        <v>799</v>
      </c>
      <c r="I2595" s="16" t="str">
        <f t="shared" si="40"/>
        <v>Normal</v>
      </c>
      <c r="J2595">
        <v>4</v>
      </c>
    </row>
    <row r="2596" spans="1:10">
      <c r="A2596" t="s">
        <v>4983</v>
      </c>
      <c r="B2596" t="s">
        <v>1155</v>
      </c>
      <c r="C2596" t="s">
        <v>2228</v>
      </c>
      <c r="D2596" s="9">
        <v>45442</v>
      </c>
      <c r="E2596" t="s">
        <v>2324</v>
      </c>
      <c r="F2596" s="20">
        <v>55</v>
      </c>
      <c r="G2596" t="s">
        <v>2328</v>
      </c>
      <c r="H2596">
        <v>698.54</v>
      </c>
      <c r="I2596" s="16" t="str">
        <f t="shared" si="40"/>
        <v>Normal</v>
      </c>
      <c r="J2596">
        <v>4</v>
      </c>
    </row>
    <row r="2597" spans="1:10">
      <c r="A2597" t="s">
        <v>4984</v>
      </c>
      <c r="B2597" t="s">
        <v>1299</v>
      </c>
      <c r="C2597" t="s">
        <v>2225</v>
      </c>
      <c r="D2597" s="9">
        <v>45390</v>
      </c>
      <c r="E2597" t="s">
        <v>2324</v>
      </c>
      <c r="F2597" s="20">
        <v>60</v>
      </c>
      <c r="G2597" t="s">
        <v>23</v>
      </c>
      <c r="I2597" s="16" t="str">
        <f t="shared" si="40"/>
        <v>Unknown</v>
      </c>
      <c r="J2597" t="s">
        <v>39</v>
      </c>
    </row>
    <row r="2598" spans="1:10">
      <c r="A2598" t="s">
        <v>4985</v>
      </c>
      <c r="B2598" t="s">
        <v>328</v>
      </c>
      <c r="C2598" t="s">
        <v>2216</v>
      </c>
      <c r="D2598" s="9">
        <v>46046</v>
      </c>
      <c r="E2598" t="s">
        <v>23</v>
      </c>
      <c r="G2598" t="s">
        <v>2328</v>
      </c>
      <c r="H2598">
        <v>1200</v>
      </c>
      <c r="I2598" s="16" t="str">
        <f t="shared" si="40"/>
        <v>Normal</v>
      </c>
      <c r="J2598" t="s">
        <v>39</v>
      </c>
    </row>
    <row r="2599" spans="1:10">
      <c r="A2599" t="s">
        <v>4986</v>
      </c>
      <c r="B2599" t="s">
        <v>554</v>
      </c>
      <c r="C2599" t="s">
        <v>2269</v>
      </c>
      <c r="D2599" s="9">
        <v>45363</v>
      </c>
      <c r="E2599" t="s">
        <v>2330</v>
      </c>
      <c r="F2599" s="20">
        <v>100</v>
      </c>
      <c r="G2599" t="s">
        <v>2331</v>
      </c>
      <c r="H2599">
        <v>499</v>
      </c>
      <c r="I2599" s="16" t="str">
        <f t="shared" si="40"/>
        <v>Normal</v>
      </c>
      <c r="J2599">
        <v>4</v>
      </c>
    </row>
    <row r="2600" spans="1:10">
      <c r="A2600" t="s">
        <v>4987</v>
      </c>
      <c r="B2600" t="s">
        <v>531</v>
      </c>
      <c r="C2600" t="s">
        <v>2259</v>
      </c>
      <c r="D2600" s="9">
        <v>45283</v>
      </c>
      <c r="E2600" t="s">
        <v>2337</v>
      </c>
      <c r="F2600" s="20">
        <v>20</v>
      </c>
      <c r="G2600" t="s">
        <v>2345</v>
      </c>
      <c r="H2600">
        <v>0</v>
      </c>
      <c r="I2600" s="16" t="str">
        <f t="shared" si="40"/>
        <v>Zero Amount</v>
      </c>
      <c r="J2600">
        <v>5</v>
      </c>
    </row>
    <row r="2601" spans="1:10">
      <c r="A2601" t="s">
        <v>4988</v>
      </c>
      <c r="B2601" t="s">
        <v>1397</v>
      </c>
      <c r="C2601" t="s">
        <v>2228</v>
      </c>
      <c r="D2601" s="9">
        <v>45673</v>
      </c>
      <c r="E2601" t="s">
        <v>2330</v>
      </c>
      <c r="F2601" s="20">
        <v>100</v>
      </c>
      <c r="G2601" t="s">
        <v>23</v>
      </c>
      <c r="H2601">
        <v>799</v>
      </c>
      <c r="I2601" s="16" t="str">
        <f t="shared" si="40"/>
        <v>Normal</v>
      </c>
      <c r="J2601">
        <v>5</v>
      </c>
    </row>
    <row r="2602" spans="1:10">
      <c r="A2602" t="s">
        <v>4989</v>
      </c>
      <c r="B2602" t="s">
        <v>1091</v>
      </c>
      <c r="C2602" t="s">
        <v>2267</v>
      </c>
      <c r="D2602" s="9">
        <v>45290</v>
      </c>
      <c r="E2602" t="s">
        <v>2327</v>
      </c>
      <c r="F2602" s="20">
        <v>5</v>
      </c>
      <c r="G2602" t="s">
        <v>2345</v>
      </c>
      <c r="H2602">
        <v>999.99</v>
      </c>
      <c r="I2602" s="16" t="str">
        <f t="shared" si="40"/>
        <v>Normal</v>
      </c>
      <c r="J2602">
        <v>1</v>
      </c>
    </row>
    <row r="2603" spans="1:10">
      <c r="A2603" t="s">
        <v>4990</v>
      </c>
      <c r="B2603" t="s">
        <v>1425</v>
      </c>
      <c r="C2603" t="s">
        <v>2198</v>
      </c>
      <c r="D2603" s="9">
        <v>46081</v>
      </c>
      <c r="E2603" t="s">
        <v>2330</v>
      </c>
      <c r="G2603" t="s">
        <v>2339</v>
      </c>
      <c r="I2603" s="16" t="str">
        <f t="shared" si="40"/>
        <v>Unknown</v>
      </c>
      <c r="J2603">
        <v>4</v>
      </c>
    </row>
    <row r="2604" spans="1:10">
      <c r="A2604" t="s">
        <v>4991</v>
      </c>
      <c r="B2604" t="s">
        <v>1835</v>
      </c>
      <c r="C2604" t="s">
        <v>2233</v>
      </c>
      <c r="D2604" s="9">
        <v>45113</v>
      </c>
      <c r="E2604" t="s">
        <v>2330</v>
      </c>
      <c r="F2604" s="20">
        <v>100</v>
      </c>
      <c r="G2604" t="s">
        <v>2331</v>
      </c>
      <c r="H2604">
        <v>2500</v>
      </c>
      <c r="I2604" s="16" t="str">
        <f t="shared" si="40"/>
        <v>Normal</v>
      </c>
      <c r="J2604" t="s">
        <v>39</v>
      </c>
    </row>
    <row r="2605" spans="1:10">
      <c r="A2605" t="s">
        <v>4992</v>
      </c>
      <c r="B2605" t="s">
        <v>302</v>
      </c>
      <c r="C2605" t="s">
        <v>2264</v>
      </c>
      <c r="D2605" s="9">
        <v>46135</v>
      </c>
      <c r="E2605" t="s">
        <v>2337</v>
      </c>
      <c r="F2605" s="20">
        <v>0</v>
      </c>
      <c r="G2605" t="s">
        <v>2331</v>
      </c>
      <c r="H2605">
        <v>2500</v>
      </c>
      <c r="I2605" s="16" t="str">
        <f t="shared" si="40"/>
        <v>Normal</v>
      </c>
      <c r="J2605">
        <v>2</v>
      </c>
    </row>
    <row r="2606" spans="1:10">
      <c r="A2606" t="s">
        <v>4993</v>
      </c>
      <c r="B2606" t="s">
        <v>1404</v>
      </c>
      <c r="C2606" t="s">
        <v>2209</v>
      </c>
      <c r="D2606" s="9">
        <v>45473</v>
      </c>
      <c r="E2606" t="s">
        <v>2330</v>
      </c>
      <c r="F2606" s="20">
        <v>100</v>
      </c>
      <c r="G2606" t="s">
        <v>2328</v>
      </c>
      <c r="H2606">
        <v>499</v>
      </c>
      <c r="I2606" s="16" t="str">
        <f t="shared" si="40"/>
        <v>Normal</v>
      </c>
      <c r="J2606" t="s">
        <v>39</v>
      </c>
    </row>
    <row r="2607" spans="1:10">
      <c r="A2607" t="s">
        <v>4994</v>
      </c>
      <c r="B2607" t="s">
        <v>799</v>
      </c>
      <c r="C2607" t="s">
        <v>2271</v>
      </c>
      <c r="D2607" s="9">
        <v>45437</v>
      </c>
      <c r="E2607" t="s">
        <v>2330</v>
      </c>
      <c r="G2607" t="s">
        <v>2345</v>
      </c>
      <c r="H2607">
        <v>1200</v>
      </c>
      <c r="I2607" s="16" t="str">
        <f t="shared" si="40"/>
        <v>Normal</v>
      </c>
      <c r="J2607">
        <v>5</v>
      </c>
    </row>
    <row r="2608" spans="1:10">
      <c r="A2608" t="s">
        <v>4995</v>
      </c>
      <c r="B2608" t="s">
        <v>1452</v>
      </c>
      <c r="C2608" t="s">
        <v>2225</v>
      </c>
      <c r="D2608" s="9">
        <v>45343</v>
      </c>
      <c r="E2608" t="s">
        <v>2337</v>
      </c>
      <c r="G2608" t="s">
        <v>2345</v>
      </c>
      <c r="I2608" s="16" t="str">
        <f t="shared" si="40"/>
        <v>Unknown</v>
      </c>
      <c r="J2608">
        <v>5</v>
      </c>
    </row>
    <row r="2609" spans="1:10">
      <c r="A2609" t="s">
        <v>4996</v>
      </c>
      <c r="B2609" t="s">
        <v>832</v>
      </c>
      <c r="C2609" t="s">
        <v>2231</v>
      </c>
      <c r="D2609" s="9">
        <v>45403</v>
      </c>
      <c r="E2609" t="s">
        <v>2330</v>
      </c>
      <c r="F2609" s="20">
        <v>100</v>
      </c>
      <c r="G2609" t="s">
        <v>2325</v>
      </c>
      <c r="H2609">
        <v>3000</v>
      </c>
      <c r="I2609" s="16" t="str">
        <f t="shared" si="40"/>
        <v>Normal</v>
      </c>
      <c r="J2609" t="s">
        <v>39</v>
      </c>
    </row>
    <row r="2610" spans="1:10">
      <c r="A2610" t="s">
        <v>4997</v>
      </c>
      <c r="B2610" t="s">
        <v>1806</v>
      </c>
      <c r="C2610" t="s">
        <v>2253</v>
      </c>
      <c r="D2610" s="9">
        <v>45950</v>
      </c>
      <c r="E2610" t="s">
        <v>2330</v>
      </c>
      <c r="F2610" s="20">
        <v>100</v>
      </c>
      <c r="G2610" t="s">
        <v>2331</v>
      </c>
      <c r="H2610">
        <v>1200</v>
      </c>
      <c r="I2610" s="16" t="str">
        <f t="shared" si="40"/>
        <v>Normal</v>
      </c>
      <c r="J2610">
        <v>4</v>
      </c>
    </row>
    <row r="2611" spans="1:10">
      <c r="A2611" t="s">
        <v>4998</v>
      </c>
      <c r="B2611" t="s">
        <v>1299</v>
      </c>
      <c r="C2611" t="s">
        <v>2247</v>
      </c>
      <c r="D2611" s="9">
        <v>45963</v>
      </c>
      <c r="E2611" t="s">
        <v>2327</v>
      </c>
      <c r="G2611" t="s">
        <v>2339</v>
      </c>
      <c r="I2611" s="16" t="str">
        <f t="shared" si="40"/>
        <v>Unknown</v>
      </c>
      <c r="J2611" t="s">
        <v>39</v>
      </c>
    </row>
    <row r="2612" spans="1:10">
      <c r="A2612" t="s">
        <v>4999</v>
      </c>
      <c r="B2612" t="s">
        <v>1790</v>
      </c>
      <c r="C2612" t="s">
        <v>2273</v>
      </c>
      <c r="D2612" s="9">
        <v>45810</v>
      </c>
      <c r="E2612" t="s">
        <v>2337</v>
      </c>
      <c r="F2612" s="20">
        <v>15</v>
      </c>
      <c r="G2612" t="s">
        <v>2331</v>
      </c>
      <c r="H2612">
        <v>799</v>
      </c>
      <c r="I2612" s="16" t="str">
        <f t="shared" si="40"/>
        <v>Normal</v>
      </c>
      <c r="J2612">
        <v>4</v>
      </c>
    </row>
    <row r="2613" spans="1:10">
      <c r="A2613" t="s">
        <v>5000</v>
      </c>
      <c r="B2613" t="s">
        <v>206</v>
      </c>
      <c r="C2613" t="s">
        <v>2273</v>
      </c>
      <c r="D2613" s="9">
        <v>45488</v>
      </c>
      <c r="E2613" t="s">
        <v>2330</v>
      </c>
      <c r="F2613" s="20">
        <v>100</v>
      </c>
      <c r="G2613" t="s">
        <v>2339</v>
      </c>
      <c r="H2613">
        <v>799</v>
      </c>
      <c r="I2613" s="16" t="str">
        <f t="shared" si="40"/>
        <v>Normal</v>
      </c>
      <c r="J2613">
        <v>4</v>
      </c>
    </row>
    <row r="2614" spans="1:10">
      <c r="A2614" t="s">
        <v>5001</v>
      </c>
      <c r="B2614" t="s">
        <v>2132</v>
      </c>
      <c r="C2614" t="s">
        <v>2202</v>
      </c>
      <c r="D2614" s="9">
        <v>45601</v>
      </c>
      <c r="E2614" t="s">
        <v>23</v>
      </c>
      <c r="G2614" t="s">
        <v>2339</v>
      </c>
      <c r="H2614">
        <v>999.99</v>
      </c>
      <c r="I2614" s="16" t="str">
        <f t="shared" si="40"/>
        <v>Normal</v>
      </c>
      <c r="J2614" t="s">
        <v>39</v>
      </c>
    </row>
    <row r="2615" spans="1:10">
      <c r="A2615" t="s">
        <v>5002</v>
      </c>
      <c r="B2615" t="s">
        <v>1069</v>
      </c>
      <c r="C2615" t="s">
        <v>2237</v>
      </c>
      <c r="D2615" s="9">
        <v>46098</v>
      </c>
      <c r="E2615" t="s">
        <v>2330</v>
      </c>
      <c r="F2615" s="20">
        <v>100</v>
      </c>
      <c r="G2615" t="s">
        <v>2331</v>
      </c>
      <c r="H2615">
        <v>1500</v>
      </c>
      <c r="I2615" s="16" t="str">
        <f t="shared" si="40"/>
        <v>Normal</v>
      </c>
      <c r="J2615" t="s">
        <v>39</v>
      </c>
    </row>
    <row r="2616" spans="1:10">
      <c r="A2616" t="s">
        <v>5003</v>
      </c>
      <c r="B2616" t="s">
        <v>1666</v>
      </c>
      <c r="C2616" t="s">
        <v>2257</v>
      </c>
      <c r="D2616" s="9">
        <v>46091</v>
      </c>
      <c r="E2616" t="s">
        <v>2337</v>
      </c>
      <c r="F2616" s="20">
        <v>0</v>
      </c>
      <c r="G2616" t="s">
        <v>23</v>
      </c>
      <c r="I2616" s="16" t="str">
        <f t="shared" si="40"/>
        <v>Unknown</v>
      </c>
      <c r="J2616">
        <v>5</v>
      </c>
    </row>
    <row r="2617" spans="1:10">
      <c r="A2617" t="s">
        <v>5004</v>
      </c>
      <c r="B2617" t="s">
        <v>1948</v>
      </c>
      <c r="C2617" t="s">
        <v>2249</v>
      </c>
      <c r="D2617" s="9">
        <v>46018</v>
      </c>
      <c r="E2617" t="s">
        <v>2330</v>
      </c>
      <c r="G2617" t="s">
        <v>2345</v>
      </c>
      <c r="H2617">
        <v>1500</v>
      </c>
      <c r="I2617" s="16" t="str">
        <f t="shared" si="40"/>
        <v>Normal</v>
      </c>
      <c r="J2617">
        <v>4</v>
      </c>
    </row>
    <row r="2618" spans="1:10">
      <c r="A2618" t="s">
        <v>5005</v>
      </c>
      <c r="B2618" t="s">
        <v>2143</v>
      </c>
      <c r="C2618" t="s">
        <v>2249</v>
      </c>
      <c r="D2618" s="9">
        <v>46054</v>
      </c>
      <c r="E2618" t="s">
        <v>2330</v>
      </c>
      <c r="F2618" s="20">
        <v>100</v>
      </c>
      <c r="G2618" t="s">
        <v>2339</v>
      </c>
      <c r="H2618">
        <v>1500</v>
      </c>
      <c r="I2618" s="16" t="str">
        <f t="shared" si="40"/>
        <v>Normal</v>
      </c>
      <c r="J2618">
        <v>3</v>
      </c>
    </row>
    <row r="2619" spans="1:10">
      <c r="A2619" t="s">
        <v>5006</v>
      </c>
      <c r="B2619" t="s">
        <v>430</v>
      </c>
      <c r="C2619" t="s">
        <v>2237</v>
      </c>
      <c r="D2619" s="9">
        <v>45956</v>
      </c>
      <c r="E2619" t="s">
        <v>2324</v>
      </c>
      <c r="F2619" s="20">
        <v>40</v>
      </c>
      <c r="G2619" t="s">
        <v>2331</v>
      </c>
      <c r="H2619">
        <v>1500</v>
      </c>
      <c r="I2619" s="16" t="str">
        <f t="shared" si="40"/>
        <v>Normal</v>
      </c>
      <c r="J2619">
        <v>5</v>
      </c>
    </row>
    <row r="2620" spans="1:10">
      <c r="A2620" t="s">
        <v>5007</v>
      </c>
      <c r="B2620" t="s">
        <v>1558</v>
      </c>
      <c r="C2620" t="s">
        <v>2228</v>
      </c>
      <c r="D2620" s="9">
        <v>45672</v>
      </c>
      <c r="E2620" t="s">
        <v>2324</v>
      </c>
      <c r="F2620" s="20">
        <v>60</v>
      </c>
      <c r="G2620" t="s">
        <v>2331</v>
      </c>
      <c r="H2620">
        <v>471.35</v>
      </c>
      <c r="I2620" s="16" t="str">
        <f t="shared" si="40"/>
        <v>Normal</v>
      </c>
      <c r="J2620">
        <v>4</v>
      </c>
    </row>
    <row r="2621" spans="1:10">
      <c r="A2621" t="s">
        <v>5008</v>
      </c>
      <c r="B2621" t="s">
        <v>61</v>
      </c>
      <c r="C2621" t="s">
        <v>2233</v>
      </c>
      <c r="D2621" s="9">
        <v>45348</v>
      </c>
      <c r="E2621" t="s">
        <v>23</v>
      </c>
      <c r="G2621" t="s">
        <v>2331</v>
      </c>
      <c r="H2621">
        <v>2500</v>
      </c>
      <c r="I2621" s="16" t="str">
        <f t="shared" si="40"/>
        <v>Normal</v>
      </c>
      <c r="J2621">
        <v>1</v>
      </c>
    </row>
    <row r="2622" spans="1:10">
      <c r="A2622" t="s">
        <v>5009</v>
      </c>
      <c r="B2622" t="s">
        <v>1517</v>
      </c>
      <c r="C2622" t="s">
        <v>2269</v>
      </c>
      <c r="D2622" s="9">
        <v>45319</v>
      </c>
      <c r="E2622" t="s">
        <v>2324</v>
      </c>
      <c r="F2622" s="20">
        <v>55</v>
      </c>
      <c r="G2622" t="s">
        <v>2339</v>
      </c>
      <c r="H2622">
        <v>499</v>
      </c>
      <c r="I2622" s="16" t="str">
        <f t="shared" si="40"/>
        <v>Normal</v>
      </c>
      <c r="J2622">
        <v>1</v>
      </c>
    </row>
    <row r="2623" spans="1:10">
      <c r="A2623" t="s">
        <v>5010</v>
      </c>
      <c r="B2623" t="s">
        <v>1233</v>
      </c>
      <c r="C2623" t="s">
        <v>2235</v>
      </c>
      <c r="D2623" s="9">
        <v>45826</v>
      </c>
      <c r="E2623" t="s">
        <v>2324</v>
      </c>
      <c r="F2623" s="20">
        <v>55</v>
      </c>
      <c r="G2623" t="s">
        <v>2328</v>
      </c>
      <c r="H2623">
        <v>3000</v>
      </c>
      <c r="I2623" s="16" t="str">
        <f t="shared" si="40"/>
        <v>Normal</v>
      </c>
      <c r="J2623" t="s">
        <v>39</v>
      </c>
    </row>
    <row r="2624" spans="1:10">
      <c r="A2624" t="s">
        <v>5011</v>
      </c>
      <c r="B2624" t="s">
        <v>414</v>
      </c>
      <c r="C2624" t="s">
        <v>2233</v>
      </c>
      <c r="D2624" s="9">
        <v>45534</v>
      </c>
      <c r="E2624" t="s">
        <v>2330</v>
      </c>
      <c r="G2624" t="s">
        <v>23</v>
      </c>
      <c r="H2624">
        <v>2500</v>
      </c>
      <c r="I2624" s="16" t="str">
        <f t="shared" si="40"/>
        <v>Normal</v>
      </c>
      <c r="J2624">
        <v>4</v>
      </c>
    </row>
    <row r="2625" spans="1:10">
      <c r="A2625" t="s">
        <v>5012</v>
      </c>
      <c r="B2625" t="s">
        <v>2073</v>
      </c>
      <c r="C2625" t="s">
        <v>2241</v>
      </c>
      <c r="D2625" s="9">
        <v>45206</v>
      </c>
      <c r="E2625" t="s">
        <v>2324</v>
      </c>
      <c r="F2625" s="20">
        <v>60</v>
      </c>
      <c r="G2625" t="s">
        <v>2345</v>
      </c>
      <c r="H2625">
        <v>1868.77</v>
      </c>
      <c r="I2625" s="16" t="str">
        <f t="shared" si="40"/>
        <v>Normal</v>
      </c>
      <c r="J2625">
        <v>1</v>
      </c>
    </row>
    <row r="2626" spans="1:10">
      <c r="A2626" t="s">
        <v>5013</v>
      </c>
      <c r="B2626" t="s">
        <v>1464</v>
      </c>
      <c r="C2626" t="s">
        <v>2241</v>
      </c>
      <c r="D2626" s="9">
        <v>45459</v>
      </c>
      <c r="E2626" t="s">
        <v>2330</v>
      </c>
      <c r="F2626" s="20">
        <v>100</v>
      </c>
      <c r="G2626" t="s">
        <v>2345</v>
      </c>
      <c r="H2626">
        <v>2500</v>
      </c>
      <c r="I2626" s="16" t="str">
        <f t="shared" si="40"/>
        <v>Normal</v>
      </c>
      <c r="J2626" t="s">
        <v>39</v>
      </c>
    </row>
    <row r="2627" spans="1:10">
      <c r="A2627" t="s">
        <v>5014</v>
      </c>
      <c r="B2627" t="s">
        <v>1853</v>
      </c>
      <c r="C2627" t="s">
        <v>2198</v>
      </c>
      <c r="D2627" s="9">
        <v>44966</v>
      </c>
      <c r="E2627" t="s">
        <v>23</v>
      </c>
      <c r="G2627" t="s">
        <v>2339</v>
      </c>
      <c r="I2627" s="16" t="str">
        <f t="shared" ref="I2627:I2690" si="41">IF(H2627="", "Unknown", IF(H2627=0, "Zero Amount", IF(H2627&lt;1, "Review", IF(H2627&gt;1, "Normal"))))</f>
        <v>Unknown</v>
      </c>
      <c r="J2627">
        <v>3</v>
      </c>
    </row>
    <row r="2628" spans="1:10">
      <c r="A2628" t="s">
        <v>5015</v>
      </c>
      <c r="B2628" t="s">
        <v>460</v>
      </c>
      <c r="C2628" t="s">
        <v>2231</v>
      </c>
      <c r="D2628" s="9">
        <v>45704</v>
      </c>
      <c r="E2628" t="s">
        <v>2330</v>
      </c>
      <c r="F2628" s="20">
        <v>100</v>
      </c>
      <c r="G2628" t="s">
        <v>2325</v>
      </c>
      <c r="H2628">
        <v>3000</v>
      </c>
      <c r="I2628" s="16" t="str">
        <f t="shared" si="41"/>
        <v>Normal</v>
      </c>
      <c r="J2628">
        <v>4</v>
      </c>
    </row>
    <row r="2629" spans="1:10">
      <c r="A2629" t="s">
        <v>5016</v>
      </c>
      <c r="B2629" t="s">
        <v>320</v>
      </c>
      <c r="C2629" t="s">
        <v>2237</v>
      </c>
      <c r="D2629" s="9">
        <v>45684</v>
      </c>
      <c r="E2629" t="s">
        <v>2324</v>
      </c>
      <c r="F2629" s="20">
        <v>40</v>
      </c>
      <c r="G2629" t="s">
        <v>2345</v>
      </c>
      <c r="H2629">
        <v>1500</v>
      </c>
      <c r="I2629" s="16" t="str">
        <f t="shared" si="41"/>
        <v>Normal</v>
      </c>
      <c r="J2629">
        <v>4</v>
      </c>
    </row>
    <row r="2630" spans="1:10">
      <c r="A2630" t="s">
        <v>5017</v>
      </c>
      <c r="B2630" t="s">
        <v>1177</v>
      </c>
      <c r="C2630" t="s">
        <v>2257</v>
      </c>
      <c r="D2630" s="9">
        <v>45910</v>
      </c>
      <c r="E2630" t="s">
        <v>2330</v>
      </c>
      <c r="F2630" s="20">
        <v>100</v>
      </c>
      <c r="G2630" t="s">
        <v>2339</v>
      </c>
      <c r="I2630" s="16" t="str">
        <f t="shared" si="41"/>
        <v>Unknown</v>
      </c>
      <c r="J2630">
        <v>1</v>
      </c>
    </row>
    <row r="2631" spans="1:10">
      <c r="A2631" t="s">
        <v>5018</v>
      </c>
      <c r="B2631" t="s">
        <v>1343</v>
      </c>
      <c r="C2631" t="s">
        <v>2259</v>
      </c>
      <c r="D2631" s="9">
        <v>46024</v>
      </c>
      <c r="E2631" t="s">
        <v>2324</v>
      </c>
      <c r="F2631" s="20">
        <v>60</v>
      </c>
      <c r="G2631" t="s">
        <v>2331</v>
      </c>
      <c r="H2631">
        <v>0</v>
      </c>
      <c r="I2631" s="16" t="str">
        <f t="shared" si="41"/>
        <v>Zero Amount</v>
      </c>
      <c r="J2631">
        <v>3</v>
      </c>
    </row>
    <row r="2632" spans="1:10">
      <c r="A2632" t="s">
        <v>5019</v>
      </c>
      <c r="B2632" t="s">
        <v>1572</v>
      </c>
      <c r="C2632" t="s">
        <v>2271</v>
      </c>
      <c r="D2632" s="9">
        <v>46161</v>
      </c>
      <c r="E2632" t="s">
        <v>2324</v>
      </c>
      <c r="F2632" s="20">
        <v>25</v>
      </c>
      <c r="G2632" t="s">
        <v>2325</v>
      </c>
      <c r="H2632">
        <v>1200</v>
      </c>
      <c r="I2632" s="16" t="str">
        <f t="shared" si="41"/>
        <v>Normal</v>
      </c>
      <c r="J2632">
        <v>5</v>
      </c>
    </row>
    <row r="2633" spans="1:10">
      <c r="A2633" t="s">
        <v>5020</v>
      </c>
      <c r="B2633" t="s">
        <v>2769</v>
      </c>
      <c r="C2633" t="s">
        <v>2205</v>
      </c>
      <c r="D2633" s="9">
        <v>45159</v>
      </c>
      <c r="E2633" t="s">
        <v>2324</v>
      </c>
      <c r="F2633" s="20">
        <v>10</v>
      </c>
      <c r="G2633" t="s">
        <v>2331</v>
      </c>
      <c r="H2633">
        <v>1500</v>
      </c>
      <c r="I2633" s="16" t="str">
        <f t="shared" si="41"/>
        <v>Normal</v>
      </c>
      <c r="J2633">
        <v>5</v>
      </c>
    </row>
    <row r="2634" spans="1:10">
      <c r="A2634" t="s">
        <v>5021</v>
      </c>
      <c r="B2634" t="s">
        <v>1492</v>
      </c>
      <c r="C2634" t="s">
        <v>2257</v>
      </c>
      <c r="D2634" s="9">
        <v>45719</v>
      </c>
      <c r="E2634" t="s">
        <v>2327</v>
      </c>
      <c r="F2634" s="20">
        <v>15</v>
      </c>
      <c r="G2634" t="s">
        <v>2331</v>
      </c>
      <c r="I2634" s="16" t="str">
        <f t="shared" si="41"/>
        <v>Unknown</v>
      </c>
      <c r="J2634">
        <v>5</v>
      </c>
    </row>
    <row r="2635" spans="1:10">
      <c r="A2635" t="s">
        <v>5022</v>
      </c>
      <c r="B2635" t="s">
        <v>972</v>
      </c>
      <c r="C2635" t="s">
        <v>2267</v>
      </c>
      <c r="D2635" s="9">
        <v>45369</v>
      </c>
      <c r="E2635" t="s">
        <v>2337</v>
      </c>
      <c r="F2635" s="20">
        <v>5</v>
      </c>
      <c r="G2635" t="s">
        <v>2339</v>
      </c>
      <c r="H2635">
        <v>720.05</v>
      </c>
      <c r="I2635" s="16" t="str">
        <f t="shared" si="41"/>
        <v>Normal</v>
      </c>
      <c r="J2635" t="s">
        <v>39</v>
      </c>
    </row>
    <row r="2636" spans="1:10">
      <c r="A2636" t="s">
        <v>5023</v>
      </c>
      <c r="B2636" t="s">
        <v>729</v>
      </c>
      <c r="C2636" t="s">
        <v>2231</v>
      </c>
      <c r="D2636" s="9">
        <v>45378</v>
      </c>
      <c r="E2636" t="s">
        <v>2324</v>
      </c>
      <c r="F2636" s="20">
        <v>75</v>
      </c>
      <c r="G2636" t="s">
        <v>2345</v>
      </c>
      <c r="H2636">
        <v>-3000</v>
      </c>
      <c r="I2636" s="16" t="str">
        <f t="shared" si="41"/>
        <v>Review</v>
      </c>
      <c r="J2636">
        <v>5</v>
      </c>
    </row>
    <row r="2637" spans="1:10">
      <c r="A2637" t="s">
        <v>5024</v>
      </c>
      <c r="B2637" t="s">
        <v>1347</v>
      </c>
      <c r="C2637" t="s">
        <v>2218</v>
      </c>
      <c r="D2637" s="9">
        <v>45908</v>
      </c>
      <c r="E2637" t="s">
        <v>2330</v>
      </c>
      <c r="F2637" s="20">
        <v>100</v>
      </c>
      <c r="G2637" t="s">
        <v>2325</v>
      </c>
      <c r="I2637" s="16" t="str">
        <f t="shared" si="41"/>
        <v>Unknown</v>
      </c>
      <c r="J2637">
        <v>5</v>
      </c>
    </row>
    <row r="2638" spans="1:10">
      <c r="A2638" t="s">
        <v>5025</v>
      </c>
      <c r="B2638" t="s">
        <v>383</v>
      </c>
      <c r="C2638" t="s">
        <v>2225</v>
      </c>
      <c r="D2638" s="9">
        <v>45853</v>
      </c>
      <c r="E2638" t="s">
        <v>2330</v>
      </c>
      <c r="F2638" s="20">
        <v>100</v>
      </c>
      <c r="G2638" t="s">
        <v>2345</v>
      </c>
      <c r="I2638" s="16" t="str">
        <f t="shared" si="41"/>
        <v>Unknown</v>
      </c>
      <c r="J2638" t="s">
        <v>39</v>
      </c>
    </row>
    <row r="2639" spans="1:10">
      <c r="A2639" t="s">
        <v>5026</v>
      </c>
      <c r="B2639" t="s">
        <v>1744</v>
      </c>
      <c r="C2639" t="s">
        <v>2249</v>
      </c>
      <c r="D2639" s="9">
        <v>45722</v>
      </c>
      <c r="E2639" t="s">
        <v>2324</v>
      </c>
      <c r="G2639" t="s">
        <v>2328</v>
      </c>
      <c r="H2639">
        <v>1500</v>
      </c>
      <c r="I2639" s="16" t="str">
        <f t="shared" si="41"/>
        <v>Normal</v>
      </c>
      <c r="J2639">
        <v>4</v>
      </c>
    </row>
    <row r="2640" spans="1:10">
      <c r="A2640" t="s">
        <v>5027</v>
      </c>
      <c r="B2640" t="s">
        <v>1161</v>
      </c>
      <c r="C2640" t="s">
        <v>2228</v>
      </c>
      <c r="D2640" s="9">
        <v>45366</v>
      </c>
      <c r="E2640" t="s">
        <v>23</v>
      </c>
      <c r="G2640" t="s">
        <v>2345</v>
      </c>
      <c r="H2640">
        <v>799</v>
      </c>
      <c r="I2640" s="16" t="str">
        <f t="shared" si="41"/>
        <v>Normal</v>
      </c>
      <c r="J2640" t="s">
        <v>39</v>
      </c>
    </row>
    <row r="2641" spans="1:10">
      <c r="A2641" t="s">
        <v>5028</v>
      </c>
      <c r="B2641" t="s">
        <v>2077</v>
      </c>
      <c r="C2641" t="s">
        <v>2259</v>
      </c>
      <c r="D2641" s="9">
        <v>45853</v>
      </c>
      <c r="E2641" t="s">
        <v>2327</v>
      </c>
      <c r="F2641" s="20">
        <v>0</v>
      </c>
      <c r="G2641" t="s">
        <v>2325</v>
      </c>
      <c r="H2641">
        <v>0</v>
      </c>
      <c r="I2641" s="16" t="str">
        <f t="shared" si="41"/>
        <v>Zero Amount</v>
      </c>
      <c r="J2641">
        <v>5</v>
      </c>
    </row>
    <row r="2642" spans="1:10">
      <c r="A2642" t="s">
        <v>5029</v>
      </c>
      <c r="B2642" t="s">
        <v>1242</v>
      </c>
      <c r="C2642" t="s">
        <v>2251</v>
      </c>
      <c r="D2642" s="9">
        <v>45597</v>
      </c>
      <c r="E2642" t="s">
        <v>2337</v>
      </c>
      <c r="F2642" s="20">
        <v>20</v>
      </c>
      <c r="G2642" t="s">
        <v>2325</v>
      </c>
      <c r="H2642">
        <v>1500</v>
      </c>
      <c r="I2642" s="16" t="str">
        <f t="shared" si="41"/>
        <v>Normal</v>
      </c>
      <c r="J2642">
        <v>5</v>
      </c>
    </row>
    <row r="2643" spans="1:10">
      <c r="A2643" t="s">
        <v>5030</v>
      </c>
      <c r="B2643" t="s">
        <v>828</v>
      </c>
      <c r="C2643" t="s">
        <v>2249</v>
      </c>
      <c r="D2643" s="9">
        <v>45024</v>
      </c>
      <c r="E2643" t="s">
        <v>2330</v>
      </c>
      <c r="F2643" s="20">
        <v>100</v>
      </c>
      <c r="G2643" t="s">
        <v>23</v>
      </c>
      <c r="H2643">
        <v>-1500</v>
      </c>
      <c r="I2643" s="16" t="str">
        <f t="shared" si="41"/>
        <v>Review</v>
      </c>
      <c r="J2643">
        <v>4</v>
      </c>
    </row>
    <row r="2644" spans="1:10">
      <c r="A2644" t="s">
        <v>5031</v>
      </c>
      <c r="B2644" t="s">
        <v>538</v>
      </c>
      <c r="C2644" t="s">
        <v>2202</v>
      </c>
      <c r="D2644" s="9">
        <v>45765</v>
      </c>
      <c r="E2644" t="s">
        <v>2330</v>
      </c>
      <c r="F2644" s="20">
        <v>100</v>
      </c>
      <c r="G2644" t="s">
        <v>2339</v>
      </c>
      <c r="H2644">
        <v>999.99</v>
      </c>
      <c r="I2644" s="16" t="str">
        <f t="shared" si="41"/>
        <v>Normal</v>
      </c>
      <c r="J2644">
        <v>2</v>
      </c>
    </row>
    <row r="2645" spans="1:10">
      <c r="A2645" t="s">
        <v>5032</v>
      </c>
      <c r="B2645" t="s">
        <v>1158</v>
      </c>
      <c r="C2645" t="s">
        <v>2205</v>
      </c>
      <c r="D2645" s="9">
        <v>45702</v>
      </c>
      <c r="E2645" t="s">
        <v>2327</v>
      </c>
      <c r="F2645" s="20">
        <v>5</v>
      </c>
      <c r="G2645" t="s">
        <v>2325</v>
      </c>
      <c r="H2645">
        <v>1056.75</v>
      </c>
      <c r="I2645" s="16" t="str">
        <f t="shared" si="41"/>
        <v>Normal</v>
      </c>
      <c r="J2645">
        <v>2</v>
      </c>
    </row>
    <row r="2646" spans="1:10">
      <c r="A2646" t="s">
        <v>5033</v>
      </c>
      <c r="B2646" t="s">
        <v>264</v>
      </c>
      <c r="C2646" t="s">
        <v>2233</v>
      </c>
      <c r="D2646" s="9">
        <v>45198</v>
      </c>
      <c r="E2646" t="s">
        <v>2330</v>
      </c>
      <c r="F2646" s="20">
        <v>100</v>
      </c>
      <c r="G2646" t="s">
        <v>2328</v>
      </c>
      <c r="I2646" s="16" t="str">
        <f t="shared" si="41"/>
        <v>Unknown</v>
      </c>
      <c r="J2646" t="s">
        <v>39</v>
      </c>
    </row>
    <row r="2647" spans="1:10">
      <c r="A2647" t="s">
        <v>5034</v>
      </c>
      <c r="B2647" t="s">
        <v>1187</v>
      </c>
      <c r="C2647" t="s">
        <v>2222</v>
      </c>
      <c r="D2647" s="9">
        <v>45306</v>
      </c>
      <c r="E2647" t="s">
        <v>2324</v>
      </c>
      <c r="F2647" s="20">
        <v>60</v>
      </c>
      <c r="G2647" t="s">
        <v>2345</v>
      </c>
      <c r="H2647">
        <v>0</v>
      </c>
      <c r="I2647" s="16" t="str">
        <f t="shared" si="41"/>
        <v>Zero Amount</v>
      </c>
      <c r="J2647" t="s">
        <v>39</v>
      </c>
    </row>
    <row r="2648" spans="1:10">
      <c r="A2648" t="s">
        <v>5035</v>
      </c>
      <c r="B2648" t="s">
        <v>1107</v>
      </c>
      <c r="C2648" t="s">
        <v>2218</v>
      </c>
      <c r="D2648" s="9">
        <v>46008</v>
      </c>
      <c r="E2648" t="s">
        <v>2330</v>
      </c>
      <c r="G2648" t="s">
        <v>2345</v>
      </c>
      <c r="H2648">
        <v>1500</v>
      </c>
      <c r="I2648" s="16" t="str">
        <f t="shared" si="41"/>
        <v>Normal</v>
      </c>
      <c r="J2648">
        <v>5</v>
      </c>
    </row>
    <row r="2649" spans="1:10">
      <c r="A2649" t="s">
        <v>5036</v>
      </c>
      <c r="B2649" t="s">
        <v>611</v>
      </c>
      <c r="C2649" t="s">
        <v>2253</v>
      </c>
      <c r="D2649" s="9">
        <v>45167</v>
      </c>
      <c r="E2649" t="s">
        <v>2330</v>
      </c>
      <c r="F2649" s="20">
        <v>100</v>
      </c>
      <c r="G2649" t="s">
        <v>2325</v>
      </c>
      <c r="H2649">
        <v>1200</v>
      </c>
      <c r="I2649" s="16" t="str">
        <f t="shared" si="41"/>
        <v>Normal</v>
      </c>
      <c r="J2649" t="s">
        <v>39</v>
      </c>
    </row>
    <row r="2650" spans="1:10">
      <c r="A2650" t="s">
        <v>5037</v>
      </c>
      <c r="B2650" t="s">
        <v>1380</v>
      </c>
      <c r="C2650" t="s">
        <v>2187</v>
      </c>
      <c r="D2650" s="9">
        <v>46087</v>
      </c>
      <c r="E2650" t="s">
        <v>2330</v>
      </c>
      <c r="G2650" t="s">
        <v>2331</v>
      </c>
      <c r="H2650">
        <v>799</v>
      </c>
      <c r="I2650" s="16" t="str">
        <f t="shared" si="41"/>
        <v>Normal</v>
      </c>
      <c r="J2650">
        <v>5</v>
      </c>
    </row>
    <row r="2651" spans="1:10">
      <c r="A2651" t="s">
        <v>5038</v>
      </c>
      <c r="B2651" t="s">
        <v>469</v>
      </c>
      <c r="C2651" t="s">
        <v>2253</v>
      </c>
      <c r="D2651" s="9">
        <v>45670</v>
      </c>
      <c r="E2651" t="s">
        <v>2337</v>
      </c>
      <c r="F2651" s="20">
        <v>0</v>
      </c>
      <c r="G2651" t="s">
        <v>2345</v>
      </c>
      <c r="H2651">
        <v>1200</v>
      </c>
      <c r="I2651" s="16" t="str">
        <f t="shared" si="41"/>
        <v>Normal</v>
      </c>
      <c r="J2651">
        <v>3</v>
      </c>
    </row>
    <row r="2652" spans="1:10">
      <c r="A2652" t="s">
        <v>5039</v>
      </c>
      <c r="B2652" t="s">
        <v>56</v>
      </c>
      <c r="C2652" t="s">
        <v>2249</v>
      </c>
      <c r="D2652" s="9">
        <v>45164</v>
      </c>
      <c r="E2652" t="s">
        <v>2330</v>
      </c>
      <c r="G2652" t="s">
        <v>2331</v>
      </c>
      <c r="H2652">
        <v>1500</v>
      </c>
      <c r="I2652" s="16" t="str">
        <f t="shared" si="41"/>
        <v>Normal</v>
      </c>
      <c r="J2652" t="s">
        <v>39</v>
      </c>
    </row>
    <row r="2653" spans="1:10">
      <c r="A2653" t="s">
        <v>5040</v>
      </c>
      <c r="B2653" t="s">
        <v>745</v>
      </c>
      <c r="C2653" t="s">
        <v>2249</v>
      </c>
      <c r="D2653" s="9">
        <v>45347</v>
      </c>
      <c r="E2653" t="s">
        <v>2324</v>
      </c>
      <c r="F2653" s="20">
        <v>25</v>
      </c>
      <c r="G2653" t="s">
        <v>2345</v>
      </c>
      <c r="H2653">
        <v>1500</v>
      </c>
      <c r="I2653" s="16" t="str">
        <f t="shared" si="41"/>
        <v>Normal</v>
      </c>
      <c r="J2653">
        <v>5</v>
      </c>
    </row>
    <row r="2654" spans="1:10">
      <c r="A2654" t="s">
        <v>5041</v>
      </c>
      <c r="B2654" t="s">
        <v>531</v>
      </c>
      <c r="C2654" t="s">
        <v>2222</v>
      </c>
      <c r="D2654" s="9">
        <v>45739</v>
      </c>
      <c r="E2654" t="s">
        <v>2324</v>
      </c>
      <c r="F2654" s="20">
        <v>75</v>
      </c>
      <c r="G2654" t="s">
        <v>2339</v>
      </c>
      <c r="H2654">
        <v>0</v>
      </c>
      <c r="I2654" s="16" t="str">
        <f t="shared" si="41"/>
        <v>Zero Amount</v>
      </c>
      <c r="J2654">
        <v>4</v>
      </c>
    </row>
    <row r="2655" spans="1:10">
      <c r="A2655" t="s">
        <v>5042</v>
      </c>
      <c r="B2655" t="s">
        <v>1442</v>
      </c>
      <c r="C2655" t="s">
        <v>2269</v>
      </c>
      <c r="D2655" s="9">
        <v>45735</v>
      </c>
      <c r="E2655" t="s">
        <v>2324</v>
      </c>
      <c r="F2655" s="20">
        <v>10</v>
      </c>
      <c r="G2655" t="s">
        <v>2331</v>
      </c>
      <c r="H2655">
        <v>499</v>
      </c>
      <c r="I2655" s="16" t="str">
        <f t="shared" si="41"/>
        <v>Normal</v>
      </c>
      <c r="J2655">
        <v>1</v>
      </c>
    </row>
    <row r="2656" spans="1:10">
      <c r="A2656" t="s">
        <v>5043</v>
      </c>
      <c r="B2656" t="s">
        <v>1019</v>
      </c>
      <c r="C2656" t="s">
        <v>2209</v>
      </c>
      <c r="D2656" s="9">
        <v>45606</v>
      </c>
      <c r="E2656" t="s">
        <v>2327</v>
      </c>
      <c r="F2656" s="20">
        <v>0</v>
      </c>
      <c r="G2656" t="s">
        <v>2328</v>
      </c>
      <c r="H2656">
        <v>499</v>
      </c>
      <c r="I2656" s="16" t="str">
        <f t="shared" si="41"/>
        <v>Normal</v>
      </c>
      <c r="J2656" t="s">
        <v>39</v>
      </c>
    </row>
    <row r="2657" spans="1:10">
      <c r="A2657" t="s">
        <v>5044</v>
      </c>
      <c r="B2657" t="s">
        <v>1428</v>
      </c>
      <c r="C2657" t="s">
        <v>2233</v>
      </c>
      <c r="D2657" s="9">
        <v>45686</v>
      </c>
      <c r="E2657" t="s">
        <v>2337</v>
      </c>
      <c r="G2657" t="s">
        <v>2331</v>
      </c>
      <c r="H2657">
        <v>2500</v>
      </c>
      <c r="I2657" s="16" t="str">
        <f t="shared" si="41"/>
        <v>Normal</v>
      </c>
      <c r="J2657" t="s">
        <v>39</v>
      </c>
    </row>
    <row r="2658" spans="1:10">
      <c r="A2658" t="s">
        <v>5045</v>
      </c>
      <c r="B2658" t="s">
        <v>896</v>
      </c>
      <c r="C2658" t="s">
        <v>2216</v>
      </c>
      <c r="D2658" s="9">
        <v>45954</v>
      </c>
      <c r="E2658" t="s">
        <v>2337</v>
      </c>
      <c r="F2658" s="20">
        <v>0</v>
      </c>
      <c r="G2658" t="s">
        <v>2331</v>
      </c>
      <c r="H2658">
        <v>1200</v>
      </c>
      <c r="I2658" s="16" t="str">
        <f t="shared" si="41"/>
        <v>Normal</v>
      </c>
      <c r="J2658">
        <v>4</v>
      </c>
    </row>
    <row r="2659" spans="1:10">
      <c r="A2659" t="s">
        <v>5046</v>
      </c>
      <c r="B2659" t="s">
        <v>2006</v>
      </c>
      <c r="C2659" t="s">
        <v>2264</v>
      </c>
      <c r="D2659" s="9">
        <v>45447</v>
      </c>
      <c r="E2659" t="s">
        <v>2330</v>
      </c>
      <c r="F2659" s="20">
        <v>100</v>
      </c>
      <c r="G2659" t="s">
        <v>2345</v>
      </c>
      <c r="H2659">
        <v>2500</v>
      </c>
      <c r="I2659" s="16" t="str">
        <f t="shared" si="41"/>
        <v>Normal</v>
      </c>
      <c r="J2659">
        <v>4</v>
      </c>
    </row>
    <row r="2660" spans="1:10">
      <c r="A2660" t="s">
        <v>5047</v>
      </c>
      <c r="B2660" t="s">
        <v>502</v>
      </c>
      <c r="C2660" t="s">
        <v>2218</v>
      </c>
      <c r="D2660" s="9">
        <v>45792</v>
      </c>
      <c r="E2660" t="s">
        <v>2327</v>
      </c>
      <c r="F2660" s="20">
        <v>15</v>
      </c>
      <c r="G2660" t="s">
        <v>2339</v>
      </c>
      <c r="H2660">
        <v>1500</v>
      </c>
      <c r="I2660" s="16" t="str">
        <f t="shared" si="41"/>
        <v>Normal</v>
      </c>
      <c r="J2660" t="s">
        <v>39</v>
      </c>
    </row>
    <row r="2661" spans="1:10">
      <c r="A2661" t="s">
        <v>5048</v>
      </c>
      <c r="B2661" t="s">
        <v>1898</v>
      </c>
      <c r="C2661" t="s">
        <v>2259</v>
      </c>
      <c r="D2661" s="9">
        <v>45313</v>
      </c>
      <c r="E2661" t="s">
        <v>2330</v>
      </c>
      <c r="G2661" t="s">
        <v>2345</v>
      </c>
      <c r="H2661">
        <v>0</v>
      </c>
      <c r="I2661" s="16" t="str">
        <f t="shared" si="41"/>
        <v>Zero Amount</v>
      </c>
      <c r="J2661">
        <v>4</v>
      </c>
    </row>
    <row r="2662" spans="1:10">
      <c r="A2662" t="s">
        <v>5049</v>
      </c>
      <c r="B2662" t="s">
        <v>1914</v>
      </c>
      <c r="C2662" t="s">
        <v>2244</v>
      </c>
      <c r="D2662" s="9">
        <v>45225</v>
      </c>
      <c r="E2662" t="s">
        <v>2330</v>
      </c>
      <c r="F2662" s="20">
        <v>100</v>
      </c>
      <c r="G2662" t="s">
        <v>23</v>
      </c>
      <c r="I2662" s="16" t="str">
        <f t="shared" si="41"/>
        <v>Unknown</v>
      </c>
      <c r="J2662">
        <v>1</v>
      </c>
    </row>
    <row r="2663" spans="1:10">
      <c r="A2663" t="s">
        <v>5050</v>
      </c>
      <c r="B2663" t="s">
        <v>1389</v>
      </c>
      <c r="C2663" t="s">
        <v>2202</v>
      </c>
      <c r="D2663" s="9">
        <v>45189</v>
      </c>
      <c r="E2663" t="s">
        <v>2337</v>
      </c>
      <c r="F2663" s="20">
        <v>20</v>
      </c>
      <c r="G2663" t="s">
        <v>2345</v>
      </c>
      <c r="H2663">
        <v>999.99</v>
      </c>
      <c r="I2663" s="16" t="str">
        <f t="shared" si="41"/>
        <v>Normal</v>
      </c>
      <c r="J2663">
        <v>4</v>
      </c>
    </row>
    <row r="2664" spans="1:10">
      <c r="A2664" t="s">
        <v>5051</v>
      </c>
      <c r="B2664" t="s">
        <v>1880</v>
      </c>
      <c r="C2664" t="s">
        <v>2233</v>
      </c>
      <c r="D2664" s="9">
        <v>45314</v>
      </c>
      <c r="E2664" t="s">
        <v>2330</v>
      </c>
      <c r="G2664" t="s">
        <v>2339</v>
      </c>
      <c r="H2664">
        <v>2500</v>
      </c>
      <c r="I2664" s="16" t="str">
        <f t="shared" si="41"/>
        <v>Normal</v>
      </c>
      <c r="J2664" t="s">
        <v>39</v>
      </c>
    </row>
    <row r="2665" spans="1:10">
      <c r="A2665" t="s">
        <v>5052</v>
      </c>
      <c r="B2665" t="s">
        <v>1436</v>
      </c>
      <c r="C2665" t="s">
        <v>2249</v>
      </c>
      <c r="D2665" s="9">
        <v>45692</v>
      </c>
      <c r="E2665" t="s">
        <v>2324</v>
      </c>
      <c r="F2665" s="20">
        <v>40</v>
      </c>
      <c r="G2665" t="s">
        <v>2325</v>
      </c>
      <c r="H2665">
        <v>1500</v>
      </c>
      <c r="I2665" s="16" t="str">
        <f t="shared" si="41"/>
        <v>Normal</v>
      </c>
      <c r="J2665" t="s">
        <v>39</v>
      </c>
    </row>
    <row r="2666" spans="1:10">
      <c r="A2666" t="s">
        <v>5053</v>
      </c>
      <c r="B2666" t="s">
        <v>1285</v>
      </c>
      <c r="C2666" t="s">
        <v>2267</v>
      </c>
      <c r="D2666" s="9">
        <v>45333</v>
      </c>
      <c r="E2666" t="s">
        <v>2324</v>
      </c>
      <c r="F2666" s="20">
        <v>25</v>
      </c>
      <c r="G2666" t="s">
        <v>2331</v>
      </c>
      <c r="H2666">
        <v>999.99</v>
      </c>
      <c r="I2666" s="16" t="str">
        <f t="shared" si="41"/>
        <v>Normal</v>
      </c>
      <c r="J2666">
        <v>5</v>
      </c>
    </row>
    <row r="2667" spans="1:10">
      <c r="A2667" t="s">
        <v>5054</v>
      </c>
      <c r="B2667" t="s">
        <v>2929</v>
      </c>
      <c r="C2667" t="s">
        <v>2271</v>
      </c>
      <c r="D2667" s="9">
        <v>45455</v>
      </c>
      <c r="E2667" t="s">
        <v>2330</v>
      </c>
      <c r="F2667" s="20">
        <v>100</v>
      </c>
      <c r="G2667" t="s">
        <v>2328</v>
      </c>
      <c r="H2667">
        <v>1200</v>
      </c>
      <c r="I2667" s="16" t="str">
        <f t="shared" si="41"/>
        <v>Normal</v>
      </c>
      <c r="J2667">
        <v>1</v>
      </c>
    </row>
    <row r="2668" spans="1:10">
      <c r="A2668" t="s">
        <v>5055</v>
      </c>
      <c r="B2668" t="s">
        <v>1079</v>
      </c>
      <c r="C2668" t="s">
        <v>2225</v>
      </c>
      <c r="D2668" s="9">
        <v>45721</v>
      </c>
      <c r="E2668" t="s">
        <v>2324</v>
      </c>
      <c r="F2668" s="20">
        <v>60</v>
      </c>
      <c r="G2668" t="s">
        <v>23</v>
      </c>
      <c r="I2668" s="16" t="str">
        <f t="shared" si="41"/>
        <v>Unknown</v>
      </c>
      <c r="J2668" t="s">
        <v>39</v>
      </c>
    </row>
    <row r="2669" spans="1:10">
      <c r="A2669" t="s">
        <v>5056</v>
      </c>
      <c r="B2669" t="s">
        <v>1511</v>
      </c>
      <c r="C2669" t="s">
        <v>2225</v>
      </c>
      <c r="D2669" s="9">
        <v>45735</v>
      </c>
      <c r="E2669" t="s">
        <v>2330</v>
      </c>
      <c r="G2669" t="s">
        <v>2325</v>
      </c>
      <c r="I2669" s="16" t="str">
        <f t="shared" si="41"/>
        <v>Unknown</v>
      </c>
      <c r="J2669">
        <v>5</v>
      </c>
    </row>
    <row r="2670" spans="1:10">
      <c r="A2670" t="s">
        <v>5057</v>
      </c>
      <c r="B2670" t="s">
        <v>40</v>
      </c>
      <c r="C2670" t="s">
        <v>2193</v>
      </c>
      <c r="D2670" s="9">
        <v>46041</v>
      </c>
      <c r="E2670" t="s">
        <v>2324</v>
      </c>
      <c r="F2670" s="20">
        <v>40</v>
      </c>
      <c r="G2670" t="s">
        <v>23</v>
      </c>
      <c r="H2670">
        <v>0</v>
      </c>
      <c r="I2670" s="16" t="str">
        <f t="shared" si="41"/>
        <v>Zero Amount</v>
      </c>
      <c r="J2670" t="s">
        <v>39</v>
      </c>
    </row>
    <row r="2671" spans="1:10">
      <c r="A2671" t="s">
        <v>5058</v>
      </c>
      <c r="B2671" t="s">
        <v>817</v>
      </c>
      <c r="C2671" t="s">
        <v>2273</v>
      </c>
      <c r="D2671" s="9">
        <v>45220</v>
      </c>
      <c r="E2671" t="s">
        <v>2330</v>
      </c>
      <c r="G2671" t="s">
        <v>2328</v>
      </c>
      <c r="H2671">
        <v>799</v>
      </c>
      <c r="I2671" s="16" t="str">
        <f t="shared" si="41"/>
        <v>Normal</v>
      </c>
      <c r="J2671">
        <v>4</v>
      </c>
    </row>
    <row r="2672" spans="1:10">
      <c r="A2672" t="s">
        <v>5059</v>
      </c>
      <c r="B2672" t="s">
        <v>1911</v>
      </c>
      <c r="C2672" t="s">
        <v>2233</v>
      </c>
      <c r="D2672" s="9">
        <v>46069</v>
      </c>
      <c r="E2672" t="s">
        <v>23</v>
      </c>
      <c r="G2672" t="s">
        <v>2345</v>
      </c>
      <c r="H2672">
        <v>2500</v>
      </c>
      <c r="I2672" s="16" t="str">
        <f t="shared" si="41"/>
        <v>Normal</v>
      </c>
      <c r="J2672">
        <v>4</v>
      </c>
    </row>
    <row r="2673" spans="1:10">
      <c r="A2673" t="s">
        <v>5060</v>
      </c>
      <c r="B2673" t="s">
        <v>1700</v>
      </c>
      <c r="C2673" t="s">
        <v>2187</v>
      </c>
      <c r="D2673" s="9">
        <v>45950</v>
      </c>
      <c r="E2673" t="s">
        <v>2324</v>
      </c>
      <c r="F2673" s="20">
        <v>55</v>
      </c>
      <c r="G2673" t="s">
        <v>2328</v>
      </c>
      <c r="H2673">
        <v>799</v>
      </c>
      <c r="I2673" s="16" t="str">
        <f t="shared" si="41"/>
        <v>Normal</v>
      </c>
      <c r="J2673" t="s">
        <v>39</v>
      </c>
    </row>
    <row r="2674" spans="1:10">
      <c r="A2674" t="s">
        <v>5061</v>
      </c>
      <c r="B2674" t="s">
        <v>2155</v>
      </c>
      <c r="C2674" t="s">
        <v>2193</v>
      </c>
      <c r="D2674" s="9">
        <v>45311</v>
      </c>
      <c r="E2674" t="s">
        <v>2330</v>
      </c>
      <c r="G2674" t="s">
        <v>2331</v>
      </c>
      <c r="H2674">
        <v>0</v>
      </c>
      <c r="I2674" s="16" t="str">
        <f t="shared" si="41"/>
        <v>Zero Amount</v>
      </c>
      <c r="J2674">
        <v>4</v>
      </c>
    </row>
    <row r="2675" spans="1:10">
      <c r="A2675" t="s">
        <v>5062</v>
      </c>
      <c r="B2675" t="s">
        <v>335</v>
      </c>
      <c r="C2675" t="s">
        <v>2187</v>
      </c>
      <c r="D2675" s="9">
        <v>45981</v>
      </c>
      <c r="E2675" t="s">
        <v>2330</v>
      </c>
      <c r="G2675" t="s">
        <v>2328</v>
      </c>
      <c r="H2675">
        <v>799</v>
      </c>
      <c r="I2675" s="16" t="str">
        <f t="shared" si="41"/>
        <v>Normal</v>
      </c>
      <c r="J2675">
        <v>5</v>
      </c>
    </row>
    <row r="2676" spans="1:10">
      <c r="A2676" t="s">
        <v>5063</v>
      </c>
      <c r="B2676" t="s">
        <v>5064</v>
      </c>
      <c r="C2676" t="s">
        <v>2267</v>
      </c>
      <c r="D2676" s="9">
        <v>45771</v>
      </c>
      <c r="E2676" t="s">
        <v>2337</v>
      </c>
      <c r="F2676" s="20">
        <v>20</v>
      </c>
      <c r="G2676" t="s">
        <v>2331</v>
      </c>
      <c r="H2676">
        <v>999.99</v>
      </c>
      <c r="I2676" s="16" t="str">
        <f t="shared" si="41"/>
        <v>Normal</v>
      </c>
      <c r="J2676">
        <v>3</v>
      </c>
    </row>
    <row r="2677" spans="1:10">
      <c r="A2677" t="s">
        <v>5065</v>
      </c>
      <c r="B2677" t="s">
        <v>320</v>
      </c>
      <c r="C2677" t="s">
        <v>2244</v>
      </c>
      <c r="D2677" s="9">
        <v>45598</v>
      </c>
      <c r="E2677" t="s">
        <v>2337</v>
      </c>
      <c r="F2677" s="20">
        <v>0</v>
      </c>
      <c r="G2677" t="s">
        <v>2345</v>
      </c>
      <c r="H2677">
        <v>1200</v>
      </c>
      <c r="I2677" s="16" t="str">
        <f t="shared" si="41"/>
        <v>Normal</v>
      </c>
      <c r="J2677" t="s">
        <v>39</v>
      </c>
    </row>
    <row r="2678" spans="1:10">
      <c r="A2678" t="s">
        <v>5066</v>
      </c>
      <c r="B2678" t="s">
        <v>997</v>
      </c>
      <c r="C2678" t="s">
        <v>2247</v>
      </c>
      <c r="D2678" s="9">
        <v>45098</v>
      </c>
      <c r="E2678" t="s">
        <v>2327</v>
      </c>
      <c r="F2678" s="20">
        <v>5</v>
      </c>
      <c r="G2678" t="s">
        <v>2331</v>
      </c>
      <c r="I2678" s="16" t="str">
        <f t="shared" si="41"/>
        <v>Unknown</v>
      </c>
      <c r="J2678">
        <v>2</v>
      </c>
    </row>
    <row r="2679" spans="1:10">
      <c r="A2679" t="s">
        <v>5067</v>
      </c>
      <c r="B2679" t="s">
        <v>1620</v>
      </c>
      <c r="C2679" t="s">
        <v>2247</v>
      </c>
      <c r="D2679" s="9">
        <v>45924</v>
      </c>
      <c r="E2679" t="s">
        <v>2324</v>
      </c>
      <c r="F2679" s="20">
        <v>10</v>
      </c>
      <c r="G2679" t="s">
        <v>2345</v>
      </c>
      <c r="I2679" s="16" t="str">
        <f t="shared" si="41"/>
        <v>Unknown</v>
      </c>
      <c r="J2679">
        <v>2</v>
      </c>
    </row>
    <row r="2680" spans="1:10">
      <c r="A2680" t="s">
        <v>5068</v>
      </c>
      <c r="B2680" t="s">
        <v>1266</v>
      </c>
      <c r="C2680" t="s">
        <v>2264</v>
      </c>
      <c r="D2680" s="9">
        <v>45934</v>
      </c>
      <c r="E2680" t="s">
        <v>2337</v>
      </c>
      <c r="G2680" t="s">
        <v>2345</v>
      </c>
      <c r="H2680">
        <v>2500</v>
      </c>
      <c r="I2680" s="16" t="str">
        <f t="shared" si="41"/>
        <v>Normal</v>
      </c>
      <c r="J2680">
        <v>1</v>
      </c>
    </row>
    <row r="2681" spans="1:10">
      <c r="A2681" t="s">
        <v>5069</v>
      </c>
      <c r="B2681" t="s">
        <v>213</v>
      </c>
      <c r="C2681" t="s">
        <v>2205</v>
      </c>
      <c r="D2681" s="9">
        <v>45637</v>
      </c>
      <c r="E2681" t="s">
        <v>2330</v>
      </c>
      <c r="G2681" t="s">
        <v>2328</v>
      </c>
      <c r="H2681">
        <v>1500</v>
      </c>
      <c r="I2681" s="16" t="str">
        <f t="shared" si="41"/>
        <v>Normal</v>
      </c>
      <c r="J2681" t="s">
        <v>39</v>
      </c>
    </row>
    <row r="2682" spans="1:10">
      <c r="A2682" t="s">
        <v>5070</v>
      </c>
      <c r="B2682" t="s">
        <v>302</v>
      </c>
      <c r="C2682" t="s">
        <v>2237</v>
      </c>
      <c r="D2682" s="9">
        <v>45291</v>
      </c>
      <c r="E2682" t="s">
        <v>2327</v>
      </c>
      <c r="F2682" s="20">
        <v>15</v>
      </c>
      <c r="G2682" t="s">
        <v>2345</v>
      </c>
      <c r="H2682">
        <v>1500</v>
      </c>
      <c r="I2682" s="16" t="str">
        <f t="shared" si="41"/>
        <v>Normal</v>
      </c>
      <c r="J2682">
        <v>5</v>
      </c>
    </row>
    <row r="2683" spans="1:10">
      <c r="A2683" t="s">
        <v>5071</v>
      </c>
      <c r="B2683" t="s">
        <v>516</v>
      </c>
      <c r="C2683" t="s">
        <v>2225</v>
      </c>
      <c r="D2683" s="9">
        <v>45653</v>
      </c>
      <c r="E2683" t="s">
        <v>2330</v>
      </c>
      <c r="F2683" s="20">
        <v>100</v>
      </c>
      <c r="G2683" t="s">
        <v>23</v>
      </c>
      <c r="I2683" s="16" t="str">
        <f t="shared" si="41"/>
        <v>Unknown</v>
      </c>
      <c r="J2683">
        <v>5</v>
      </c>
    </row>
    <row r="2684" spans="1:10">
      <c r="A2684" t="s">
        <v>5072</v>
      </c>
      <c r="B2684" t="s">
        <v>1596</v>
      </c>
      <c r="C2684" t="s">
        <v>2259</v>
      </c>
      <c r="D2684" s="9">
        <v>45661</v>
      </c>
      <c r="E2684" t="s">
        <v>2337</v>
      </c>
      <c r="F2684" s="20">
        <v>15</v>
      </c>
      <c r="G2684" t="s">
        <v>2331</v>
      </c>
      <c r="H2684">
        <v>0</v>
      </c>
      <c r="I2684" s="16" t="str">
        <f t="shared" si="41"/>
        <v>Zero Amount</v>
      </c>
      <c r="J2684">
        <v>5</v>
      </c>
    </row>
    <row r="2685" spans="1:10">
      <c r="A2685" t="s">
        <v>5073</v>
      </c>
      <c r="B2685" t="s">
        <v>1536</v>
      </c>
      <c r="C2685" t="s">
        <v>2261</v>
      </c>
      <c r="D2685" s="9">
        <v>46140</v>
      </c>
      <c r="E2685" t="s">
        <v>2330</v>
      </c>
      <c r="G2685" t="s">
        <v>2328</v>
      </c>
      <c r="I2685" s="16" t="str">
        <f t="shared" si="41"/>
        <v>Unknown</v>
      </c>
      <c r="J2685">
        <v>4</v>
      </c>
    </row>
    <row r="2686" spans="1:10">
      <c r="A2686" t="s">
        <v>5074</v>
      </c>
      <c r="B2686" t="s">
        <v>2066</v>
      </c>
      <c r="C2686" t="s">
        <v>2269</v>
      </c>
      <c r="D2686" s="9">
        <v>45426</v>
      </c>
      <c r="E2686" t="s">
        <v>2337</v>
      </c>
      <c r="F2686" s="20">
        <v>5</v>
      </c>
      <c r="G2686" t="s">
        <v>2325</v>
      </c>
      <c r="H2686">
        <v>499</v>
      </c>
      <c r="I2686" s="16" t="str">
        <f t="shared" si="41"/>
        <v>Normal</v>
      </c>
      <c r="J2686">
        <v>3</v>
      </c>
    </row>
    <row r="2687" spans="1:10">
      <c r="A2687" t="s">
        <v>5075</v>
      </c>
      <c r="B2687" t="s">
        <v>107</v>
      </c>
      <c r="C2687" t="s">
        <v>2259</v>
      </c>
      <c r="D2687" s="9">
        <v>46048</v>
      </c>
      <c r="E2687" t="s">
        <v>2330</v>
      </c>
      <c r="F2687" s="20">
        <v>100</v>
      </c>
      <c r="G2687" t="s">
        <v>2339</v>
      </c>
      <c r="H2687">
        <v>0</v>
      </c>
      <c r="I2687" s="16" t="str">
        <f t="shared" si="41"/>
        <v>Zero Amount</v>
      </c>
      <c r="J2687" t="s">
        <v>39</v>
      </c>
    </row>
    <row r="2688" spans="1:10">
      <c r="A2688" t="s">
        <v>5076</v>
      </c>
      <c r="B2688" t="s">
        <v>1635</v>
      </c>
      <c r="C2688" t="s">
        <v>2244</v>
      </c>
      <c r="D2688" s="9">
        <v>45370</v>
      </c>
      <c r="E2688" t="s">
        <v>2337</v>
      </c>
      <c r="G2688" t="s">
        <v>2325</v>
      </c>
      <c r="H2688">
        <v>1200</v>
      </c>
      <c r="I2688" s="16" t="str">
        <f t="shared" si="41"/>
        <v>Normal</v>
      </c>
      <c r="J2688">
        <v>3</v>
      </c>
    </row>
    <row r="2689" spans="1:10">
      <c r="A2689" t="s">
        <v>5077</v>
      </c>
      <c r="B2689" t="s">
        <v>20</v>
      </c>
      <c r="C2689" t="s">
        <v>2261</v>
      </c>
      <c r="D2689" s="9">
        <v>45399</v>
      </c>
      <c r="E2689" t="s">
        <v>2324</v>
      </c>
      <c r="F2689" s="20">
        <v>25</v>
      </c>
      <c r="G2689" t="s">
        <v>2328</v>
      </c>
      <c r="I2689" s="16" t="str">
        <f t="shared" si="41"/>
        <v>Unknown</v>
      </c>
      <c r="J2689">
        <v>5</v>
      </c>
    </row>
    <row r="2690" spans="1:10">
      <c r="A2690" t="s">
        <v>5078</v>
      </c>
      <c r="B2690" t="s">
        <v>1763</v>
      </c>
      <c r="C2690" t="s">
        <v>2193</v>
      </c>
      <c r="D2690" s="9">
        <v>45713</v>
      </c>
      <c r="E2690" t="s">
        <v>2337</v>
      </c>
      <c r="F2690" s="20">
        <v>15</v>
      </c>
      <c r="G2690" t="s">
        <v>2325</v>
      </c>
      <c r="H2690">
        <v>0</v>
      </c>
      <c r="I2690" s="16" t="str">
        <f t="shared" si="41"/>
        <v>Zero Amount</v>
      </c>
      <c r="J2690">
        <v>4</v>
      </c>
    </row>
    <row r="2691" spans="1:10">
      <c r="A2691" t="s">
        <v>5079</v>
      </c>
      <c r="B2691" t="s">
        <v>1576</v>
      </c>
      <c r="C2691" t="s">
        <v>2213</v>
      </c>
      <c r="D2691" s="9">
        <v>45436</v>
      </c>
      <c r="E2691" t="s">
        <v>2330</v>
      </c>
      <c r="G2691" t="s">
        <v>2345</v>
      </c>
      <c r="H2691">
        <v>1500</v>
      </c>
      <c r="I2691" s="16" t="str">
        <f t="shared" ref="I2691:I2754" si="42">IF(H2691="", "Unknown", IF(H2691=0, "Zero Amount", IF(H2691&lt;1, "Review", IF(H2691&gt;1, "Normal"))))</f>
        <v>Normal</v>
      </c>
      <c r="J2691">
        <v>2</v>
      </c>
    </row>
    <row r="2692" spans="1:10">
      <c r="A2692" t="s">
        <v>5080</v>
      </c>
      <c r="B2692" t="s">
        <v>1504</v>
      </c>
      <c r="C2692" t="s">
        <v>2241</v>
      </c>
      <c r="D2692" s="9">
        <v>45580</v>
      </c>
      <c r="E2692" t="s">
        <v>2337</v>
      </c>
      <c r="F2692" s="20">
        <v>5</v>
      </c>
      <c r="G2692" t="s">
        <v>2331</v>
      </c>
      <c r="H2692">
        <v>2500</v>
      </c>
      <c r="I2692" s="16" t="str">
        <f t="shared" si="42"/>
        <v>Normal</v>
      </c>
      <c r="J2692">
        <v>1</v>
      </c>
    </row>
    <row r="2693" spans="1:10">
      <c r="A2693" t="s">
        <v>5081</v>
      </c>
      <c r="B2693" t="s">
        <v>593</v>
      </c>
      <c r="C2693" t="s">
        <v>2213</v>
      </c>
      <c r="D2693" s="9">
        <v>46169</v>
      </c>
      <c r="E2693" t="s">
        <v>2324</v>
      </c>
      <c r="F2693" s="20">
        <v>55</v>
      </c>
      <c r="G2693" t="s">
        <v>2345</v>
      </c>
      <c r="H2693">
        <v>1500</v>
      </c>
      <c r="I2693" s="16" t="str">
        <f t="shared" si="42"/>
        <v>Normal</v>
      </c>
      <c r="J2693">
        <v>4</v>
      </c>
    </row>
    <row r="2694" spans="1:10">
      <c r="A2694" t="s">
        <v>5082</v>
      </c>
      <c r="B2694" t="s">
        <v>1674</v>
      </c>
      <c r="C2694" t="s">
        <v>2271</v>
      </c>
      <c r="D2694" s="9">
        <v>46134</v>
      </c>
      <c r="E2694" t="s">
        <v>2324</v>
      </c>
      <c r="F2694" s="20">
        <v>55</v>
      </c>
      <c r="G2694" t="s">
        <v>2331</v>
      </c>
      <c r="H2694">
        <v>1200</v>
      </c>
      <c r="I2694" s="16" t="str">
        <f t="shared" si="42"/>
        <v>Normal</v>
      </c>
      <c r="J2694">
        <v>2</v>
      </c>
    </row>
    <row r="2695" spans="1:10">
      <c r="A2695" t="s">
        <v>5083</v>
      </c>
      <c r="B2695" t="s">
        <v>1713</v>
      </c>
      <c r="C2695" t="s">
        <v>2235</v>
      </c>
      <c r="D2695" s="9">
        <v>45455</v>
      </c>
      <c r="E2695" t="s">
        <v>2327</v>
      </c>
      <c r="F2695" s="20">
        <v>20</v>
      </c>
      <c r="G2695" t="s">
        <v>2328</v>
      </c>
      <c r="H2695">
        <v>3000</v>
      </c>
      <c r="I2695" s="16" t="str">
        <f t="shared" si="42"/>
        <v>Normal</v>
      </c>
      <c r="J2695" t="s">
        <v>39</v>
      </c>
    </row>
    <row r="2696" spans="1:10">
      <c r="A2696" t="s">
        <v>5084</v>
      </c>
      <c r="B2696" t="s">
        <v>1658</v>
      </c>
      <c r="C2696" t="s">
        <v>2244</v>
      </c>
      <c r="D2696" s="9">
        <v>45388</v>
      </c>
      <c r="E2696" t="s">
        <v>2330</v>
      </c>
      <c r="F2696" s="20">
        <v>100</v>
      </c>
      <c r="G2696" t="s">
        <v>23</v>
      </c>
      <c r="H2696">
        <v>1200</v>
      </c>
      <c r="I2696" s="16" t="str">
        <f t="shared" si="42"/>
        <v>Normal</v>
      </c>
      <c r="J2696">
        <v>5</v>
      </c>
    </row>
    <row r="2697" spans="1:10">
      <c r="A2697" t="s">
        <v>5085</v>
      </c>
      <c r="B2697" t="s">
        <v>1838</v>
      </c>
      <c r="C2697" t="s">
        <v>2218</v>
      </c>
      <c r="D2697" s="9">
        <v>46165</v>
      </c>
      <c r="E2697" t="s">
        <v>2324</v>
      </c>
      <c r="F2697" s="20">
        <v>60</v>
      </c>
      <c r="G2697" t="s">
        <v>2325</v>
      </c>
      <c r="I2697" s="16" t="str">
        <f t="shared" si="42"/>
        <v>Unknown</v>
      </c>
      <c r="J2697">
        <v>2</v>
      </c>
    </row>
    <row r="2698" spans="1:10">
      <c r="A2698" t="s">
        <v>5086</v>
      </c>
      <c r="B2698" t="s">
        <v>1087</v>
      </c>
      <c r="C2698" t="s">
        <v>2267</v>
      </c>
      <c r="D2698" s="9">
        <v>45613</v>
      </c>
      <c r="E2698" t="s">
        <v>2324</v>
      </c>
      <c r="F2698" s="20">
        <v>25</v>
      </c>
      <c r="G2698" t="s">
        <v>2325</v>
      </c>
      <c r="H2698">
        <v>999.99</v>
      </c>
      <c r="I2698" s="16" t="str">
        <f t="shared" si="42"/>
        <v>Normal</v>
      </c>
      <c r="J2698">
        <v>4</v>
      </c>
    </row>
    <row r="2699" spans="1:10">
      <c r="A2699" t="s">
        <v>5087</v>
      </c>
      <c r="B2699" t="s">
        <v>1662</v>
      </c>
      <c r="C2699" t="s">
        <v>2259</v>
      </c>
      <c r="D2699" s="9">
        <v>45276</v>
      </c>
      <c r="E2699" t="s">
        <v>2330</v>
      </c>
      <c r="G2699" t="s">
        <v>2325</v>
      </c>
      <c r="H2699">
        <v>0</v>
      </c>
      <c r="I2699" s="16" t="str">
        <f t="shared" si="42"/>
        <v>Zero Amount</v>
      </c>
      <c r="J2699" t="s">
        <v>39</v>
      </c>
    </row>
    <row r="2700" spans="1:10">
      <c r="A2700" t="s">
        <v>5088</v>
      </c>
      <c r="B2700" t="s">
        <v>2583</v>
      </c>
      <c r="C2700" t="s">
        <v>2231</v>
      </c>
      <c r="D2700" s="9">
        <v>45169</v>
      </c>
      <c r="E2700" t="s">
        <v>2337</v>
      </c>
      <c r="G2700" t="s">
        <v>2345</v>
      </c>
      <c r="I2700" s="16" t="str">
        <f t="shared" si="42"/>
        <v>Unknown</v>
      </c>
      <c r="J2700">
        <v>5</v>
      </c>
    </row>
    <row r="2701" spans="1:10">
      <c r="A2701" t="s">
        <v>5089</v>
      </c>
      <c r="B2701" t="s">
        <v>589</v>
      </c>
      <c r="C2701" t="s">
        <v>2187</v>
      </c>
      <c r="D2701" s="9">
        <v>45453</v>
      </c>
      <c r="E2701" t="s">
        <v>2337</v>
      </c>
      <c r="F2701" s="20">
        <v>20</v>
      </c>
      <c r="G2701" t="s">
        <v>23</v>
      </c>
      <c r="H2701">
        <v>799</v>
      </c>
      <c r="I2701" s="16" t="str">
        <f t="shared" si="42"/>
        <v>Normal</v>
      </c>
      <c r="J2701">
        <v>3</v>
      </c>
    </row>
    <row r="2702" spans="1:10">
      <c r="A2702" t="s">
        <v>5090</v>
      </c>
      <c r="B2702" t="s">
        <v>1323</v>
      </c>
      <c r="C2702" t="s">
        <v>2213</v>
      </c>
      <c r="D2702" s="9">
        <v>45431</v>
      </c>
      <c r="E2702" t="s">
        <v>2324</v>
      </c>
      <c r="F2702" s="20">
        <v>10</v>
      </c>
      <c r="G2702" t="s">
        <v>2325</v>
      </c>
      <c r="H2702">
        <v>1157.29</v>
      </c>
      <c r="I2702" s="16" t="str">
        <f t="shared" si="42"/>
        <v>Normal</v>
      </c>
      <c r="J2702">
        <v>3</v>
      </c>
    </row>
    <row r="2703" spans="1:10">
      <c r="A2703" t="s">
        <v>5091</v>
      </c>
      <c r="B2703" t="s">
        <v>799</v>
      </c>
      <c r="C2703" t="s">
        <v>2193</v>
      </c>
      <c r="D2703" s="9">
        <v>46112</v>
      </c>
      <c r="E2703" t="s">
        <v>2330</v>
      </c>
      <c r="F2703" s="20">
        <v>100</v>
      </c>
      <c r="G2703" t="s">
        <v>2345</v>
      </c>
      <c r="H2703">
        <v>0</v>
      </c>
      <c r="I2703" s="16" t="str">
        <f t="shared" si="42"/>
        <v>Zero Amount</v>
      </c>
      <c r="J2703" t="s">
        <v>39</v>
      </c>
    </row>
    <row r="2704" spans="1:10">
      <c r="A2704" t="s">
        <v>5092</v>
      </c>
      <c r="B2704" t="s">
        <v>2108</v>
      </c>
      <c r="C2704" t="s">
        <v>2269</v>
      </c>
      <c r="D2704" s="9">
        <v>45583</v>
      </c>
      <c r="E2704" t="s">
        <v>2330</v>
      </c>
      <c r="F2704" s="20">
        <v>100</v>
      </c>
      <c r="G2704" t="s">
        <v>2331</v>
      </c>
      <c r="H2704">
        <v>499</v>
      </c>
      <c r="I2704" s="16" t="str">
        <f t="shared" si="42"/>
        <v>Normal</v>
      </c>
      <c r="J2704">
        <v>4</v>
      </c>
    </row>
    <row r="2705" spans="1:10">
      <c r="A2705" t="s">
        <v>5093</v>
      </c>
      <c r="B2705" t="s">
        <v>1876</v>
      </c>
      <c r="C2705" t="s">
        <v>2205</v>
      </c>
      <c r="D2705" s="9">
        <v>45797</v>
      </c>
      <c r="E2705" t="s">
        <v>2330</v>
      </c>
      <c r="G2705" t="s">
        <v>2331</v>
      </c>
      <c r="H2705">
        <v>1500</v>
      </c>
      <c r="I2705" s="16" t="str">
        <f t="shared" si="42"/>
        <v>Normal</v>
      </c>
      <c r="J2705">
        <v>2</v>
      </c>
    </row>
    <row r="2706" spans="1:10">
      <c r="A2706" t="s">
        <v>5094</v>
      </c>
      <c r="B2706" t="s">
        <v>1576</v>
      </c>
      <c r="C2706" t="s">
        <v>2228</v>
      </c>
      <c r="D2706" s="9">
        <v>45688</v>
      </c>
      <c r="E2706" t="s">
        <v>2324</v>
      </c>
      <c r="F2706" s="20">
        <v>25</v>
      </c>
      <c r="G2706" t="s">
        <v>2339</v>
      </c>
      <c r="H2706">
        <v>799</v>
      </c>
      <c r="I2706" s="16" t="str">
        <f t="shared" si="42"/>
        <v>Normal</v>
      </c>
      <c r="J2706">
        <v>1</v>
      </c>
    </row>
    <row r="2707" spans="1:10">
      <c r="A2707" t="s">
        <v>5095</v>
      </c>
      <c r="B2707" t="s">
        <v>1536</v>
      </c>
      <c r="C2707" t="s">
        <v>2233</v>
      </c>
      <c r="D2707" s="9">
        <v>45298</v>
      </c>
      <c r="E2707" t="s">
        <v>2330</v>
      </c>
      <c r="F2707" s="20">
        <v>100</v>
      </c>
      <c r="G2707" t="s">
        <v>2345</v>
      </c>
      <c r="H2707">
        <v>2500</v>
      </c>
      <c r="I2707" s="16" t="str">
        <f t="shared" si="42"/>
        <v>Normal</v>
      </c>
      <c r="J2707" t="s">
        <v>39</v>
      </c>
    </row>
    <row r="2708" spans="1:10">
      <c r="A2708" t="s">
        <v>5096</v>
      </c>
      <c r="B2708" t="s">
        <v>2108</v>
      </c>
      <c r="C2708" t="s">
        <v>2259</v>
      </c>
      <c r="D2708" s="9">
        <v>45951</v>
      </c>
      <c r="E2708" t="s">
        <v>2324</v>
      </c>
      <c r="F2708" s="20">
        <v>10</v>
      </c>
      <c r="G2708" t="s">
        <v>2331</v>
      </c>
      <c r="H2708">
        <v>0</v>
      </c>
      <c r="I2708" s="16" t="str">
        <f t="shared" si="42"/>
        <v>Zero Amount</v>
      </c>
      <c r="J2708">
        <v>1</v>
      </c>
    </row>
    <row r="2709" spans="1:10">
      <c r="A2709" t="s">
        <v>5097</v>
      </c>
      <c r="B2709" t="s">
        <v>1572</v>
      </c>
      <c r="C2709" t="s">
        <v>2198</v>
      </c>
      <c r="D2709" s="9">
        <v>45934</v>
      </c>
      <c r="E2709" t="s">
        <v>2337</v>
      </c>
      <c r="F2709" s="20">
        <v>15</v>
      </c>
      <c r="G2709" t="s">
        <v>2331</v>
      </c>
      <c r="I2709" s="16" t="str">
        <f t="shared" si="42"/>
        <v>Unknown</v>
      </c>
      <c r="J2709" t="s">
        <v>39</v>
      </c>
    </row>
    <row r="2710" spans="1:10">
      <c r="A2710" t="s">
        <v>5098</v>
      </c>
      <c r="B2710" t="s">
        <v>1203</v>
      </c>
      <c r="C2710" t="s">
        <v>2241</v>
      </c>
      <c r="D2710" s="9">
        <v>45331</v>
      </c>
      <c r="E2710" t="s">
        <v>23</v>
      </c>
      <c r="G2710" t="s">
        <v>2331</v>
      </c>
      <c r="H2710">
        <v>2500</v>
      </c>
      <c r="I2710" s="16" t="str">
        <f t="shared" si="42"/>
        <v>Normal</v>
      </c>
      <c r="J2710">
        <v>2</v>
      </c>
    </row>
    <row r="2711" spans="1:10">
      <c r="A2711" t="s">
        <v>5099</v>
      </c>
      <c r="B2711" t="s">
        <v>1184</v>
      </c>
      <c r="C2711" t="s">
        <v>2259</v>
      </c>
      <c r="D2711" s="9">
        <v>45647</v>
      </c>
      <c r="E2711" t="s">
        <v>23</v>
      </c>
      <c r="G2711" t="s">
        <v>2331</v>
      </c>
      <c r="H2711">
        <v>0</v>
      </c>
      <c r="I2711" s="16" t="str">
        <f t="shared" si="42"/>
        <v>Zero Amount</v>
      </c>
      <c r="J2711">
        <v>5</v>
      </c>
    </row>
    <row r="2712" spans="1:10">
      <c r="A2712" t="s">
        <v>5100</v>
      </c>
      <c r="B2712" t="s">
        <v>1890</v>
      </c>
      <c r="C2712" t="s">
        <v>2251</v>
      </c>
      <c r="D2712" s="9">
        <v>45448</v>
      </c>
      <c r="E2712" t="s">
        <v>2337</v>
      </c>
      <c r="G2712" t="s">
        <v>2345</v>
      </c>
      <c r="H2712">
        <v>1500</v>
      </c>
      <c r="I2712" s="16" t="str">
        <f t="shared" si="42"/>
        <v>Normal</v>
      </c>
      <c r="J2712">
        <v>5</v>
      </c>
    </row>
    <row r="2713" spans="1:10">
      <c r="A2713" t="s">
        <v>5101</v>
      </c>
      <c r="B2713" t="s">
        <v>1713</v>
      </c>
      <c r="C2713" t="s">
        <v>2259</v>
      </c>
      <c r="D2713" s="9">
        <v>45679</v>
      </c>
      <c r="E2713" t="s">
        <v>2337</v>
      </c>
      <c r="F2713" s="20">
        <v>20</v>
      </c>
      <c r="G2713" t="s">
        <v>2339</v>
      </c>
      <c r="H2713">
        <v>0</v>
      </c>
      <c r="I2713" s="16" t="str">
        <f t="shared" si="42"/>
        <v>Zero Amount</v>
      </c>
      <c r="J2713">
        <v>4</v>
      </c>
    </row>
    <row r="2714" spans="1:10">
      <c r="A2714" t="s">
        <v>5102</v>
      </c>
      <c r="B2714" t="s">
        <v>95</v>
      </c>
      <c r="C2714" t="s">
        <v>2259</v>
      </c>
      <c r="D2714" s="9">
        <v>45240</v>
      </c>
      <c r="E2714" t="s">
        <v>2327</v>
      </c>
      <c r="F2714" s="20">
        <v>15</v>
      </c>
      <c r="G2714" t="s">
        <v>2331</v>
      </c>
      <c r="H2714">
        <v>0</v>
      </c>
      <c r="I2714" s="16" t="str">
        <f t="shared" si="42"/>
        <v>Zero Amount</v>
      </c>
      <c r="J2714">
        <v>4</v>
      </c>
    </row>
    <row r="2715" spans="1:10">
      <c r="A2715" t="s">
        <v>5103</v>
      </c>
      <c r="B2715" t="s">
        <v>99</v>
      </c>
      <c r="C2715" t="s">
        <v>2241</v>
      </c>
      <c r="D2715" s="9">
        <v>45426</v>
      </c>
      <c r="E2715" t="s">
        <v>2324</v>
      </c>
      <c r="F2715" s="20">
        <v>40</v>
      </c>
      <c r="G2715" t="s">
        <v>2325</v>
      </c>
      <c r="H2715">
        <v>2500</v>
      </c>
      <c r="I2715" s="16" t="str">
        <f t="shared" si="42"/>
        <v>Normal</v>
      </c>
      <c r="J2715" t="s">
        <v>39</v>
      </c>
    </row>
    <row r="2716" spans="1:10">
      <c r="A2716" t="s">
        <v>5104</v>
      </c>
      <c r="B2716" t="s">
        <v>34</v>
      </c>
      <c r="C2716" t="s">
        <v>2259</v>
      </c>
      <c r="D2716" s="9">
        <v>45766</v>
      </c>
      <c r="E2716" t="s">
        <v>2327</v>
      </c>
      <c r="F2716" s="20">
        <v>20</v>
      </c>
      <c r="G2716" t="s">
        <v>2345</v>
      </c>
      <c r="H2716">
        <v>0</v>
      </c>
      <c r="I2716" s="16" t="str">
        <f t="shared" si="42"/>
        <v>Zero Amount</v>
      </c>
      <c r="J2716">
        <v>4</v>
      </c>
    </row>
    <row r="2717" spans="1:10">
      <c r="A2717" t="s">
        <v>5105</v>
      </c>
      <c r="B2717" t="s">
        <v>1196</v>
      </c>
      <c r="C2717" t="s">
        <v>2218</v>
      </c>
      <c r="D2717" s="9">
        <v>45841</v>
      </c>
      <c r="E2717" t="s">
        <v>2330</v>
      </c>
      <c r="F2717" s="20">
        <v>100</v>
      </c>
      <c r="G2717" t="s">
        <v>2339</v>
      </c>
      <c r="H2717">
        <v>1500</v>
      </c>
      <c r="I2717" s="16" t="str">
        <f t="shared" si="42"/>
        <v>Normal</v>
      </c>
      <c r="J2717">
        <v>4</v>
      </c>
    </row>
    <row r="2718" spans="1:10">
      <c r="A2718" t="s">
        <v>5106</v>
      </c>
      <c r="B2718" t="s">
        <v>611</v>
      </c>
      <c r="C2718" t="s">
        <v>2198</v>
      </c>
      <c r="D2718" s="9">
        <v>45119</v>
      </c>
      <c r="E2718" t="s">
        <v>2330</v>
      </c>
      <c r="F2718" s="20">
        <v>100</v>
      </c>
      <c r="G2718" t="s">
        <v>2331</v>
      </c>
      <c r="I2718" s="16" t="str">
        <f t="shared" si="42"/>
        <v>Unknown</v>
      </c>
      <c r="J2718">
        <v>3</v>
      </c>
    </row>
    <row r="2719" spans="1:10">
      <c r="A2719" t="s">
        <v>5107</v>
      </c>
      <c r="B2719" t="s">
        <v>1970</v>
      </c>
      <c r="C2719" t="s">
        <v>2231</v>
      </c>
      <c r="D2719" s="9">
        <v>45181</v>
      </c>
      <c r="E2719" t="s">
        <v>2330</v>
      </c>
      <c r="F2719" s="20">
        <v>100</v>
      </c>
      <c r="G2719" t="s">
        <v>23</v>
      </c>
      <c r="H2719">
        <v>3000</v>
      </c>
      <c r="I2719" s="16" t="str">
        <f t="shared" si="42"/>
        <v>Normal</v>
      </c>
      <c r="J2719">
        <v>2</v>
      </c>
    </row>
    <row r="2720" spans="1:10">
      <c r="A2720" t="s">
        <v>5108</v>
      </c>
      <c r="B2720" t="s">
        <v>932</v>
      </c>
      <c r="C2720" t="s">
        <v>2213</v>
      </c>
      <c r="D2720" s="9">
        <v>45937</v>
      </c>
      <c r="E2720" t="s">
        <v>2324</v>
      </c>
      <c r="F2720" s="20">
        <v>40</v>
      </c>
      <c r="G2720" t="s">
        <v>2331</v>
      </c>
      <c r="H2720">
        <v>1500</v>
      </c>
      <c r="I2720" s="16" t="str">
        <f t="shared" si="42"/>
        <v>Normal</v>
      </c>
      <c r="J2720">
        <v>5</v>
      </c>
    </row>
    <row r="2721" spans="1:10">
      <c r="A2721" t="s">
        <v>5109</v>
      </c>
      <c r="B2721" t="s">
        <v>656</v>
      </c>
      <c r="C2721" t="s">
        <v>2218</v>
      </c>
      <c r="D2721" s="9">
        <v>45959</v>
      </c>
      <c r="E2721" t="s">
        <v>2330</v>
      </c>
      <c r="G2721" t="s">
        <v>2345</v>
      </c>
      <c r="I2721" s="16" t="str">
        <f t="shared" si="42"/>
        <v>Unknown</v>
      </c>
      <c r="J2721">
        <v>2</v>
      </c>
    </row>
    <row r="2722" spans="1:10">
      <c r="A2722" t="s">
        <v>5110</v>
      </c>
      <c r="B2722" t="s">
        <v>729</v>
      </c>
      <c r="C2722" t="s">
        <v>2225</v>
      </c>
      <c r="D2722" s="9">
        <v>46032</v>
      </c>
      <c r="E2722" t="s">
        <v>2330</v>
      </c>
      <c r="G2722" t="s">
        <v>2339</v>
      </c>
      <c r="I2722" s="16" t="str">
        <f t="shared" si="42"/>
        <v>Unknown</v>
      </c>
      <c r="J2722">
        <v>2</v>
      </c>
    </row>
    <row r="2723" spans="1:10">
      <c r="A2723" t="s">
        <v>5111</v>
      </c>
      <c r="B2723" t="s">
        <v>867</v>
      </c>
      <c r="C2723" t="s">
        <v>2264</v>
      </c>
      <c r="D2723" s="9">
        <v>45766</v>
      </c>
      <c r="E2723" t="s">
        <v>23</v>
      </c>
      <c r="G2723" t="s">
        <v>2331</v>
      </c>
      <c r="H2723">
        <v>2500</v>
      </c>
      <c r="I2723" s="16" t="str">
        <f t="shared" si="42"/>
        <v>Normal</v>
      </c>
      <c r="J2723">
        <v>1</v>
      </c>
    </row>
    <row r="2724" spans="1:10">
      <c r="A2724" t="s">
        <v>5112</v>
      </c>
      <c r="B2724" t="s">
        <v>1991</v>
      </c>
      <c r="C2724" t="s">
        <v>2273</v>
      </c>
      <c r="D2724" s="9">
        <v>45270</v>
      </c>
      <c r="E2724" t="s">
        <v>2337</v>
      </c>
      <c r="F2724" s="20">
        <v>20</v>
      </c>
      <c r="G2724" t="s">
        <v>23</v>
      </c>
      <c r="H2724">
        <v>799</v>
      </c>
      <c r="I2724" s="16" t="str">
        <f t="shared" si="42"/>
        <v>Normal</v>
      </c>
      <c r="J2724">
        <v>2</v>
      </c>
    </row>
    <row r="2725" spans="1:10">
      <c r="A2725" t="s">
        <v>5113</v>
      </c>
      <c r="B2725" t="s">
        <v>1776</v>
      </c>
      <c r="C2725" t="s">
        <v>2222</v>
      </c>
      <c r="D2725" s="9">
        <v>46146</v>
      </c>
      <c r="E2725" t="s">
        <v>2330</v>
      </c>
      <c r="F2725" s="20">
        <v>100</v>
      </c>
      <c r="G2725" t="s">
        <v>2331</v>
      </c>
      <c r="H2725">
        <v>0</v>
      </c>
      <c r="I2725" s="16" t="str">
        <f t="shared" si="42"/>
        <v>Zero Amount</v>
      </c>
      <c r="J2725" t="s">
        <v>39</v>
      </c>
    </row>
    <row r="2726" spans="1:10">
      <c r="A2726" t="s">
        <v>5114</v>
      </c>
      <c r="B2726" t="s">
        <v>320</v>
      </c>
      <c r="C2726" t="s">
        <v>2241</v>
      </c>
      <c r="D2726" s="9">
        <v>46173</v>
      </c>
      <c r="E2726" t="s">
        <v>2330</v>
      </c>
      <c r="F2726" s="20">
        <v>100</v>
      </c>
      <c r="G2726" t="s">
        <v>2331</v>
      </c>
      <c r="H2726">
        <v>2500</v>
      </c>
      <c r="I2726" s="16" t="str">
        <f t="shared" si="42"/>
        <v>Normal</v>
      </c>
      <c r="J2726" t="s">
        <v>39</v>
      </c>
    </row>
    <row r="2727" spans="1:10">
      <c r="A2727" t="s">
        <v>5115</v>
      </c>
      <c r="B2727" t="s">
        <v>754</v>
      </c>
      <c r="C2727" t="s">
        <v>2218</v>
      </c>
      <c r="D2727" s="9">
        <v>45814</v>
      </c>
      <c r="E2727" t="s">
        <v>2324</v>
      </c>
      <c r="F2727" s="20">
        <v>60</v>
      </c>
      <c r="G2727" t="s">
        <v>2331</v>
      </c>
      <c r="H2727">
        <v>1500</v>
      </c>
      <c r="I2727" s="16" t="str">
        <f t="shared" si="42"/>
        <v>Normal</v>
      </c>
      <c r="J2727" t="s">
        <v>39</v>
      </c>
    </row>
    <row r="2728" spans="1:10">
      <c r="A2728" t="s">
        <v>5116</v>
      </c>
      <c r="B2728" t="s">
        <v>656</v>
      </c>
      <c r="C2728" t="s">
        <v>2257</v>
      </c>
      <c r="D2728" s="9">
        <v>45962</v>
      </c>
      <c r="E2728" t="s">
        <v>23</v>
      </c>
      <c r="G2728" t="s">
        <v>2331</v>
      </c>
      <c r="I2728" s="16" t="str">
        <f t="shared" si="42"/>
        <v>Unknown</v>
      </c>
      <c r="J2728">
        <v>5</v>
      </c>
    </row>
    <row r="2729" spans="1:10">
      <c r="A2729" t="s">
        <v>5117</v>
      </c>
      <c r="B2729" t="s">
        <v>256</v>
      </c>
      <c r="C2729" t="s">
        <v>2264</v>
      </c>
      <c r="D2729" s="9">
        <v>45952</v>
      </c>
      <c r="E2729" t="s">
        <v>2330</v>
      </c>
      <c r="G2729" t="s">
        <v>2328</v>
      </c>
      <c r="H2729">
        <v>2500</v>
      </c>
      <c r="I2729" s="16" t="str">
        <f t="shared" si="42"/>
        <v>Normal</v>
      </c>
      <c r="J2729" t="s">
        <v>39</v>
      </c>
    </row>
    <row r="2730" spans="1:10">
      <c r="A2730" t="s">
        <v>5118</v>
      </c>
      <c r="B2730" t="s">
        <v>1248</v>
      </c>
      <c r="C2730" t="s">
        <v>2228</v>
      </c>
      <c r="D2730" s="9">
        <v>45393</v>
      </c>
      <c r="E2730" t="s">
        <v>2324</v>
      </c>
      <c r="F2730" s="20">
        <v>55</v>
      </c>
      <c r="G2730" t="s">
        <v>2339</v>
      </c>
      <c r="H2730">
        <v>799</v>
      </c>
      <c r="I2730" s="16" t="str">
        <f t="shared" si="42"/>
        <v>Normal</v>
      </c>
      <c r="J2730">
        <v>5</v>
      </c>
    </row>
    <row r="2731" spans="1:10">
      <c r="A2731" t="s">
        <v>5119</v>
      </c>
      <c r="B2731" t="s">
        <v>828</v>
      </c>
      <c r="C2731" t="s">
        <v>2244</v>
      </c>
      <c r="D2731" s="9">
        <v>46120</v>
      </c>
      <c r="E2731" t="s">
        <v>2324</v>
      </c>
      <c r="F2731" s="20">
        <v>60</v>
      </c>
      <c r="G2731" t="s">
        <v>2331</v>
      </c>
      <c r="H2731">
        <v>1200</v>
      </c>
      <c r="I2731" s="16" t="str">
        <f t="shared" si="42"/>
        <v>Normal</v>
      </c>
      <c r="J2731">
        <v>1</v>
      </c>
    </row>
    <row r="2732" spans="1:10">
      <c r="A2732" t="s">
        <v>5120</v>
      </c>
      <c r="B2732" t="s">
        <v>2028</v>
      </c>
      <c r="C2732" t="s">
        <v>2271</v>
      </c>
      <c r="D2732" s="9">
        <v>45615</v>
      </c>
      <c r="E2732" t="s">
        <v>2330</v>
      </c>
      <c r="F2732" s="20">
        <v>100</v>
      </c>
      <c r="G2732" t="s">
        <v>2331</v>
      </c>
      <c r="H2732">
        <v>1200</v>
      </c>
      <c r="I2732" s="16" t="str">
        <f t="shared" si="42"/>
        <v>Normal</v>
      </c>
      <c r="J2732" t="s">
        <v>39</v>
      </c>
    </row>
    <row r="2733" spans="1:10">
      <c r="A2733" t="s">
        <v>5121</v>
      </c>
      <c r="B2733" t="s">
        <v>987</v>
      </c>
      <c r="C2733" t="s">
        <v>2269</v>
      </c>
      <c r="D2733" s="9">
        <v>46036</v>
      </c>
      <c r="E2733" t="s">
        <v>2330</v>
      </c>
      <c r="F2733" s="20">
        <v>100</v>
      </c>
      <c r="G2733" t="s">
        <v>2339</v>
      </c>
      <c r="H2733">
        <v>499</v>
      </c>
      <c r="I2733" s="16" t="str">
        <f t="shared" si="42"/>
        <v>Normal</v>
      </c>
      <c r="J2733">
        <v>2</v>
      </c>
    </row>
    <row r="2734" spans="1:10">
      <c r="A2734" t="s">
        <v>5122</v>
      </c>
      <c r="B2734" t="s">
        <v>1184</v>
      </c>
      <c r="C2734" t="s">
        <v>2273</v>
      </c>
      <c r="D2734" s="9">
        <v>45430</v>
      </c>
      <c r="E2734" t="s">
        <v>2324</v>
      </c>
      <c r="F2734" s="20">
        <v>75</v>
      </c>
      <c r="G2734" t="s">
        <v>23</v>
      </c>
      <c r="H2734">
        <v>799</v>
      </c>
      <c r="I2734" s="16" t="str">
        <f t="shared" si="42"/>
        <v>Normal</v>
      </c>
      <c r="J2734">
        <v>4</v>
      </c>
    </row>
    <row r="2735" spans="1:10">
      <c r="A2735" t="s">
        <v>5123</v>
      </c>
      <c r="B2735" t="s">
        <v>926</v>
      </c>
      <c r="C2735" t="s">
        <v>2261</v>
      </c>
      <c r="D2735" s="9">
        <v>45256</v>
      </c>
      <c r="E2735" t="s">
        <v>2324</v>
      </c>
      <c r="F2735" s="20">
        <v>25</v>
      </c>
      <c r="G2735" t="s">
        <v>2339</v>
      </c>
      <c r="I2735" s="16" t="str">
        <f t="shared" si="42"/>
        <v>Unknown</v>
      </c>
      <c r="J2735" t="s">
        <v>39</v>
      </c>
    </row>
    <row r="2736" spans="1:10">
      <c r="A2736" t="s">
        <v>5124</v>
      </c>
      <c r="B2736" t="s">
        <v>1751</v>
      </c>
      <c r="C2736" t="s">
        <v>2271</v>
      </c>
      <c r="D2736" s="9">
        <v>45463</v>
      </c>
      <c r="E2736" t="s">
        <v>2330</v>
      </c>
      <c r="G2736" t="s">
        <v>2345</v>
      </c>
      <c r="H2736">
        <v>1200</v>
      </c>
      <c r="I2736" s="16" t="str">
        <f t="shared" si="42"/>
        <v>Normal</v>
      </c>
      <c r="J2736" t="s">
        <v>39</v>
      </c>
    </row>
    <row r="2737" spans="1:10">
      <c r="A2737" t="s">
        <v>5125</v>
      </c>
      <c r="B2737" t="s">
        <v>1500</v>
      </c>
      <c r="C2737" t="s">
        <v>2198</v>
      </c>
      <c r="D2737" s="9">
        <v>45485</v>
      </c>
      <c r="E2737" t="s">
        <v>2330</v>
      </c>
      <c r="F2737" s="20">
        <v>100</v>
      </c>
      <c r="G2737" t="s">
        <v>2331</v>
      </c>
      <c r="I2737" s="16" t="str">
        <f t="shared" si="42"/>
        <v>Unknown</v>
      </c>
      <c r="J2737" t="s">
        <v>39</v>
      </c>
    </row>
    <row r="2738" spans="1:10">
      <c r="A2738" t="s">
        <v>5126</v>
      </c>
      <c r="B2738" t="s">
        <v>1363</v>
      </c>
      <c r="C2738" t="s">
        <v>2213</v>
      </c>
      <c r="D2738" s="9">
        <v>45914</v>
      </c>
      <c r="E2738" t="s">
        <v>2324</v>
      </c>
      <c r="F2738" s="20">
        <v>40</v>
      </c>
      <c r="G2738" t="s">
        <v>2345</v>
      </c>
      <c r="H2738">
        <v>1500</v>
      </c>
      <c r="I2738" s="16" t="str">
        <f t="shared" si="42"/>
        <v>Normal</v>
      </c>
      <c r="J2738">
        <v>1</v>
      </c>
    </row>
    <row r="2739" spans="1:10">
      <c r="A2739" t="s">
        <v>5127</v>
      </c>
      <c r="B2739" t="s">
        <v>1165</v>
      </c>
      <c r="C2739" t="s">
        <v>2222</v>
      </c>
      <c r="D2739" s="9">
        <v>45590</v>
      </c>
      <c r="E2739" t="s">
        <v>23</v>
      </c>
      <c r="G2739" t="s">
        <v>2331</v>
      </c>
      <c r="I2739" s="16" t="str">
        <f t="shared" si="42"/>
        <v>Unknown</v>
      </c>
      <c r="J2739">
        <v>5</v>
      </c>
    </row>
    <row r="2740" spans="1:10">
      <c r="A2740" t="s">
        <v>5128</v>
      </c>
      <c r="B2740" t="s">
        <v>221</v>
      </c>
      <c r="C2740" t="s">
        <v>2249</v>
      </c>
      <c r="D2740" s="9">
        <v>45564</v>
      </c>
      <c r="E2740" t="s">
        <v>2337</v>
      </c>
      <c r="F2740" s="20">
        <v>15</v>
      </c>
      <c r="G2740" t="s">
        <v>2331</v>
      </c>
      <c r="H2740">
        <v>1150.1400000000001</v>
      </c>
      <c r="I2740" s="16" t="str">
        <f t="shared" si="42"/>
        <v>Normal</v>
      </c>
      <c r="J2740">
        <v>4</v>
      </c>
    </row>
    <row r="2741" spans="1:10">
      <c r="A2741" t="s">
        <v>5129</v>
      </c>
      <c r="B2741" t="s">
        <v>1210</v>
      </c>
      <c r="C2741" t="s">
        <v>2235</v>
      </c>
      <c r="D2741" s="9">
        <v>45529</v>
      </c>
      <c r="E2741" t="s">
        <v>2337</v>
      </c>
      <c r="F2741" s="20">
        <v>5</v>
      </c>
      <c r="G2741" t="s">
        <v>2345</v>
      </c>
      <c r="H2741">
        <v>3000</v>
      </c>
      <c r="I2741" s="16" t="str">
        <f t="shared" si="42"/>
        <v>Normal</v>
      </c>
      <c r="J2741">
        <v>2</v>
      </c>
    </row>
    <row r="2742" spans="1:10">
      <c r="A2742" t="s">
        <v>5130</v>
      </c>
      <c r="B2742" t="s">
        <v>477</v>
      </c>
      <c r="C2742" t="s">
        <v>2264</v>
      </c>
      <c r="D2742" s="9">
        <v>45555</v>
      </c>
      <c r="E2742" t="s">
        <v>2327</v>
      </c>
      <c r="G2742" t="s">
        <v>2328</v>
      </c>
      <c r="H2742">
        <v>2500</v>
      </c>
      <c r="I2742" s="16" t="str">
        <f t="shared" si="42"/>
        <v>Normal</v>
      </c>
      <c r="J2742">
        <v>4</v>
      </c>
    </row>
    <row r="2743" spans="1:10">
      <c r="A2743" t="s">
        <v>5131</v>
      </c>
      <c r="B2743" t="s">
        <v>896</v>
      </c>
      <c r="C2743" t="s">
        <v>2218</v>
      </c>
      <c r="D2743" s="9">
        <v>45726</v>
      </c>
      <c r="E2743" t="s">
        <v>2327</v>
      </c>
      <c r="F2743" s="20">
        <v>0</v>
      </c>
      <c r="G2743" t="s">
        <v>2331</v>
      </c>
      <c r="H2743">
        <v>1500</v>
      </c>
      <c r="I2743" s="16" t="str">
        <f t="shared" si="42"/>
        <v>Normal</v>
      </c>
      <c r="J2743">
        <v>4</v>
      </c>
    </row>
    <row r="2744" spans="1:10">
      <c r="A2744" t="s">
        <v>5132</v>
      </c>
      <c r="B2744" t="s">
        <v>414</v>
      </c>
      <c r="C2744" t="s">
        <v>2187</v>
      </c>
      <c r="D2744" s="9">
        <v>45421</v>
      </c>
      <c r="E2744" t="s">
        <v>2324</v>
      </c>
      <c r="F2744" s="20">
        <v>75</v>
      </c>
      <c r="G2744" t="s">
        <v>2328</v>
      </c>
      <c r="H2744">
        <v>799</v>
      </c>
      <c r="I2744" s="16" t="str">
        <f t="shared" si="42"/>
        <v>Normal</v>
      </c>
      <c r="J2744">
        <v>4</v>
      </c>
    </row>
    <row r="2745" spans="1:10">
      <c r="A2745" t="s">
        <v>5133</v>
      </c>
      <c r="B2745" t="s">
        <v>380</v>
      </c>
      <c r="C2745" t="s">
        <v>2187</v>
      </c>
      <c r="D2745" s="9">
        <v>46159</v>
      </c>
      <c r="E2745" t="s">
        <v>2327</v>
      </c>
      <c r="F2745" s="20">
        <v>5</v>
      </c>
      <c r="G2745" t="s">
        <v>2331</v>
      </c>
      <c r="H2745">
        <v>799</v>
      </c>
      <c r="I2745" s="16" t="str">
        <f t="shared" si="42"/>
        <v>Normal</v>
      </c>
      <c r="J2745">
        <v>2</v>
      </c>
    </row>
    <row r="2746" spans="1:10">
      <c r="A2746" t="s">
        <v>5134</v>
      </c>
      <c r="B2746" t="s">
        <v>1511</v>
      </c>
      <c r="C2746" t="s">
        <v>2244</v>
      </c>
      <c r="D2746" s="9">
        <v>45485</v>
      </c>
      <c r="E2746" t="s">
        <v>2337</v>
      </c>
      <c r="G2746" t="s">
        <v>2331</v>
      </c>
      <c r="H2746">
        <v>1200</v>
      </c>
      <c r="I2746" s="16" t="str">
        <f t="shared" si="42"/>
        <v>Normal</v>
      </c>
      <c r="J2746" t="s">
        <v>39</v>
      </c>
    </row>
    <row r="2747" spans="1:10">
      <c r="A2747" t="s">
        <v>5135</v>
      </c>
      <c r="B2747" t="s">
        <v>1853</v>
      </c>
      <c r="C2747" t="s">
        <v>2228</v>
      </c>
      <c r="D2747" s="9">
        <v>45980</v>
      </c>
      <c r="E2747" t="s">
        <v>2337</v>
      </c>
      <c r="F2747" s="20">
        <v>5</v>
      </c>
      <c r="G2747" t="s">
        <v>2328</v>
      </c>
      <c r="H2747">
        <v>799</v>
      </c>
      <c r="I2747" s="16" t="str">
        <f t="shared" si="42"/>
        <v>Normal</v>
      </c>
      <c r="J2747">
        <v>4</v>
      </c>
    </row>
    <row r="2748" spans="1:10">
      <c r="A2748" t="s">
        <v>5136</v>
      </c>
      <c r="B2748" t="s">
        <v>574</v>
      </c>
      <c r="C2748" t="s">
        <v>2187</v>
      </c>
      <c r="D2748" s="9">
        <v>46166</v>
      </c>
      <c r="E2748" t="s">
        <v>2330</v>
      </c>
      <c r="F2748" s="20">
        <v>100</v>
      </c>
      <c r="G2748" t="s">
        <v>2331</v>
      </c>
      <c r="H2748">
        <v>799</v>
      </c>
      <c r="I2748" s="16" t="str">
        <f t="shared" si="42"/>
        <v>Normal</v>
      </c>
      <c r="J2748">
        <v>2</v>
      </c>
    </row>
    <row r="2749" spans="1:10">
      <c r="A2749" t="s">
        <v>5137</v>
      </c>
      <c r="B2749" t="s">
        <v>34</v>
      </c>
      <c r="C2749" t="s">
        <v>2187</v>
      </c>
      <c r="D2749" s="9">
        <v>45879</v>
      </c>
      <c r="E2749" t="s">
        <v>2330</v>
      </c>
      <c r="F2749" s="20">
        <v>100</v>
      </c>
      <c r="G2749" t="s">
        <v>2331</v>
      </c>
      <c r="H2749">
        <v>799</v>
      </c>
      <c r="I2749" s="16" t="str">
        <f t="shared" si="42"/>
        <v>Normal</v>
      </c>
      <c r="J2749" t="s">
        <v>39</v>
      </c>
    </row>
    <row r="2750" spans="1:10">
      <c r="A2750" t="s">
        <v>5138</v>
      </c>
      <c r="B2750" t="s">
        <v>1827</v>
      </c>
      <c r="C2750" t="s">
        <v>2205</v>
      </c>
      <c r="D2750" s="9">
        <v>45119</v>
      </c>
      <c r="E2750" t="s">
        <v>23</v>
      </c>
      <c r="G2750" t="s">
        <v>2339</v>
      </c>
      <c r="H2750">
        <v>1328.94</v>
      </c>
      <c r="I2750" s="16" t="str">
        <f t="shared" si="42"/>
        <v>Normal</v>
      </c>
      <c r="J2750" t="s">
        <v>39</v>
      </c>
    </row>
    <row r="2751" spans="1:10">
      <c r="A2751" t="s">
        <v>5139</v>
      </c>
      <c r="B2751" t="s">
        <v>574</v>
      </c>
      <c r="C2751" t="s">
        <v>2187</v>
      </c>
      <c r="D2751" s="9">
        <v>45869</v>
      </c>
      <c r="E2751" t="s">
        <v>23</v>
      </c>
      <c r="G2751" t="s">
        <v>23</v>
      </c>
      <c r="H2751">
        <v>799</v>
      </c>
      <c r="I2751" s="16" t="str">
        <f t="shared" si="42"/>
        <v>Normal</v>
      </c>
      <c r="J2751">
        <v>2</v>
      </c>
    </row>
    <row r="2752" spans="1:10">
      <c r="A2752" t="s">
        <v>5140</v>
      </c>
      <c r="B2752" t="s">
        <v>510</v>
      </c>
      <c r="C2752" t="s">
        <v>2218</v>
      </c>
      <c r="D2752" s="9">
        <v>45326</v>
      </c>
      <c r="E2752" t="s">
        <v>23</v>
      </c>
      <c r="G2752" t="s">
        <v>2331</v>
      </c>
      <c r="I2752" s="16" t="str">
        <f t="shared" si="42"/>
        <v>Unknown</v>
      </c>
      <c r="J2752" t="s">
        <v>39</v>
      </c>
    </row>
    <row r="2753" spans="1:10">
      <c r="A2753" t="s">
        <v>5141</v>
      </c>
      <c r="B2753" t="s">
        <v>362</v>
      </c>
      <c r="C2753" t="s">
        <v>2222</v>
      </c>
      <c r="D2753" s="9">
        <v>45883</v>
      </c>
      <c r="E2753" t="s">
        <v>2327</v>
      </c>
      <c r="F2753" s="20">
        <v>0</v>
      </c>
      <c r="G2753" t="s">
        <v>2345</v>
      </c>
      <c r="H2753">
        <v>0</v>
      </c>
      <c r="I2753" s="16" t="str">
        <f t="shared" si="42"/>
        <v>Zero Amount</v>
      </c>
      <c r="J2753">
        <v>3</v>
      </c>
    </row>
    <row r="2754" spans="1:10">
      <c r="A2754" t="s">
        <v>5142</v>
      </c>
      <c r="B2754" t="s">
        <v>578</v>
      </c>
      <c r="C2754" t="s">
        <v>2273</v>
      </c>
      <c r="D2754" s="9">
        <v>45421</v>
      </c>
      <c r="E2754" t="s">
        <v>2337</v>
      </c>
      <c r="F2754" s="20">
        <v>0</v>
      </c>
      <c r="G2754" t="s">
        <v>2345</v>
      </c>
      <c r="H2754">
        <v>799</v>
      </c>
      <c r="I2754" s="16" t="str">
        <f t="shared" si="42"/>
        <v>Normal</v>
      </c>
      <c r="J2754">
        <v>4</v>
      </c>
    </row>
    <row r="2755" spans="1:10">
      <c r="A2755" t="s">
        <v>5143</v>
      </c>
      <c r="B2755" t="s">
        <v>678</v>
      </c>
      <c r="C2755" t="s">
        <v>2264</v>
      </c>
      <c r="D2755" s="9">
        <v>45507</v>
      </c>
      <c r="E2755" t="s">
        <v>2330</v>
      </c>
      <c r="G2755" t="s">
        <v>2331</v>
      </c>
      <c r="H2755">
        <v>-2500</v>
      </c>
      <c r="I2755" s="16" t="str">
        <f t="shared" ref="I2755:I2818" si="43">IF(H2755="", "Unknown", IF(H2755=0, "Zero Amount", IF(H2755&lt;1, "Review", IF(H2755&gt;1, "Normal"))))</f>
        <v>Review</v>
      </c>
      <c r="J2755" t="s">
        <v>39</v>
      </c>
    </row>
    <row r="2756" spans="1:10">
      <c r="A2756" t="s">
        <v>5144</v>
      </c>
      <c r="B2756" t="s">
        <v>1143</v>
      </c>
      <c r="C2756" t="s">
        <v>2271</v>
      </c>
      <c r="D2756" s="9">
        <v>45479</v>
      </c>
      <c r="E2756" t="s">
        <v>2330</v>
      </c>
      <c r="G2756" t="s">
        <v>2328</v>
      </c>
      <c r="H2756">
        <v>1200</v>
      </c>
      <c r="I2756" s="16" t="str">
        <f t="shared" si="43"/>
        <v>Normal</v>
      </c>
      <c r="J2756">
        <v>5</v>
      </c>
    </row>
    <row r="2757" spans="1:10">
      <c r="A2757" t="s">
        <v>5145</v>
      </c>
      <c r="B2757" t="s">
        <v>1288</v>
      </c>
      <c r="C2757" t="s">
        <v>2193</v>
      </c>
      <c r="D2757" s="9">
        <v>45964</v>
      </c>
      <c r="E2757" t="s">
        <v>2330</v>
      </c>
      <c r="F2757" s="20">
        <v>100</v>
      </c>
      <c r="G2757" t="s">
        <v>2331</v>
      </c>
      <c r="H2757">
        <v>0</v>
      </c>
      <c r="I2757" s="16" t="str">
        <f t="shared" si="43"/>
        <v>Zero Amount</v>
      </c>
      <c r="J2757">
        <v>2</v>
      </c>
    </row>
    <row r="2758" spans="1:10">
      <c r="A2758" t="s">
        <v>5146</v>
      </c>
      <c r="B2758" t="s">
        <v>1624</v>
      </c>
      <c r="C2758" t="s">
        <v>2231</v>
      </c>
      <c r="D2758" s="9">
        <v>45454</v>
      </c>
      <c r="E2758" t="s">
        <v>2330</v>
      </c>
      <c r="G2758" t="s">
        <v>2328</v>
      </c>
      <c r="I2758" s="16" t="str">
        <f t="shared" si="43"/>
        <v>Unknown</v>
      </c>
      <c r="J2758">
        <v>1</v>
      </c>
    </row>
    <row r="2759" spans="1:10">
      <c r="A2759" t="s">
        <v>5147</v>
      </c>
      <c r="B2759" t="s">
        <v>1245</v>
      </c>
      <c r="C2759" t="s">
        <v>2251</v>
      </c>
      <c r="D2759" s="9">
        <v>45711</v>
      </c>
      <c r="E2759" t="s">
        <v>2337</v>
      </c>
      <c r="F2759" s="20">
        <v>5</v>
      </c>
      <c r="G2759" t="s">
        <v>23</v>
      </c>
      <c r="H2759">
        <v>1500</v>
      </c>
      <c r="I2759" s="16" t="str">
        <f t="shared" si="43"/>
        <v>Normal</v>
      </c>
      <c r="J2759">
        <v>1</v>
      </c>
    </row>
    <row r="2760" spans="1:10">
      <c r="A2760" t="s">
        <v>5148</v>
      </c>
      <c r="B2760" t="s">
        <v>1967</v>
      </c>
      <c r="C2760" t="s">
        <v>2241</v>
      </c>
      <c r="D2760" s="9">
        <v>45316</v>
      </c>
      <c r="E2760" t="s">
        <v>23</v>
      </c>
      <c r="G2760" t="s">
        <v>2325</v>
      </c>
      <c r="H2760">
        <v>2500</v>
      </c>
      <c r="I2760" s="16" t="str">
        <f t="shared" si="43"/>
        <v>Normal</v>
      </c>
      <c r="J2760">
        <v>4</v>
      </c>
    </row>
    <row r="2761" spans="1:10">
      <c r="A2761" t="s">
        <v>5149</v>
      </c>
      <c r="B2761" t="s">
        <v>309</v>
      </c>
      <c r="C2761" t="s">
        <v>2213</v>
      </c>
      <c r="D2761" s="9">
        <v>45598</v>
      </c>
      <c r="E2761" t="s">
        <v>2330</v>
      </c>
      <c r="F2761" s="20">
        <v>100</v>
      </c>
      <c r="G2761" t="s">
        <v>2339</v>
      </c>
      <c r="H2761">
        <v>877.29</v>
      </c>
      <c r="I2761" s="16" t="str">
        <f t="shared" si="43"/>
        <v>Normal</v>
      </c>
      <c r="J2761">
        <v>4</v>
      </c>
    </row>
    <row r="2762" spans="1:10">
      <c r="A2762" t="s">
        <v>5150</v>
      </c>
      <c r="B2762" t="s">
        <v>34</v>
      </c>
      <c r="C2762" t="s">
        <v>2187</v>
      </c>
      <c r="D2762" s="9">
        <v>45649</v>
      </c>
      <c r="E2762" t="s">
        <v>2324</v>
      </c>
      <c r="G2762" t="s">
        <v>2345</v>
      </c>
      <c r="H2762">
        <v>799</v>
      </c>
      <c r="I2762" s="16" t="str">
        <f t="shared" si="43"/>
        <v>Normal</v>
      </c>
      <c r="J2762">
        <v>1</v>
      </c>
    </row>
    <row r="2763" spans="1:10">
      <c r="A2763" t="s">
        <v>5151</v>
      </c>
      <c r="B2763" t="s">
        <v>1065</v>
      </c>
      <c r="C2763" t="s">
        <v>2237</v>
      </c>
      <c r="D2763" s="9">
        <v>46036</v>
      </c>
      <c r="E2763" t="s">
        <v>2330</v>
      </c>
      <c r="G2763" t="s">
        <v>2331</v>
      </c>
      <c r="H2763">
        <v>1500</v>
      </c>
      <c r="I2763" s="16" t="str">
        <f t="shared" si="43"/>
        <v>Normal</v>
      </c>
      <c r="J2763">
        <v>5</v>
      </c>
    </row>
    <row r="2764" spans="1:10">
      <c r="A2764" t="s">
        <v>5152</v>
      </c>
      <c r="B2764" t="s">
        <v>5153</v>
      </c>
      <c r="C2764" t="s">
        <v>2249</v>
      </c>
      <c r="D2764" s="9">
        <v>45215</v>
      </c>
      <c r="E2764" t="s">
        <v>2330</v>
      </c>
      <c r="F2764" s="20">
        <v>100</v>
      </c>
      <c r="G2764" t="s">
        <v>2331</v>
      </c>
      <c r="H2764">
        <v>1500</v>
      </c>
      <c r="I2764" s="16" t="str">
        <f t="shared" si="43"/>
        <v>Normal</v>
      </c>
      <c r="J2764">
        <v>5</v>
      </c>
    </row>
    <row r="2765" spans="1:10">
      <c r="A2765" t="s">
        <v>5154</v>
      </c>
      <c r="B2765" t="s">
        <v>485</v>
      </c>
      <c r="C2765" t="s">
        <v>2261</v>
      </c>
      <c r="D2765" s="9">
        <v>45364</v>
      </c>
      <c r="E2765" t="s">
        <v>2330</v>
      </c>
      <c r="G2765" t="s">
        <v>2331</v>
      </c>
      <c r="I2765" s="16" t="str">
        <f t="shared" si="43"/>
        <v>Unknown</v>
      </c>
      <c r="J2765">
        <v>5</v>
      </c>
    </row>
    <row r="2766" spans="1:10">
      <c r="A2766" t="s">
        <v>5155</v>
      </c>
      <c r="B2766" t="s">
        <v>940</v>
      </c>
      <c r="C2766" t="s">
        <v>2244</v>
      </c>
      <c r="D2766" s="9">
        <v>45454</v>
      </c>
      <c r="E2766" t="s">
        <v>2330</v>
      </c>
      <c r="G2766" t="s">
        <v>2331</v>
      </c>
      <c r="H2766">
        <v>1200</v>
      </c>
      <c r="I2766" s="16" t="str">
        <f t="shared" si="43"/>
        <v>Normal</v>
      </c>
      <c r="J2766">
        <v>2</v>
      </c>
    </row>
    <row r="2767" spans="1:10">
      <c r="A2767" t="s">
        <v>5156</v>
      </c>
      <c r="B2767" t="s">
        <v>989</v>
      </c>
      <c r="C2767" t="s">
        <v>2235</v>
      </c>
      <c r="D2767" s="9">
        <v>45623</v>
      </c>
      <c r="E2767" t="s">
        <v>2330</v>
      </c>
      <c r="F2767" s="20">
        <v>100</v>
      </c>
      <c r="G2767" t="s">
        <v>23</v>
      </c>
      <c r="H2767">
        <v>3000</v>
      </c>
      <c r="I2767" s="16" t="str">
        <f t="shared" si="43"/>
        <v>Normal</v>
      </c>
      <c r="J2767">
        <v>3</v>
      </c>
    </row>
    <row r="2768" spans="1:10">
      <c r="A2768" t="s">
        <v>5157</v>
      </c>
      <c r="B2768" t="s">
        <v>510</v>
      </c>
      <c r="C2768" t="s">
        <v>2244</v>
      </c>
      <c r="D2768" s="9">
        <v>45888</v>
      </c>
      <c r="E2768" t="s">
        <v>2324</v>
      </c>
      <c r="F2768" s="20">
        <v>10</v>
      </c>
      <c r="G2768" t="s">
        <v>2345</v>
      </c>
      <c r="H2768">
        <v>1200</v>
      </c>
      <c r="I2768" s="16" t="str">
        <f t="shared" si="43"/>
        <v>Normal</v>
      </c>
      <c r="J2768">
        <v>4</v>
      </c>
    </row>
    <row r="2769" spans="1:10">
      <c r="A2769" t="s">
        <v>5158</v>
      </c>
      <c r="B2769" t="s">
        <v>2084</v>
      </c>
      <c r="C2769" t="s">
        <v>2225</v>
      </c>
      <c r="D2769" s="9">
        <v>45612</v>
      </c>
      <c r="E2769" t="s">
        <v>2330</v>
      </c>
      <c r="F2769" s="20">
        <v>100</v>
      </c>
      <c r="G2769" t="s">
        <v>2328</v>
      </c>
      <c r="I2769" s="16" t="str">
        <f t="shared" si="43"/>
        <v>Unknown</v>
      </c>
      <c r="J2769" t="s">
        <v>39</v>
      </c>
    </row>
    <row r="2770" spans="1:10">
      <c r="A2770" t="s">
        <v>5159</v>
      </c>
      <c r="B2770" t="s">
        <v>1831</v>
      </c>
      <c r="C2770" t="s">
        <v>2187</v>
      </c>
      <c r="D2770" s="9">
        <v>46162</v>
      </c>
      <c r="E2770" t="s">
        <v>2330</v>
      </c>
      <c r="G2770" t="s">
        <v>2328</v>
      </c>
      <c r="H2770">
        <v>799</v>
      </c>
      <c r="I2770" s="16" t="str">
        <f t="shared" si="43"/>
        <v>Normal</v>
      </c>
      <c r="J2770">
        <v>5</v>
      </c>
    </row>
    <row r="2771" spans="1:10">
      <c r="A2771" t="s">
        <v>5160</v>
      </c>
      <c r="B2771" t="s">
        <v>1960</v>
      </c>
      <c r="C2771" t="s">
        <v>2259</v>
      </c>
      <c r="D2771" s="9">
        <v>45207</v>
      </c>
      <c r="E2771" t="s">
        <v>2324</v>
      </c>
      <c r="F2771" s="20">
        <v>55</v>
      </c>
      <c r="G2771" t="s">
        <v>2339</v>
      </c>
      <c r="H2771">
        <v>0</v>
      </c>
      <c r="I2771" s="16" t="str">
        <f t="shared" si="43"/>
        <v>Zero Amount</v>
      </c>
      <c r="J2771" t="s">
        <v>39</v>
      </c>
    </row>
    <row r="2772" spans="1:10">
      <c r="A2772" t="s">
        <v>5161</v>
      </c>
      <c r="B2772" t="s">
        <v>1380</v>
      </c>
      <c r="C2772" t="s">
        <v>2261</v>
      </c>
      <c r="D2772" s="9">
        <v>45820</v>
      </c>
      <c r="E2772" t="s">
        <v>2327</v>
      </c>
      <c r="F2772" s="20">
        <v>5</v>
      </c>
      <c r="G2772" t="s">
        <v>2345</v>
      </c>
      <c r="I2772" s="16" t="str">
        <f t="shared" si="43"/>
        <v>Unknown</v>
      </c>
      <c r="J2772">
        <v>5</v>
      </c>
    </row>
    <row r="2773" spans="1:10">
      <c r="A2773" t="s">
        <v>5162</v>
      </c>
      <c r="B2773" t="s">
        <v>445</v>
      </c>
      <c r="C2773" t="s">
        <v>2241</v>
      </c>
      <c r="D2773" s="9">
        <v>45851</v>
      </c>
      <c r="E2773" t="s">
        <v>2327</v>
      </c>
      <c r="F2773" s="20">
        <v>5</v>
      </c>
      <c r="G2773" t="s">
        <v>2328</v>
      </c>
      <c r="H2773">
        <v>2500</v>
      </c>
      <c r="I2773" s="16" t="str">
        <f t="shared" si="43"/>
        <v>Normal</v>
      </c>
      <c r="J2773">
        <v>3</v>
      </c>
    </row>
    <row r="2774" spans="1:10">
      <c r="A2774" t="s">
        <v>5163</v>
      </c>
      <c r="B2774" t="s">
        <v>1890</v>
      </c>
      <c r="C2774" t="s">
        <v>2241</v>
      </c>
      <c r="D2774" s="9">
        <v>46094</v>
      </c>
      <c r="E2774" t="s">
        <v>2337</v>
      </c>
      <c r="G2774" t="s">
        <v>2328</v>
      </c>
      <c r="H2774">
        <v>2500</v>
      </c>
      <c r="I2774" s="16" t="str">
        <f t="shared" si="43"/>
        <v>Normal</v>
      </c>
      <c r="J2774">
        <v>2</v>
      </c>
    </row>
    <row r="2775" spans="1:10">
      <c r="A2775" t="s">
        <v>5164</v>
      </c>
      <c r="B2775" t="s">
        <v>5165</v>
      </c>
      <c r="C2775" t="s">
        <v>2273</v>
      </c>
      <c r="D2775" s="9">
        <v>45424</v>
      </c>
      <c r="E2775" t="s">
        <v>23</v>
      </c>
      <c r="G2775" t="s">
        <v>2328</v>
      </c>
      <c r="H2775">
        <v>799</v>
      </c>
      <c r="I2775" s="16" t="str">
        <f t="shared" si="43"/>
        <v>Normal</v>
      </c>
      <c r="J2775">
        <v>5</v>
      </c>
    </row>
    <row r="2776" spans="1:10">
      <c r="A2776" t="s">
        <v>5166</v>
      </c>
      <c r="B2776" t="s">
        <v>1061</v>
      </c>
      <c r="C2776" t="s">
        <v>2225</v>
      </c>
      <c r="D2776" s="9">
        <v>45405</v>
      </c>
      <c r="E2776" t="s">
        <v>2330</v>
      </c>
      <c r="F2776" s="20">
        <v>100</v>
      </c>
      <c r="G2776" t="s">
        <v>2345</v>
      </c>
      <c r="I2776" s="16" t="str">
        <f t="shared" si="43"/>
        <v>Unknown</v>
      </c>
      <c r="J2776">
        <v>5</v>
      </c>
    </row>
    <row r="2777" spans="1:10">
      <c r="A2777" t="s">
        <v>5167</v>
      </c>
      <c r="B2777" t="s">
        <v>2119</v>
      </c>
      <c r="C2777" t="s">
        <v>2225</v>
      </c>
      <c r="D2777" s="9">
        <v>45762</v>
      </c>
      <c r="E2777" t="s">
        <v>23</v>
      </c>
      <c r="G2777" t="s">
        <v>2325</v>
      </c>
      <c r="I2777" s="16" t="str">
        <f t="shared" si="43"/>
        <v>Unknown</v>
      </c>
      <c r="J2777">
        <v>3</v>
      </c>
    </row>
    <row r="2778" spans="1:10">
      <c r="A2778" t="s">
        <v>5168</v>
      </c>
      <c r="B2778" t="s">
        <v>1343</v>
      </c>
      <c r="C2778" t="s">
        <v>2251</v>
      </c>
      <c r="D2778" s="9">
        <v>45509</v>
      </c>
      <c r="E2778" t="s">
        <v>2324</v>
      </c>
      <c r="F2778" s="20">
        <v>55</v>
      </c>
      <c r="G2778" t="s">
        <v>2331</v>
      </c>
      <c r="H2778">
        <v>1500</v>
      </c>
      <c r="I2778" s="16" t="str">
        <f t="shared" si="43"/>
        <v>Normal</v>
      </c>
      <c r="J2778">
        <v>3</v>
      </c>
    </row>
    <row r="2779" spans="1:10">
      <c r="A2779" t="s">
        <v>5169</v>
      </c>
      <c r="B2779" t="s">
        <v>1492</v>
      </c>
      <c r="C2779" t="s">
        <v>2251</v>
      </c>
      <c r="D2779" s="9">
        <v>45209</v>
      </c>
      <c r="E2779" t="s">
        <v>23</v>
      </c>
      <c r="G2779" t="s">
        <v>23</v>
      </c>
      <c r="H2779">
        <v>-1500</v>
      </c>
      <c r="I2779" s="16" t="str">
        <f t="shared" si="43"/>
        <v>Review</v>
      </c>
      <c r="J2779">
        <v>2</v>
      </c>
    </row>
    <row r="2780" spans="1:10">
      <c r="A2780" t="s">
        <v>5170</v>
      </c>
      <c r="B2780" t="s">
        <v>1054</v>
      </c>
      <c r="C2780" t="s">
        <v>2198</v>
      </c>
      <c r="D2780" s="9">
        <v>45799</v>
      </c>
      <c r="E2780" t="s">
        <v>2324</v>
      </c>
      <c r="F2780" s="20">
        <v>75</v>
      </c>
      <c r="G2780" t="s">
        <v>2328</v>
      </c>
      <c r="I2780" s="16" t="str">
        <f t="shared" si="43"/>
        <v>Unknown</v>
      </c>
      <c r="J2780">
        <v>2</v>
      </c>
    </row>
    <row r="2781" spans="1:10">
      <c r="A2781" t="s">
        <v>5171</v>
      </c>
      <c r="B2781" t="s">
        <v>615</v>
      </c>
      <c r="C2781" t="s">
        <v>2233</v>
      </c>
      <c r="D2781" s="9">
        <v>45400</v>
      </c>
      <c r="E2781" t="s">
        <v>2324</v>
      </c>
      <c r="G2781" t="s">
        <v>2331</v>
      </c>
      <c r="H2781">
        <v>-2500</v>
      </c>
      <c r="I2781" s="16" t="str">
        <f t="shared" si="43"/>
        <v>Review</v>
      </c>
      <c r="J2781" t="s">
        <v>39</v>
      </c>
    </row>
    <row r="2782" spans="1:10">
      <c r="A2782" t="s">
        <v>5172</v>
      </c>
      <c r="B2782" t="s">
        <v>1827</v>
      </c>
      <c r="C2782" t="s">
        <v>2233</v>
      </c>
      <c r="D2782" s="9">
        <v>45502</v>
      </c>
      <c r="E2782" t="s">
        <v>2324</v>
      </c>
      <c r="F2782" s="20">
        <v>25</v>
      </c>
      <c r="G2782" t="s">
        <v>2331</v>
      </c>
      <c r="H2782">
        <v>1728.2</v>
      </c>
      <c r="I2782" s="16" t="str">
        <f t="shared" si="43"/>
        <v>Normal</v>
      </c>
      <c r="J2782">
        <v>2</v>
      </c>
    </row>
    <row r="2783" spans="1:10">
      <c r="A2783" t="s">
        <v>5173</v>
      </c>
      <c r="B2783" t="s">
        <v>1203</v>
      </c>
      <c r="C2783" t="s">
        <v>2198</v>
      </c>
      <c r="D2783" s="9">
        <v>46110</v>
      </c>
      <c r="E2783" t="s">
        <v>2337</v>
      </c>
      <c r="F2783" s="20">
        <v>15</v>
      </c>
      <c r="G2783" t="s">
        <v>23</v>
      </c>
      <c r="I2783" s="16" t="str">
        <f t="shared" si="43"/>
        <v>Unknown</v>
      </c>
      <c r="J2783" t="s">
        <v>39</v>
      </c>
    </row>
    <row r="2784" spans="1:10">
      <c r="A2784" t="s">
        <v>5174</v>
      </c>
      <c r="B2784" t="s">
        <v>1963</v>
      </c>
      <c r="C2784" t="s">
        <v>2249</v>
      </c>
      <c r="D2784" s="9">
        <v>45219</v>
      </c>
      <c r="E2784" t="s">
        <v>2330</v>
      </c>
      <c r="F2784" s="20">
        <v>100</v>
      </c>
      <c r="G2784" t="s">
        <v>2345</v>
      </c>
      <c r="H2784">
        <v>1500</v>
      </c>
      <c r="I2784" s="16" t="str">
        <f t="shared" si="43"/>
        <v>Normal</v>
      </c>
      <c r="J2784" t="s">
        <v>39</v>
      </c>
    </row>
    <row r="2785" spans="1:10">
      <c r="A2785" t="s">
        <v>5175</v>
      </c>
      <c r="B2785" t="s">
        <v>2091</v>
      </c>
      <c r="C2785" t="s">
        <v>2213</v>
      </c>
      <c r="D2785" s="9">
        <v>45245</v>
      </c>
      <c r="E2785" t="s">
        <v>2327</v>
      </c>
      <c r="F2785" s="20">
        <v>0</v>
      </c>
      <c r="G2785" t="s">
        <v>2325</v>
      </c>
      <c r="H2785">
        <v>1500</v>
      </c>
      <c r="I2785" s="16" t="str">
        <f t="shared" si="43"/>
        <v>Normal</v>
      </c>
      <c r="J2785" t="s">
        <v>39</v>
      </c>
    </row>
    <row r="2786" spans="1:10">
      <c r="A2786" t="s">
        <v>5176</v>
      </c>
      <c r="B2786" t="s">
        <v>184</v>
      </c>
      <c r="C2786" t="s">
        <v>2198</v>
      </c>
      <c r="D2786" s="9">
        <v>45919</v>
      </c>
      <c r="E2786" t="s">
        <v>2324</v>
      </c>
      <c r="F2786" s="20">
        <v>60</v>
      </c>
      <c r="G2786" t="s">
        <v>2339</v>
      </c>
      <c r="I2786" s="16" t="str">
        <f t="shared" si="43"/>
        <v>Unknown</v>
      </c>
      <c r="J2786">
        <v>5</v>
      </c>
    </row>
    <row r="2787" spans="1:10">
      <c r="A2787" t="s">
        <v>5177</v>
      </c>
      <c r="B2787" t="s">
        <v>675</v>
      </c>
      <c r="C2787" t="s">
        <v>2273</v>
      </c>
      <c r="D2787" s="9">
        <v>45571</v>
      </c>
      <c r="E2787" t="s">
        <v>2327</v>
      </c>
      <c r="F2787" s="20">
        <v>5</v>
      </c>
      <c r="G2787" t="s">
        <v>2325</v>
      </c>
      <c r="H2787">
        <v>799</v>
      </c>
      <c r="I2787" s="16" t="str">
        <f t="shared" si="43"/>
        <v>Normal</v>
      </c>
      <c r="J2787">
        <v>5</v>
      </c>
    </row>
    <row r="2788" spans="1:10">
      <c r="A2788" t="s">
        <v>5178</v>
      </c>
      <c r="B2788" t="s">
        <v>1158</v>
      </c>
      <c r="C2788" t="s">
        <v>2261</v>
      </c>
      <c r="D2788" s="9">
        <v>45947</v>
      </c>
      <c r="E2788" t="s">
        <v>2327</v>
      </c>
      <c r="F2788" s="20">
        <v>20</v>
      </c>
      <c r="G2788" t="s">
        <v>2345</v>
      </c>
      <c r="I2788" s="16" t="str">
        <f t="shared" si="43"/>
        <v>Unknown</v>
      </c>
      <c r="J2788">
        <v>4</v>
      </c>
    </row>
    <row r="2789" spans="1:10">
      <c r="A2789" t="s">
        <v>5179</v>
      </c>
      <c r="B2789" t="s">
        <v>2097</v>
      </c>
      <c r="C2789" t="s">
        <v>2251</v>
      </c>
      <c r="D2789" s="9">
        <v>45551</v>
      </c>
      <c r="E2789" t="s">
        <v>2330</v>
      </c>
      <c r="G2789" t="s">
        <v>2345</v>
      </c>
      <c r="I2789" s="16" t="str">
        <f t="shared" si="43"/>
        <v>Unknown</v>
      </c>
      <c r="J2789">
        <v>4</v>
      </c>
    </row>
    <row r="2790" spans="1:10">
      <c r="A2790" t="s">
        <v>5180</v>
      </c>
      <c r="B2790" t="s">
        <v>5181</v>
      </c>
      <c r="C2790" t="s">
        <v>2264</v>
      </c>
      <c r="D2790" s="9">
        <v>45264</v>
      </c>
      <c r="E2790" t="s">
        <v>2330</v>
      </c>
      <c r="F2790" s="20">
        <v>100</v>
      </c>
      <c r="G2790" t="s">
        <v>2325</v>
      </c>
      <c r="H2790">
        <v>2500</v>
      </c>
      <c r="I2790" s="16" t="str">
        <f t="shared" si="43"/>
        <v>Normal</v>
      </c>
      <c r="J2790">
        <v>2</v>
      </c>
    </row>
    <row r="2791" spans="1:10">
      <c r="A2791" t="s">
        <v>5182</v>
      </c>
      <c r="B2791" t="s">
        <v>758</v>
      </c>
      <c r="C2791" t="s">
        <v>2273</v>
      </c>
      <c r="D2791" s="9">
        <v>44969</v>
      </c>
      <c r="E2791" t="s">
        <v>2330</v>
      </c>
      <c r="F2791" s="20">
        <v>100</v>
      </c>
      <c r="G2791" t="s">
        <v>2331</v>
      </c>
      <c r="H2791">
        <v>799</v>
      </c>
      <c r="I2791" s="16" t="str">
        <f t="shared" si="43"/>
        <v>Normal</v>
      </c>
      <c r="J2791" t="s">
        <v>39</v>
      </c>
    </row>
    <row r="2792" spans="1:10">
      <c r="A2792" t="s">
        <v>5183</v>
      </c>
      <c r="B2792" t="s">
        <v>842</v>
      </c>
      <c r="C2792" t="s">
        <v>2235</v>
      </c>
      <c r="D2792" s="9">
        <v>45425</v>
      </c>
      <c r="E2792" t="s">
        <v>2330</v>
      </c>
      <c r="F2792" s="20">
        <v>100</v>
      </c>
      <c r="G2792" t="s">
        <v>2328</v>
      </c>
      <c r="H2792">
        <v>3000</v>
      </c>
      <c r="I2792" s="16" t="str">
        <f t="shared" si="43"/>
        <v>Normal</v>
      </c>
      <c r="J2792">
        <v>3</v>
      </c>
    </row>
    <row r="2793" spans="1:10">
      <c r="A2793" t="s">
        <v>5184</v>
      </c>
      <c r="B2793" t="s">
        <v>1492</v>
      </c>
      <c r="C2793" t="s">
        <v>2259</v>
      </c>
      <c r="D2793" s="9">
        <v>45317</v>
      </c>
      <c r="E2793" t="s">
        <v>2324</v>
      </c>
      <c r="F2793" s="20">
        <v>40</v>
      </c>
      <c r="G2793" t="s">
        <v>2328</v>
      </c>
      <c r="H2793">
        <v>0</v>
      </c>
      <c r="I2793" s="16" t="str">
        <f t="shared" si="43"/>
        <v>Zero Amount</v>
      </c>
      <c r="J2793">
        <v>3</v>
      </c>
    </row>
    <row r="2794" spans="1:10">
      <c r="A2794" t="s">
        <v>5185</v>
      </c>
      <c r="B2794" t="s">
        <v>95</v>
      </c>
      <c r="C2794" t="s">
        <v>2228</v>
      </c>
      <c r="D2794" s="9">
        <v>45194</v>
      </c>
      <c r="E2794" t="s">
        <v>2327</v>
      </c>
      <c r="F2794" s="20">
        <v>20</v>
      </c>
      <c r="G2794" t="s">
        <v>2328</v>
      </c>
      <c r="H2794">
        <v>799</v>
      </c>
      <c r="I2794" s="16" t="str">
        <f t="shared" si="43"/>
        <v>Normal</v>
      </c>
      <c r="J2794" t="s">
        <v>39</v>
      </c>
    </row>
    <row r="2795" spans="1:10">
      <c r="A2795" t="s">
        <v>5186</v>
      </c>
      <c r="B2795" t="s">
        <v>1798</v>
      </c>
      <c r="C2795" t="s">
        <v>2269</v>
      </c>
      <c r="D2795" s="9">
        <v>45366</v>
      </c>
      <c r="E2795" t="s">
        <v>2337</v>
      </c>
      <c r="F2795" s="20">
        <v>5</v>
      </c>
      <c r="G2795" t="s">
        <v>2331</v>
      </c>
      <c r="H2795">
        <v>499</v>
      </c>
      <c r="I2795" s="16" t="str">
        <f t="shared" si="43"/>
        <v>Normal</v>
      </c>
      <c r="J2795">
        <v>5</v>
      </c>
    </row>
    <row r="2796" spans="1:10">
      <c r="A2796" t="s">
        <v>5187</v>
      </c>
      <c r="B2796" t="s">
        <v>795</v>
      </c>
      <c r="C2796" t="s">
        <v>2231</v>
      </c>
      <c r="D2796" s="9">
        <v>45725</v>
      </c>
      <c r="E2796" t="s">
        <v>2330</v>
      </c>
      <c r="G2796" t="s">
        <v>2331</v>
      </c>
      <c r="H2796">
        <v>3000</v>
      </c>
      <c r="I2796" s="16" t="str">
        <f t="shared" si="43"/>
        <v>Normal</v>
      </c>
      <c r="J2796">
        <v>4</v>
      </c>
    </row>
    <row r="2797" spans="1:10">
      <c r="A2797" t="s">
        <v>5188</v>
      </c>
      <c r="B2797" t="s">
        <v>1798</v>
      </c>
      <c r="C2797" t="s">
        <v>2257</v>
      </c>
      <c r="D2797" s="9">
        <v>45934</v>
      </c>
      <c r="E2797" t="s">
        <v>2324</v>
      </c>
      <c r="F2797" s="20">
        <v>55</v>
      </c>
      <c r="G2797" t="s">
        <v>2339</v>
      </c>
      <c r="I2797" s="16" t="str">
        <f t="shared" si="43"/>
        <v>Unknown</v>
      </c>
      <c r="J2797">
        <v>5</v>
      </c>
    </row>
    <row r="2798" spans="1:10">
      <c r="A2798" t="s">
        <v>5189</v>
      </c>
      <c r="B2798" t="s">
        <v>1860</v>
      </c>
      <c r="C2798" t="s">
        <v>2228</v>
      </c>
      <c r="D2798" s="9">
        <v>45383</v>
      </c>
      <c r="E2798" t="s">
        <v>2330</v>
      </c>
      <c r="F2798" s="20">
        <v>100</v>
      </c>
      <c r="G2798" t="s">
        <v>2331</v>
      </c>
      <c r="H2798">
        <v>799</v>
      </c>
      <c r="I2798" s="16" t="str">
        <f t="shared" si="43"/>
        <v>Normal</v>
      </c>
      <c r="J2798" t="s">
        <v>39</v>
      </c>
    </row>
    <row r="2799" spans="1:10">
      <c r="A2799" t="s">
        <v>5190</v>
      </c>
      <c r="B2799" t="s">
        <v>1214</v>
      </c>
      <c r="C2799" t="s">
        <v>2259</v>
      </c>
      <c r="D2799" s="9">
        <v>45680</v>
      </c>
      <c r="E2799" t="s">
        <v>2330</v>
      </c>
      <c r="F2799" s="20">
        <v>100</v>
      </c>
      <c r="G2799" t="s">
        <v>2345</v>
      </c>
      <c r="H2799">
        <v>0</v>
      </c>
      <c r="I2799" s="16" t="str">
        <f t="shared" si="43"/>
        <v>Zero Amount</v>
      </c>
      <c r="J2799">
        <v>5</v>
      </c>
    </row>
    <row r="2800" spans="1:10">
      <c r="A2800" t="s">
        <v>5191</v>
      </c>
      <c r="B2800" t="s">
        <v>1845</v>
      </c>
      <c r="C2800" t="s">
        <v>2235</v>
      </c>
      <c r="D2800" s="9">
        <v>45417</v>
      </c>
      <c r="E2800" t="s">
        <v>2324</v>
      </c>
      <c r="F2800" s="20">
        <v>60</v>
      </c>
      <c r="G2800" t="s">
        <v>2339</v>
      </c>
      <c r="H2800">
        <v>3000</v>
      </c>
      <c r="I2800" s="16" t="str">
        <f t="shared" si="43"/>
        <v>Normal</v>
      </c>
      <c r="J2800" t="s">
        <v>39</v>
      </c>
    </row>
    <row r="2801" spans="1:10">
      <c r="A2801" t="s">
        <v>5192</v>
      </c>
      <c r="B2801" t="s">
        <v>1445</v>
      </c>
      <c r="C2801" t="s">
        <v>2209</v>
      </c>
      <c r="D2801" s="9">
        <v>45121</v>
      </c>
      <c r="E2801" t="s">
        <v>2330</v>
      </c>
      <c r="G2801" t="s">
        <v>2331</v>
      </c>
      <c r="H2801">
        <v>499</v>
      </c>
      <c r="I2801" s="16" t="str">
        <f t="shared" si="43"/>
        <v>Normal</v>
      </c>
      <c r="J2801">
        <v>1</v>
      </c>
    </row>
    <row r="2802" spans="1:10">
      <c r="A2802" t="s">
        <v>5193</v>
      </c>
      <c r="B2802" t="s">
        <v>1486</v>
      </c>
      <c r="C2802" t="s">
        <v>2237</v>
      </c>
      <c r="D2802" s="9">
        <v>45944</v>
      </c>
      <c r="E2802" t="s">
        <v>2330</v>
      </c>
      <c r="G2802" t="s">
        <v>2345</v>
      </c>
      <c r="H2802">
        <v>1500</v>
      </c>
      <c r="I2802" s="16" t="str">
        <f t="shared" si="43"/>
        <v>Normal</v>
      </c>
      <c r="J2802">
        <v>2</v>
      </c>
    </row>
    <row r="2803" spans="1:10">
      <c r="A2803" t="s">
        <v>5194</v>
      </c>
      <c r="B2803" t="s">
        <v>1662</v>
      </c>
      <c r="C2803" t="s">
        <v>2244</v>
      </c>
      <c r="D2803" s="9">
        <v>45172</v>
      </c>
      <c r="E2803" t="s">
        <v>2330</v>
      </c>
      <c r="F2803" s="20">
        <v>100</v>
      </c>
      <c r="G2803" t="s">
        <v>2331</v>
      </c>
      <c r="H2803">
        <v>1200</v>
      </c>
      <c r="I2803" s="16" t="str">
        <f t="shared" si="43"/>
        <v>Normal</v>
      </c>
      <c r="J2803">
        <v>5</v>
      </c>
    </row>
    <row r="2804" spans="1:10">
      <c r="A2804" t="s">
        <v>5195</v>
      </c>
      <c r="B2804" t="s">
        <v>2080</v>
      </c>
      <c r="C2804" t="s">
        <v>2257</v>
      </c>
      <c r="D2804" s="9">
        <v>45959</v>
      </c>
      <c r="E2804" t="s">
        <v>2324</v>
      </c>
      <c r="F2804" s="20">
        <v>60</v>
      </c>
      <c r="G2804" t="s">
        <v>23</v>
      </c>
      <c r="I2804" s="16" t="str">
        <f t="shared" si="43"/>
        <v>Unknown</v>
      </c>
      <c r="J2804">
        <v>5</v>
      </c>
    </row>
    <row r="2805" spans="1:10">
      <c r="A2805" t="s">
        <v>5196</v>
      </c>
      <c r="B2805" t="s">
        <v>1404</v>
      </c>
      <c r="C2805" t="s">
        <v>2228</v>
      </c>
      <c r="D2805" s="9">
        <v>45877</v>
      </c>
      <c r="E2805" t="s">
        <v>2327</v>
      </c>
      <c r="G2805" t="s">
        <v>2345</v>
      </c>
      <c r="H2805">
        <v>799</v>
      </c>
      <c r="I2805" s="16" t="str">
        <f t="shared" si="43"/>
        <v>Normal</v>
      </c>
      <c r="J2805">
        <v>2</v>
      </c>
    </row>
    <row r="2806" spans="1:10">
      <c r="A2806" t="s">
        <v>5197</v>
      </c>
      <c r="B2806" t="s">
        <v>649</v>
      </c>
      <c r="C2806" t="s">
        <v>2225</v>
      </c>
      <c r="D2806" s="9">
        <v>45442</v>
      </c>
      <c r="E2806" t="s">
        <v>2324</v>
      </c>
      <c r="F2806" s="20">
        <v>55</v>
      </c>
      <c r="G2806" t="s">
        <v>2339</v>
      </c>
      <c r="I2806" s="16" t="str">
        <f t="shared" si="43"/>
        <v>Unknown</v>
      </c>
      <c r="J2806">
        <v>2</v>
      </c>
    </row>
    <row r="2807" spans="1:10">
      <c r="A2807" t="s">
        <v>5198</v>
      </c>
      <c r="B2807" t="s">
        <v>1926</v>
      </c>
      <c r="C2807" t="s">
        <v>2261</v>
      </c>
      <c r="D2807" s="9">
        <v>46033</v>
      </c>
      <c r="E2807" t="s">
        <v>2330</v>
      </c>
      <c r="F2807" s="20">
        <v>100</v>
      </c>
      <c r="G2807" t="s">
        <v>2331</v>
      </c>
      <c r="I2807" s="16" t="str">
        <f t="shared" si="43"/>
        <v>Unknown</v>
      </c>
      <c r="J2807">
        <v>5</v>
      </c>
    </row>
    <row r="2808" spans="1:10">
      <c r="A2808" t="s">
        <v>5199</v>
      </c>
      <c r="B2808" t="s">
        <v>2108</v>
      </c>
      <c r="C2808" t="s">
        <v>2237</v>
      </c>
      <c r="D2808" s="9">
        <v>46237</v>
      </c>
      <c r="E2808" t="s">
        <v>23</v>
      </c>
      <c r="G2808" t="s">
        <v>2328</v>
      </c>
      <c r="H2808">
        <v>1500</v>
      </c>
      <c r="I2808" s="16" t="str">
        <f t="shared" si="43"/>
        <v>Normal</v>
      </c>
      <c r="J2808">
        <v>5</v>
      </c>
    </row>
    <row r="2809" spans="1:10">
      <c r="A2809" t="s">
        <v>5200</v>
      </c>
      <c r="B2809" t="s">
        <v>1207</v>
      </c>
      <c r="C2809" t="s">
        <v>2247</v>
      </c>
      <c r="D2809" s="9">
        <v>45586</v>
      </c>
      <c r="E2809" t="s">
        <v>23</v>
      </c>
      <c r="G2809" t="s">
        <v>2345</v>
      </c>
      <c r="I2809" s="16" t="str">
        <f t="shared" si="43"/>
        <v>Unknown</v>
      </c>
      <c r="J2809" t="s">
        <v>39</v>
      </c>
    </row>
    <row r="2810" spans="1:10">
      <c r="A2810" t="s">
        <v>5201</v>
      </c>
      <c r="B2810" t="s">
        <v>1004</v>
      </c>
      <c r="C2810" t="s">
        <v>2251</v>
      </c>
      <c r="D2810" s="9">
        <v>46067</v>
      </c>
      <c r="E2810" t="s">
        <v>2330</v>
      </c>
      <c r="F2810" s="20">
        <v>100</v>
      </c>
      <c r="G2810" t="s">
        <v>2328</v>
      </c>
      <c r="H2810">
        <v>1500</v>
      </c>
      <c r="I2810" s="16" t="str">
        <f t="shared" si="43"/>
        <v>Normal</v>
      </c>
      <c r="J2810">
        <v>2</v>
      </c>
    </row>
    <row r="2811" spans="1:10">
      <c r="A2811" t="s">
        <v>5202</v>
      </c>
      <c r="B2811" t="s">
        <v>1988</v>
      </c>
      <c r="C2811" t="s">
        <v>2237</v>
      </c>
      <c r="D2811" s="9">
        <v>45299</v>
      </c>
      <c r="E2811" t="s">
        <v>23</v>
      </c>
      <c r="G2811" t="s">
        <v>2328</v>
      </c>
      <c r="H2811">
        <v>1500</v>
      </c>
      <c r="I2811" s="16" t="str">
        <f t="shared" si="43"/>
        <v>Normal</v>
      </c>
      <c r="J2811" t="s">
        <v>39</v>
      </c>
    </row>
    <row r="2812" spans="1:10">
      <c r="A2812" t="s">
        <v>5203</v>
      </c>
      <c r="B2812" t="s">
        <v>2084</v>
      </c>
      <c r="C2812" t="s">
        <v>2209</v>
      </c>
      <c r="D2812" s="9">
        <v>45611</v>
      </c>
      <c r="E2812" t="s">
        <v>2330</v>
      </c>
      <c r="F2812" s="20">
        <v>100</v>
      </c>
      <c r="G2812" t="s">
        <v>2345</v>
      </c>
      <c r="H2812">
        <v>499</v>
      </c>
      <c r="I2812" s="16" t="str">
        <f t="shared" si="43"/>
        <v>Normal</v>
      </c>
      <c r="J2812">
        <v>4</v>
      </c>
    </row>
    <row r="2813" spans="1:10">
      <c r="A2813" t="s">
        <v>5204</v>
      </c>
      <c r="B2813" t="s">
        <v>1806</v>
      </c>
      <c r="C2813" t="s">
        <v>2231</v>
      </c>
      <c r="D2813" s="9">
        <v>45603</v>
      </c>
      <c r="E2813" t="s">
        <v>2330</v>
      </c>
      <c r="F2813" s="20">
        <v>100</v>
      </c>
      <c r="G2813" t="s">
        <v>2331</v>
      </c>
      <c r="H2813">
        <v>3000</v>
      </c>
      <c r="I2813" s="16" t="str">
        <f t="shared" si="43"/>
        <v>Normal</v>
      </c>
      <c r="J2813">
        <v>2</v>
      </c>
    </row>
    <row r="2814" spans="1:10">
      <c r="A2814" t="s">
        <v>5205</v>
      </c>
      <c r="B2814" t="s">
        <v>809</v>
      </c>
      <c r="C2814" t="s">
        <v>2228</v>
      </c>
      <c r="D2814" s="9">
        <v>45462</v>
      </c>
      <c r="E2814" t="s">
        <v>23</v>
      </c>
      <c r="G2814" t="s">
        <v>2345</v>
      </c>
      <c r="H2814">
        <v>648.46</v>
      </c>
      <c r="I2814" s="16" t="str">
        <f t="shared" si="43"/>
        <v>Normal</v>
      </c>
      <c r="J2814">
        <v>5</v>
      </c>
    </row>
    <row r="2815" spans="1:10">
      <c r="A2815" t="s">
        <v>5206</v>
      </c>
      <c r="B2815" t="s">
        <v>221</v>
      </c>
      <c r="C2815" t="s">
        <v>2202</v>
      </c>
      <c r="D2815" s="9">
        <v>45840</v>
      </c>
      <c r="E2815" t="s">
        <v>2324</v>
      </c>
      <c r="F2815" s="20">
        <v>75</v>
      </c>
      <c r="G2815" t="s">
        <v>2325</v>
      </c>
      <c r="H2815">
        <v>614.65</v>
      </c>
      <c r="I2815" s="16" t="str">
        <f t="shared" si="43"/>
        <v>Normal</v>
      </c>
      <c r="J2815">
        <v>2</v>
      </c>
    </row>
    <row r="2816" spans="1:10">
      <c r="A2816" t="s">
        <v>5207</v>
      </c>
      <c r="B2816" t="s">
        <v>1095</v>
      </c>
      <c r="C2816" t="s">
        <v>2249</v>
      </c>
      <c r="D2816" s="9">
        <v>45869</v>
      </c>
      <c r="E2816" t="s">
        <v>2330</v>
      </c>
      <c r="F2816" s="20">
        <v>100</v>
      </c>
      <c r="G2816" t="s">
        <v>2345</v>
      </c>
      <c r="H2816">
        <v>1500</v>
      </c>
      <c r="I2816" s="16" t="str">
        <f t="shared" si="43"/>
        <v>Normal</v>
      </c>
      <c r="J2816" t="s">
        <v>39</v>
      </c>
    </row>
    <row r="2817" spans="1:10">
      <c r="A2817" t="s">
        <v>5208</v>
      </c>
      <c r="B2817" t="s">
        <v>1988</v>
      </c>
      <c r="C2817" t="s">
        <v>2237</v>
      </c>
      <c r="D2817" s="9">
        <v>45377</v>
      </c>
      <c r="E2817" t="s">
        <v>2327</v>
      </c>
      <c r="F2817" s="20">
        <v>15</v>
      </c>
      <c r="G2817" t="s">
        <v>2331</v>
      </c>
      <c r="H2817">
        <v>1500</v>
      </c>
      <c r="I2817" s="16" t="str">
        <f t="shared" si="43"/>
        <v>Normal</v>
      </c>
      <c r="J2817">
        <v>3</v>
      </c>
    </row>
    <row r="2818" spans="1:10">
      <c r="A2818" t="s">
        <v>5209</v>
      </c>
      <c r="B2818" t="s">
        <v>1496</v>
      </c>
      <c r="C2818" t="s">
        <v>2218</v>
      </c>
      <c r="D2818" s="9">
        <v>45917</v>
      </c>
      <c r="E2818" t="s">
        <v>2330</v>
      </c>
      <c r="F2818" s="20">
        <v>100</v>
      </c>
      <c r="G2818" t="s">
        <v>23</v>
      </c>
      <c r="H2818">
        <v>1500</v>
      </c>
      <c r="I2818" s="16" t="str">
        <f t="shared" si="43"/>
        <v>Normal</v>
      </c>
      <c r="J2818">
        <v>3</v>
      </c>
    </row>
    <row r="2819" spans="1:10">
      <c r="A2819" t="s">
        <v>5210</v>
      </c>
      <c r="B2819" t="s">
        <v>1173</v>
      </c>
      <c r="C2819" t="s">
        <v>2202</v>
      </c>
      <c r="D2819" s="9">
        <v>45123</v>
      </c>
      <c r="E2819" t="s">
        <v>2324</v>
      </c>
      <c r="F2819" s="20">
        <v>75</v>
      </c>
      <c r="G2819" t="s">
        <v>2331</v>
      </c>
      <c r="H2819">
        <v>999.99</v>
      </c>
      <c r="I2819" s="16" t="str">
        <f t="shared" ref="I2819:I2882" si="44">IF(H2819="", "Unknown", IF(H2819=0, "Zero Amount", IF(H2819&lt;1, "Review", IF(H2819&gt;1, "Normal"))))</f>
        <v>Normal</v>
      </c>
      <c r="J2819">
        <v>3</v>
      </c>
    </row>
    <row r="2820" spans="1:10">
      <c r="A2820" t="s">
        <v>5211</v>
      </c>
      <c r="B2820" t="s">
        <v>597</v>
      </c>
      <c r="C2820" t="s">
        <v>2216</v>
      </c>
      <c r="D2820" s="9">
        <v>45228</v>
      </c>
      <c r="E2820" t="s">
        <v>2324</v>
      </c>
      <c r="F2820" s="20">
        <v>40</v>
      </c>
      <c r="G2820" t="s">
        <v>2331</v>
      </c>
      <c r="H2820">
        <v>1200</v>
      </c>
      <c r="I2820" s="16" t="str">
        <f t="shared" si="44"/>
        <v>Normal</v>
      </c>
      <c r="J2820">
        <v>3</v>
      </c>
    </row>
    <row r="2821" spans="1:10">
      <c r="A2821" t="s">
        <v>5212</v>
      </c>
      <c r="B2821" t="s">
        <v>1802</v>
      </c>
      <c r="C2821" t="s">
        <v>2259</v>
      </c>
      <c r="D2821" s="9">
        <v>45548</v>
      </c>
      <c r="E2821" t="s">
        <v>2330</v>
      </c>
      <c r="G2821" t="s">
        <v>2331</v>
      </c>
      <c r="H2821">
        <v>0</v>
      </c>
      <c r="I2821" s="16" t="str">
        <f t="shared" si="44"/>
        <v>Zero Amount</v>
      </c>
      <c r="J2821">
        <v>5</v>
      </c>
    </row>
    <row r="2822" spans="1:10">
      <c r="A2822" t="s">
        <v>5213</v>
      </c>
      <c r="B2822" t="s">
        <v>1524</v>
      </c>
      <c r="C2822" t="s">
        <v>2231</v>
      </c>
      <c r="D2822" s="9">
        <v>45532</v>
      </c>
      <c r="E2822" t="s">
        <v>2327</v>
      </c>
      <c r="G2822" t="s">
        <v>2331</v>
      </c>
      <c r="H2822">
        <v>3000</v>
      </c>
      <c r="I2822" s="16" t="str">
        <f t="shared" si="44"/>
        <v>Normal</v>
      </c>
      <c r="J2822">
        <v>2</v>
      </c>
    </row>
    <row r="2823" spans="1:10">
      <c r="A2823" t="s">
        <v>5214</v>
      </c>
      <c r="B2823" t="s">
        <v>748</v>
      </c>
      <c r="C2823" t="s">
        <v>2233</v>
      </c>
      <c r="D2823" s="9">
        <v>45631</v>
      </c>
      <c r="E2823" t="s">
        <v>2330</v>
      </c>
      <c r="F2823" s="20">
        <v>100</v>
      </c>
      <c r="G2823" t="s">
        <v>2345</v>
      </c>
      <c r="H2823">
        <v>2500</v>
      </c>
      <c r="I2823" s="16" t="str">
        <f t="shared" si="44"/>
        <v>Normal</v>
      </c>
      <c r="J2823">
        <v>1</v>
      </c>
    </row>
    <row r="2824" spans="1:10">
      <c r="A2824" t="s">
        <v>5215</v>
      </c>
      <c r="B2824" t="s">
        <v>1654</v>
      </c>
      <c r="C2824" t="s">
        <v>2187</v>
      </c>
      <c r="D2824" s="9">
        <v>45268</v>
      </c>
      <c r="E2824" t="s">
        <v>2330</v>
      </c>
      <c r="F2824" s="20">
        <v>100</v>
      </c>
      <c r="G2824" t="s">
        <v>2328</v>
      </c>
      <c r="H2824">
        <v>799</v>
      </c>
      <c r="I2824" s="16" t="str">
        <f t="shared" si="44"/>
        <v>Normal</v>
      </c>
      <c r="J2824">
        <v>5</v>
      </c>
    </row>
    <row r="2825" spans="1:10">
      <c r="A2825" t="s">
        <v>5216</v>
      </c>
      <c r="B2825" t="s">
        <v>99</v>
      </c>
      <c r="C2825" t="s">
        <v>2235</v>
      </c>
      <c r="D2825" s="9">
        <v>45677</v>
      </c>
      <c r="E2825" t="s">
        <v>2324</v>
      </c>
      <c r="F2825" s="20">
        <v>40</v>
      </c>
      <c r="G2825" t="s">
        <v>23</v>
      </c>
      <c r="H2825">
        <v>3000</v>
      </c>
      <c r="I2825" s="16" t="str">
        <f t="shared" si="44"/>
        <v>Normal</v>
      </c>
      <c r="J2825">
        <v>5</v>
      </c>
    </row>
    <row r="2826" spans="1:10">
      <c r="A2826" t="s">
        <v>5217</v>
      </c>
      <c r="B2826" t="s">
        <v>940</v>
      </c>
      <c r="C2826" t="s">
        <v>2222</v>
      </c>
      <c r="D2826" s="9">
        <v>46098</v>
      </c>
      <c r="E2826" t="s">
        <v>2324</v>
      </c>
      <c r="F2826" s="20">
        <v>75</v>
      </c>
      <c r="G2826" t="s">
        <v>2345</v>
      </c>
      <c r="H2826">
        <v>0</v>
      </c>
      <c r="I2826" s="16" t="str">
        <f t="shared" si="44"/>
        <v>Zero Amount</v>
      </c>
      <c r="J2826">
        <v>3</v>
      </c>
    </row>
    <row r="2827" spans="1:10">
      <c r="A2827" t="s">
        <v>5218</v>
      </c>
      <c r="B2827" t="s">
        <v>1918</v>
      </c>
      <c r="C2827" t="s">
        <v>2257</v>
      </c>
      <c r="D2827" s="9">
        <v>45659</v>
      </c>
      <c r="E2827" t="s">
        <v>23</v>
      </c>
      <c r="G2827" t="s">
        <v>2328</v>
      </c>
      <c r="I2827" s="16" t="str">
        <f t="shared" si="44"/>
        <v>Unknown</v>
      </c>
      <c r="J2827">
        <v>2</v>
      </c>
    </row>
    <row r="2828" spans="1:10">
      <c r="A2828" t="s">
        <v>5219</v>
      </c>
      <c r="B2828" t="s">
        <v>181</v>
      </c>
      <c r="C2828" t="s">
        <v>2202</v>
      </c>
      <c r="D2828" s="9">
        <v>45145</v>
      </c>
      <c r="E2828" t="s">
        <v>2330</v>
      </c>
      <c r="F2828" s="20">
        <v>100</v>
      </c>
      <c r="G2828" t="s">
        <v>2328</v>
      </c>
      <c r="H2828">
        <v>999.99</v>
      </c>
      <c r="I2828" s="16" t="str">
        <f t="shared" si="44"/>
        <v>Normal</v>
      </c>
      <c r="J2828">
        <v>1</v>
      </c>
    </row>
    <row r="2829" spans="1:10">
      <c r="A2829" t="s">
        <v>5220</v>
      </c>
      <c r="B2829" t="s">
        <v>408</v>
      </c>
      <c r="C2829" t="s">
        <v>2187</v>
      </c>
      <c r="D2829" s="9">
        <v>45577</v>
      </c>
      <c r="E2829" t="s">
        <v>23</v>
      </c>
      <c r="G2829" t="s">
        <v>2345</v>
      </c>
      <c r="H2829">
        <v>799</v>
      </c>
      <c r="I2829" s="16" t="str">
        <f t="shared" si="44"/>
        <v>Normal</v>
      </c>
      <c r="J2829">
        <v>3</v>
      </c>
    </row>
    <row r="2830" spans="1:10">
      <c r="A2830" t="s">
        <v>5221</v>
      </c>
      <c r="B2830" t="s">
        <v>192</v>
      </c>
      <c r="C2830" t="s">
        <v>2261</v>
      </c>
      <c r="D2830" s="9">
        <v>45133</v>
      </c>
      <c r="E2830" t="s">
        <v>23</v>
      </c>
      <c r="G2830" t="s">
        <v>23</v>
      </c>
      <c r="I2830" s="16" t="str">
        <f t="shared" si="44"/>
        <v>Unknown</v>
      </c>
      <c r="J2830" t="s">
        <v>39</v>
      </c>
    </row>
    <row r="2831" spans="1:10">
      <c r="A2831" t="s">
        <v>5222</v>
      </c>
      <c r="B2831" t="s">
        <v>2113</v>
      </c>
      <c r="C2831" t="s">
        <v>2264</v>
      </c>
      <c r="D2831" s="9">
        <v>45650</v>
      </c>
      <c r="E2831" t="s">
        <v>2330</v>
      </c>
      <c r="G2831" t="s">
        <v>2328</v>
      </c>
      <c r="H2831">
        <v>2500</v>
      </c>
      <c r="I2831" s="16" t="str">
        <f t="shared" si="44"/>
        <v>Normal</v>
      </c>
      <c r="J2831">
        <v>4</v>
      </c>
    </row>
    <row r="2832" spans="1:10">
      <c r="A2832" t="s">
        <v>5223</v>
      </c>
      <c r="B2832" t="s">
        <v>1654</v>
      </c>
      <c r="C2832" t="s">
        <v>2209</v>
      </c>
      <c r="D2832" s="9">
        <v>45972</v>
      </c>
      <c r="E2832" t="s">
        <v>2324</v>
      </c>
      <c r="F2832" s="20">
        <v>40</v>
      </c>
      <c r="G2832" t="s">
        <v>2339</v>
      </c>
      <c r="H2832">
        <v>499</v>
      </c>
      <c r="I2832" s="16" t="str">
        <f t="shared" si="44"/>
        <v>Normal</v>
      </c>
      <c r="J2832" t="s">
        <v>39</v>
      </c>
    </row>
    <row r="2833" spans="1:10">
      <c r="A2833" t="s">
        <v>5224</v>
      </c>
      <c r="B2833" t="s">
        <v>442</v>
      </c>
      <c r="C2833" t="s">
        <v>2259</v>
      </c>
      <c r="D2833" s="9">
        <v>45699</v>
      </c>
      <c r="E2833" t="s">
        <v>2330</v>
      </c>
      <c r="F2833" s="20">
        <v>100</v>
      </c>
      <c r="G2833" t="s">
        <v>2328</v>
      </c>
      <c r="H2833">
        <v>0</v>
      </c>
      <c r="I2833" s="16" t="str">
        <f t="shared" si="44"/>
        <v>Zero Amount</v>
      </c>
      <c r="J2833">
        <v>5</v>
      </c>
    </row>
    <row r="2834" spans="1:10">
      <c r="A2834" t="s">
        <v>5225</v>
      </c>
      <c r="B2834" t="s">
        <v>1658</v>
      </c>
      <c r="C2834" t="s">
        <v>2231</v>
      </c>
      <c r="D2834" s="9">
        <v>45637</v>
      </c>
      <c r="E2834" t="s">
        <v>2330</v>
      </c>
      <c r="F2834" s="20">
        <v>100</v>
      </c>
      <c r="G2834" t="s">
        <v>2328</v>
      </c>
      <c r="H2834">
        <v>3000</v>
      </c>
      <c r="I2834" s="16" t="str">
        <f t="shared" si="44"/>
        <v>Normal</v>
      </c>
      <c r="J2834">
        <v>3</v>
      </c>
    </row>
    <row r="2835" spans="1:10">
      <c r="A2835" t="s">
        <v>5226</v>
      </c>
      <c r="B2835" t="s">
        <v>1806</v>
      </c>
      <c r="C2835" t="s">
        <v>2216</v>
      </c>
      <c r="D2835" s="9">
        <v>45964</v>
      </c>
      <c r="E2835" t="s">
        <v>2324</v>
      </c>
      <c r="F2835" s="20">
        <v>75</v>
      </c>
      <c r="G2835" t="s">
        <v>2345</v>
      </c>
      <c r="H2835">
        <v>1200</v>
      </c>
      <c r="I2835" s="16" t="str">
        <f t="shared" si="44"/>
        <v>Normal</v>
      </c>
      <c r="J2835">
        <v>5</v>
      </c>
    </row>
    <row r="2836" spans="1:10">
      <c r="A2836" t="s">
        <v>5227</v>
      </c>
      <c r="B2836" t="s">
        <v>1813</v>
      </c>
      <c r="C2836" t="s">
        <v>2193</v>
      </c>
      <c r="D2836" s="9">
        <v>45793</v>
      </c>
      <c r="E2836" t="s">
        <v>2327</v>
      </c>
      <c r="F2836" s="20">
        <v>5</v>
      </c>
      <c r="G2836" t="s">
        <v>2345</v>
      </c>
      <c r="H2836">
        <v>0</v>
      </c>
      <c r="I2836" s="16" t="str">
        <f t="shared" si="44"/>
        <v>Zero Amount</v>
      </c>
      <c r="J2836">
        <v>5</v>
      </c>
    </row>
    <row r="2837" spans="1:10">
      <c r="A2837" t="s">
        <v>5228</v>
      </c>
      <c r="B2837" t="s">
        <v>354</v>
      </c>
      <c r="C2837" t="s">
        <v>2213</v>
      </c>
      <c r="D2837" s="9">
        <v>45902</v>
      </c>
      <c r="E2837" t="s">
        <v>2324</v>
      </c>
      <c r="G2837" t="s">
        <v>2345</v>
      </c>
      <c r="H2837">
        <v>1500</v>
      </c>
      <c r="I2837" s="16" t="str">
        <f t="shared" si="44"/>
        <v>Normal</v>
      </c>
      <c r="J2837" t="s">
        <v>39</v>
      </c>
    </row>
    <row r="2838" spans="1:10">
      <c r="A2838" t="s">
        <v>5229</v>
      </c>
      <c r="B2838" t="s">
        <v>2678</v>
      </c>
      <c r="C2838" t="s">
        <v>2218</v>
      </c>
      <c r="D2838" s="9">
        <v>45717</v>
      </c>
      <c r="E2838" t="s">
        <v>2330</v>
      </c>
      <c r="F2838" s="20">
        <v>100</v>
      </c>
      <c r="G2838" t="s">
        <v>2345</v>
      </c>
      <c r="I2838" s="16" t="str">
        <f t="shared" si="44"/>
        <v>Unknown</v>
      </c>
      <c r="J2838">
        <v>4</v>
      </c>
    </row>
    <row r="2839" spans="1:10">
      <c r="A2839" t="s">
        <v>5230</v>
      </c>
      <c r="B2839" t="s">
        <v>645</v>
      </c>
      <c r="C2839" t="s">
        <v>2237</v>
      </c>
      <c r="D2839" s="9">
        <v>46165</v>
      </c>
      <c r="E2839" t="s">
        <v>2330</v>
      </c>
      <c r="G2839" t="s">
        <v>2328</v>
      </c>
      <c r="H2839">
        <v>1500</v>
      </c>
      <c r="I2839" s="16" t="str">
        <f t="shared" si="44"/>
        <v>Normal</v>
      </c>
      <c r="J2839">
        <v>4</v>
      </c>
    </row>
    <row r="2840" spans="1:10">
      <c r="A2840" t="s">
        <v>5231</v>
      </c>
      <c r="B2840" t="s">
        <v>863</v>
      </c>
      <c r="C2840" t="s">
        <v>2225</v>
      </c>
      <c r="D2840" s="9">
        <v>45953</v>
      </c>
      <c r="E2840" t="s">
        <v>2337</v>
      </c>
      <c r="F2840" s="20">
        <v>20</v>
      </c>
      <c r="G2840" t="s">
        <v>2345</v>
      </c>
      <c r="I2840" s="16" t="str">
        <f t="shared" si="44"/>
        <v>Unknown</v>
      </c>
      <c r="J2840" t="s">
        <v>39</v>
      </c>
    </row>
    <row r="2841" spans="1:10">
      <c r="A2841" t="s">
        <v>5232</v>
      </c>
      <c r="B2841" t="s">
        <v>1926</v>
      </c>
      <c r="C2841" t="s">
        <v>2187</v>
      </c>
      <c r="D2841" s="9">
        <v>45680</v>
      </c>
      <c r="E2841" t="s">
        <v>2330</v>
      </c>
      <c r="F2841" s="20">
        <v>100</v>
      </c>
      <c r="G2841" t="s">
        <v>2325</v>
      </c>
      <c r="H2841">
        <v>799</v>
      </c>
      <c r="I2841" s="16" t="str">
        <f t="shared" si="44"/>
        <v>Normal</v>
      </c>
      <c r="J2841" t="s">
        <v>39</v>
      </c>
    </row>
    <row r="2842" spans="1:10">
      <c r="A2842" t="s">
        <v>5233</v>
      </c>
      <c r="B2842" t="s">
        <v>1365</v>
      </c>
      <c r="C2842" t="s">
        <v>2261</v>
      </c>
      <c r="D2842" s="9">
        <v>45973</v>
      </c>
      <c r="E2842" t="s">
        <v>2337</v>
      </c>
      <c r="F2842" s="20">
        <v>15</v>
      </c>
      <c r="G2842" t="s">
        <v>2328</v>
      </c>
      <c r="I2842" s="16" t="str">
        <f t="shared" si="44"/>
        <v>Unknown</v>
      </c>
      <c r="J2842">
        <v>5</v>
      </c>
    </row>
    <row r="2843" spans="1:10">
      <c r="A2843" t="s">
        <v>5234</v>
      </c>
      <c r="B2843" t="s">
        <v>133</v>
      </c>
      <c r="C2843" t="s">
        <v>2241</v>
      </c>
      <c r="D2843" s="9">
        <v>46025</v>
      </c>
      <c r="E2843" t="s">
        <v>2324</v>
      </c>
      <c r="F2843" s="20">
        <v>25</v>
      </c>
      <c r="G2843" t="s">
        <v>23</v>
      </c>
      <c r="H2843">
        <v>2500</v>
      </c>
      <c r="I2843" s="16" t="str">
        <f t="shared" si="44"/>
        <v>Normal</v>
      </c>
      <c r="J2843">
        <v>4</v>
      </c>
    </row>
    <row r="2844" spans="1:10">
      <c r="A2844" t="s">
        <v>5235</v>
      </c>
      <c r="B2844" t="s">
        <v>34</v>
      </c>
      <c r="C2844" t="s">
        <v>2218</v>
      </c>
      <c r="D2844" s="9">
        <v>45194</v>
      </c>
      <c r="E2844" t="s">
        <v>2324</v>
      </c>
      <c r="F2844" s="20">
        <v>25</v>
      </c>
      <c r="G2844" t="s">
        <v>2328</v>
      </c>
      <c r="H2844">
        <v>1500</v>
      </c>
      <c r="I2844" s="16" t="str">
        <f t="shared" si="44"/>
        <v>Normal</v>
      </c>
      <c r="J2844">
        <v>5</v>
      </c>
    </row>
    <row r="2845" spans="1:10">
      <c r="A2845" t="s">
        <v>5236</v>
      </c>
      <c r="B2845" t="s">
        <v>1599</v>
      </c>
      <c r="C2845" t="s">
        <v>2247</v>
      </c>
      <c r="D2845" s="9">
        <v>46109</v>
      </c>
      <c r="E2845" t="s">
        <v>2324</v>
      </c>
      <c r="G2845" t="s">
        <v>2325</v>
      </c>
      <c r="I2845" s="16" t="str">
        <f t="shared" si="44"/>
        <v>Unknown</v>
      </c>
      <c r="J2845" t="s">
        <v>39</v>
      </c>
    </row>
    <row r="2846" spans="1:10">
      <c r="A2846" t="s">
        <v>5237</v>
      </c>
      <c r="B2846" t="s">
        <v>653</v>
      </c>
      <c r="C2846" t="s">
        <v>2198</v>
      </c>
      <c r="D2846" s="9">
        <v>45766</v>
      </c>
      <c r="E2846" t="s">
        <v>2327</v>
      </c>
      <c r="F2846" s="20">
        <v>15</v>
      </c>
      <c r="G2846" t="s">
        <v>2331</v>
      </c>
      <c r="I2846" s="16" t="str">
        <f t="shared" si="44"/>
        <v>Unknown</v>
      </c>
      <c r="J2846" t="s">
        <v>39</v>
      </c>
    </row>
    <row r="2847" spans="1:10">
      <c r="A2847" t="s">
        <v>5238</v>
      </c>
      <c r="B2847" t="s">
        <v>434</v>
      </c>
      <c r="C2847" t="s">
        <v>2247</v>
      </c>
      <c r="D2847" s="9">
        <v>46186</v>
      </c>
      <c r="E2847" t="s">
        <v>2327</v>
      </c>
      <c r="F2847" s="20">
        <v>15</v>
      </c>
      <c r="G2847" t="s">
        <v>2328</v>
      </c>
      <c r="I2847" s="16" t="str">
        <f t="shared" si="44"/>
        <v>Unknown</v>
      </c>
      <c r="J2847">
        <v>4</v>
      </c>
    </row>
    <row r="2848" spans="1:10">
      <c r="A2848" t="s">
        <v>5239</v>
      </c>
      <c r="B2848" t="s">
        <v>1207</v>
      </c>
      <c r="C2848" t="s">
        <v>2235</v>
      </c>
      <c r="D2848" s="9">
        <v>45922</v>
      </c>
      <c r="E2848" t="s">
        <v>2330</v>
      </c>
      <c r="G2848" t="s">
        <v>2325</v>
      </c>
      <c r="H2848">
        <v>3000</v>
      </c>
      <c r="I2848" s="16" t="str">
        <f t="shared" si="44"/>
        <v>Normal</v>
      </c>
      <c r="J2848">
        <v>4</v>
      </c>
    </row>
    <row r="2849" spans="1:10">
      <c r="A2849" t="s">
        <v>5240</v>
      </c>
      <c r="B2849" t="s">
        <v>704</v>
      </c>
      <c r="C2849" t="s">
        <v>2228</v>
      </c>
      <c r="D2849" s="9">
        <v>45938</v>
      </c>
      <c r="E2849" t="s">
        <v>2324</v>
      </c>
      <c r="F2849" s="20">
        <v>40</v>
      </c>
      <c r="G2849" t="s">
        <v>2331</v>
      </c>
      <c r="H2849">
        <v>799</v>
      </c>
      <c r="I2849" s="16" t="str">
        <f t="shared" si="44"/>
        <v>Normal</v>
      </c>
      <c r="J2849">
        <v>2</v>
      </c>
    </row>
    <row r="2850" spans="1:10">
      <c r="A2850" t="s">
        <v>5241</v>
      </c>
      <c r="B2850" t="s">
        <v>1930</v>
      </c>
      <c r="C2850" t="s">
        <v>2202</v>
      </c>
      <c r="D2850" s="9">
        <v>45570</v>
      </c>
      <c r="E2850" t="s">
        <v>2324</v>
      </c>
      <c r="F2850" s="20">
        <v>10</v>
      </c>
      <c r="G2850" t="s">
        <v>23</v>
      </c>
      <c r="H2850">
        <v>999.99</v>
      </c>
      <c r="I2850" s="16" t="str">
        <f t="shared" si="44"/>
        <v>Normal</v>
      </c>
      <c r="J2850">
        <v>1</v>
      </c>
    </row>
    <row r="2851" spans="1:10">
      <c r="A2851" t="s">
        <v>5242</v>
      </c>
      <c r="B2851" t="s">
        <v>729</v>
      </c>
      <c r="C2851" t="s">
        <v>2241</v>
      </c>
      <c r="D2851" s="9">
        <v>45401</v>
      </c>
      <c r="E2851" t="s">
        <v>2324</v>
      </c>
      <c r="F2851" s="20">
        <v>25</v>
      </c>
      <c r="G2851" t="s">
        <v>2331</v>
      </c>
      <c r="I2851" s="16" t="str">
        <f t="shared" si="44"/>
        <v>Unknown</v>
      </c>
      <c r="J2851" t="s">
        <v>39</v>
      </c>
    </row>
    <row r="2852" spans="1:10">
      <c r="A2852" t="s">
        <v>5243</v>
      </c>
      <c r="B2852" t="s">
        <v>99</v>
      </c>
      <c r="C2852" t="s">
        <v>2213</v>
      </c>
      <c r="D2852" s="9">
        <v>45592</v>
      </c>
      <c r="E2852" t="s">
        <v>2337</v>
      </c>
      <c r="G2852" t="s">
        <v>2345</v>
      </c>
      <c r="H2852">
        <v>1500</v>
      </c>
      <c r="I2852" s="16" t="str">
        <f t="shared" si="44"/>
        <v>Normal</v>
      </c>
      <c r="J2852">
        <v>2</v>
      </c>
    </row>
    <row r="2853" spans="1:10">
      <c r="A2853" t="s">
        <v>5244</v>
      </c>
      <c r="B2853" t="s">
        <v>1842</v>
      </c>
      <c r="C2853" t="s">
        <v>2198</v>
      </c>
      <c r="D2853" s="9">
        <v>46297</v>
      </c>
      <c r="E2853" t="s">
        <v>2337</v>
      </c>
      <c r="F2853" s="20">
        <v>5</v>
      </c>
      <c r="G2853" t="s">
        <v>2331</v>
      </c>
      <c r="I2853" s="16" t="str">
        <f t="shared" si="44"/>
        <v>Unknown</v>
      </c>
      <c r="J2853" t="s">
        <v>39</v>
      </c>
    </row>
    <row r="2854" spans="1:10">
      <c r="A2854" t="s">
        <v>5245</v>
      </c>
      <c r="B2854" t="s">
        <v>997</v>
      </c>
      <c r="C2854" t="s">
        <v>2253</v>
      </c>
      <c r="D2854" s="9">
        <v>45907</v>
      </c>
      <c r="E2854" t="s">
        <v>2330</v>
      </c>
      <c r="F2854" s="20">
        <v>100</v>
      </c>
      <c r="G2854" t="s">
        <v>2345</v>
      </c>
      <c r="H2854">
        <v>1200</v>
      </c>
      <c r="I2854" s="16" t="str">
        <f t="shared" si="44"/>
        <v>Normal</v>
      </c>
      <c r="J2854">
        <v>1</v>
      </c>
    </row>
    <row r="2855" spans="1:10">
      <c r="A2855" t="s">
        <v>5246</v>
      </c>
      <c r="B2855" t="s">
        <v>261</v>
      </c>
      <c r="C2855" t="s">
        <v>2271</v>
      </c>
      <c r="D2855" s="9">
        <v>45810</v>
      </c>
      <c r="E2855" t="s">
        <v>2324</v>
      </c>
      <c r="F2855" s="20">
        <v>25</v>
      </c>
      <c r="G2855" t="s">
        <v>2325</v>
      </c>
      <c r="H2855">
        <v>1200</v>
      </c>
      <c r="I2855" s="16" t="str">
        <f t="shared" si="44"/>
        <v>Normal</v>
      </c>
      <c r="J2855">
        <v>5</v>
      </c>
    </row>
    <row r="2856" spans="1:10">
      <c r="A2856" t="s">
        <v>5247</v>
      </c>
      <c r="B2856" t="s">
        <v>1454</v>
      </c>
      <c r="C2856" t="s">
        <v>2187</v>
      </c>
      <c r="D2856" s="9">
        <v>45178</v>
      </c>
      <c r="E2856" t="s">
        <v>2330</v>
      </c>
      <c r="F2856" s="20">
        <v>100</v>
      </c>
      <c r="G2856" t="s">
        <v>2328</v>
      </c>
      <c r="I2856" s="16" t="str">
        <f t="shared" si="44"/>
        <v>Unknown</v>
      </c>
      <c r="J2856">
        <v>5</v>
      </c>
    </row>
    <row r="2857" spans="1:10">
      <c r="A2857" t="s">
        <v>5248</v>
      </c>
      <c r="B2857" t="s">
        <v>5249</v>
      </c>
      <c r="C2857" t="s">
        <v>2235</v>
      </c>
      <c r="D2857" s="9">
        <v>45808</v>
      </c>
      <c r="E2857" t="s">
        <v>2330</v>
      </c>
      <c r="F2857" s="20">
        <v>100</v>
      </c>
      <c r="G2857" t="s">
        <v>2328</v>
      </c>
      <c r="H2857">
        <v>3000</v>
      </c>
      <c r="I2857" s="16" t="str">
        <f t="shared" si="44"/>
        <v>Normal</v>
      </c>
      <c r="J2857">
        <v>4</v>
      </c>
    </row>
    <row r="2858" spans="1:10">
      <c r="A2858" t="s">
        <v>5250</v>
      </c>
      <c r="B2858" t="s">
        <v>1790</v>
      </c>
      <c r="C2858" t="s">
        <v>2233</v>
      </c>
      <c r="D2858" s="9">
        <v>45470</v>
      </c>
      <c r="E2858" t="s">
        <v>2330</v>
      </c>
      <c r="F2858" s="20">
        <v>100</v>
      </c>
      <c r="G2858" t="s">
        <v>2331</v>
      </c>
      <c r="H2858">
        <v>2500</v>
      </c>
      <c r="I2858" s="16" t="str">
        <f t="shared" si="44"/>
        <v>Normal</v>
      </c>
      <c r="J2858">
        <v>5</v>
      </c>
    </row>
    <row r="2859" spans="1:10">
      <c r="A2859" t="s">
        <v>5251</v>
      </c>
      <c r="B2859" t="s">
        <v>28</v>
      </c>
      <c r="C2859" t="s">
        <v>2237</v>
      </c>
      <c r="D2859" s="9">
        <v>45676</v>
      </c>
      <c r="E2859" t="s">
        <v>23</v>
      </c>
      <c r="G2859" t="s">
        <v>2339</v>
      </c>
      <c r="H2859">
        <v>1500</v>
      </c>
      <c r="I2859" s="16" t="str">
        <f t="shared" si="44"/>
        <v>Normal</v>
      </c>
      <c r="J2859" t="s">
        <v>39</v>
      </c>
    </row>
    <row r="2860" spans="1:10">
      <c r="A2860" t="s">
        <v>5252</v>
      </c>
      <c r="B2860" t="s">
        <v>383</v>
      </c>
      <c r="C2860" t="s">
        <v>2237</v>
      </c>
      <c r="D2860" s="9">
        <v>45857</v>
      </c>
      <c r="E2860" t="s">
        <v>2330</v>
      </c>
      <c r="F2860" s="20">
        <v>100</v>
      </c>
      <c r="G2860" t="s">
        <v>2328</v>
      </c>
      <c r="H2860">
        <v>1500</v>
      </c>
      <c r="I2860" s="16" t="str">
        <f t="shared" si="44"/>
        <v>Normal</v>
      </c>
      <c r="J2860">
        <v>2</v>
      </c>
    </row>
    <row r="2861" spans="1:10">
      <c r="A2861" t="s">
        <v>5253</v>
      </c>
      <c r="B2861" t="s">
        <v>2073</v>
      </c>
      <c r="C2861" t="s">
        <v>2193</v>
      </c>
      <c r="D2861" s="9">
        <v>45996</v>
      </c>
      <c r="E2861" t="s">
        <v>2330</v>
      </c>
      <c r="G2861" t="s">
        <v>2325</v>
      </c>
      <c r="H2861">
        <v>0</v>
      </c>
      <c r="I2861" s="16" t="str">
        <f t="shared" si="44"/>
        <v>Zero Amount</v>
      </c>
      <c r="J2861" t="s">
        <v>39</v>
      </c>
    </row>
    <row r="2862" spans="1:10">
      <c r="A2862" t="s">
        <v>5254</v>
      </c>
      <c r="B2862" t="s">
        <v>209</v>
      </c>
      <c r="C2862" t="s">
        <v>2216</v>
      </c>
      <c r="D2862" s="9">
        <v>45571</v>
      </c>
      <c r="E2862" t="s">
        <v>2327</v>
      </c>
      <c r="F2862" s="20">
        <v>20</v>
      </c>
      <c r="G2862" t="s">
        <v>2328</v>
      </c>
      <c r="H2862">
        <v>1200</v>
      </c>
      <c r="I2862" s="16" t="str">
        <f t="shared" si="44"/>
        <v>Normal</v>
      </c>
      <c r="J2862">
        <v>2</v>
      </c>
    </row>
    <row r="2863" spans="1:10">
      <c r="A2863" t="s">
        <v>5255</v>
      </c>
      <c r="B2863" t="s">
        <v>979</v>
      </c>
      <c r="C2863" t="s">
        <v>2249</v>
      </c>
      <c r="D2863" s="9">
        <v>45121</v>
      </c>
      <c r="E2863" t="s">
        <v>23</v>
      </c>
      <c r="G2863" t="s">
        <v>2331</v>
      </c>
      <c r="H2863">
        <v>1500</v>
      </c>
      <c r="I2863" s="16" t="str">
        <f t="shared" si="44"/>
        <v>Normal</v>
      </c>
      <c r="J2863">
        <v>2</v>
      </c>
    </row>
    <row r="2864" spans="1:10">
      <c r="A2864" t="s">
        <v>5256</v>
      </c>
      <c r="B2864" t="s">
        <v>1496</v>
      </c>
      <c r="C2864" t="s">
        <v>2193</v>
      </c>
      <c r="D2864" s="9">
        <v>45964</v>
      </c>
      <c r="E2864" t="s">
        <v>2330</v>
      </c>
      <c r="F2864" s="20">
        <v>100</v>
      </c>
      <c r="G2864" t="s">
        <v>2328</v>
      </c>
      <c r="H2864">
        <v>0</v>
      </c>
      <c r="I2864" s="16" t="str">
        <f t="shared" si="44"/>
        <v>Zero Amount</v>
      </c>
      <c r="J2864">
        <v>4</v>
      </c>
    </row>
    <row r="2865" spans="1:10">
      <c r="A2865" t="s">
        <v>5257</v>
      </c>
      <c r="B2865" t="s">
        <v>957</v>
      </c>
      <c r="C2865" t="s">
        <v>2264</v>
      </c>
      <c r="D2865" s="9">
        <v>45104</v>
      </c>
      <c r="E2865" t="s">
        <v>2330</v>
      </c>
      <c r="F2865" s="20">
        <v>100</v>
      </c>
      <c r="G2865" t="s">
        <v>23</v>
      </c>
      <c r="H2865">
        <v>2500</v>
      </c>
      <c r="I2865" s="16" t="str">
        <f t="shared" si="44"/>
        <v>Normal</v>
      </c>
      <c r="J2865">
        <v>4</v>
      </c>
    </row>
    <row r="2866" spans="1:10">
      <c r="A2866" t="s">
        <v>5258</v>
      </c>
      <c r="B2866" t="s">
        <v>90</v>
      </c>
      <c r="C2866" t="s">
        <v>2216</v>
      </c>
      <c r="D2866" s="9">
        <v>46005</v>
      </c>
      <c r="E2866" t="s">
        <v>2327</v>
      </c>
      <c r="F2866" s="20">
        <v>15</v>
      </c>
      <c r="G2866" t="s">
        <v>23</v>
      </c>
      <c r="H2866">
        <v>1200</v>
      </c>
      <c r="I2866" s="16" t="str">
        <f t="shared" si="44"/>
        <v>Normal</v>
      </c>
      <c r="J2866" t="s">
        <v>39</v>
      </c>
    </row>
    <row r="2867" spans="1:10">
      <c r="A2867" t="s">
        <v>5259</v>
      </c>
      <c r="B2867" t="s">
        <v>239</v>
      </c>
      <c r="C2867" t="s">
        <v>2202</v>
      </c>
      <c r="D2867" s="9">
        <v>45118</v>
      </c>
      <c r="E2867" t="s">
        <v>2324</v>
      </c>
      <c r="F2867" s="20">
        <v>75</v>
      </c>
      <c r="G2867" t="s">
        <v>2331</v>
      </c>
      <c r="H2867">
        <v>999.99</v>
      </c>
      <c r="I2867" s="16" t="str">
        <f t="shared" si="44"/>
        <v>Normal</v>
      </c>
      <c r="J2867">
        <v>3</v>
      </c>
    </row>
    <row r="2868" spans="1:10">
      <c r="A2868" t="s">
        <v>5260</v>
      </c>
      <c r="B2868" t="s">
        <v>729</v>
      </c>
      <c r="C2868" t="s">
        <v>2231</v>
      </c>
      <c r="D2868" s="9">
        <v>45344</v>
      </c>
      <c r="E2868" t="s">
        <v>2327</v>
      </c>
      <c r="G2868" t="s">
        <v>2345</v>
      </c>
      <c r="H2868">
        <v>3000</v>
      </c>
      <c r="I2868" s="16" t="str">
        <f t="shared" si="44"/>
        <v>Normal</v>
      </c>
      <c r="J2868">
        <v>4</v>
      </c>
    </row>
    <row r="2869" spans="1:10">
      <c r="A2869" t="s">
        <v>5261</v>
      </c>
      <c r="B2869" t="s">
        <v>1717</v>
      </c>
      <c r="C2869" t="s">
        <v>2218</v>
      </c>
      <c r="D2869" s="9">
        <v>45566</v>
      </c>
      <c r="E2869" t="s">
        <v>2324</v>
      </c>
      <c r="F2869" s="20">
        <v>40</v>
      </c>
      <c r="G2869" t="s">
        <v>2325</v>
      </c>
      <c r="I2869" s="16" t="str">
        <f t="shared" si="44"/>
        <v>Unknown</v>
      </c>
      <c r="J2869">
        <v>1</v>
      </c>
    </row>
    <row r="2870" spans="1:10">
      <c r="A2870" t="s">
        <v>5262</v>
      </c>
      <c r="B2870" t="s">
        <v>1486</v>
      </c>
      <c r="C2870" t="s">
        <v>2259</v>
      </c>
      <c r="D2870" s="9">
        <v>45381</v>
      </c>
      <c r="E2870" t="s">
        <v>2324</v>
      </c>
      <c r="F2870" s="20">
        <v>25</v>
      </c>
      <c r="G2870" t="s">
        <v>2339</v>
      </c>
      <c r="H2870">
        <v>0</v>
      </c>
      <c r="I2870" s="16" t="str">
        <f t="shared" si="44"/>
        <v>Zero Amount</v>
      </c>
      <c r="J2870">
        <v>4</v>
      </c>
    </row>
    <row r="2871" spans="1:10">
      <c r="A2871" t="s">
        <v>5263</v>
      </c>
      <c r="B2871" t="s">
        <v>682</v>
      </c>
      <c r="C2871" t="s">
        <v>2202</v>
      </c>
      <c r="D2871" s="9">
        <v>45342</v>
      </c>
      <c r="E2871" t="s">
        <v>2330</v>
      </c>
      <c r="F2871" s="20">
        <v>100</v>
      </c>
      <c r="G2871" t="s">
        <v>23</v>
      </c>
      <c r="H2871">
        <v>-999.99</v>
      </c>
      <c r="I2871" s="16" t="str">
        <f t="shared" si="44"/>
        <v>Review</v>
      </c>
      <c r="J2871">
        <v>5</v>
      </c>
    </row>
    <row r="2872" spans="1:10">
      <c r="A2872" t="s">
        <v>5264</v>
      </c>
      <c r="B2872" t="s">
        <v>1377</v>
      </c>
      <c r="C2872" t="s">
        <v>2264</v>
      </c>
      <c r="D2872" s="9">
        <v>45837</v>
      </c>
      <c r="E2872" t="s">
        <v>2330</v>
      </c>
      <c r="F2872" s="20">
        <v>100</v>
      </c>
      <c r="G2872" t="s">
        <v>2325</v>
      </c>
      <c r="H2872">
        <v>1378.49</v>
      </c>
      <c r="I2872" s="16" t="str">
        <f t="shared" si="44"/>
        <v>Normal</v>
      </c>
      <c r="J2872" t="s">
        <v>39</v>
      </c>
    </row>
    <row r="2873" spans="1:10">
      <c r="A2873" t="s">
        <v>5265</v>
      </c>
      <c r="B2873" t="s">
        <v>765</v>
      </c>
      <c r="C2873" t="s">
        <v>2261</v>
      </c>
      <c r="D2873" s="9">
        <v>45632</v>
      </c>
      <c r="E2873" t="s">
        <v>2330</v>
      </c>
      <c r="F2873" s="20">
        <v>100</v>
      </c>
      <c r="G2873" t="s">
        <v>2325</v>
      </c>
      <c r="I2873" s="16" t="str">
        <f t="shared" si="44"/>
        <v>Unknown</v>
      </c>
      <c r="J2873">
        <v>5</v>
      </c>
    </row>
    <row r="2874" spans="1:10">
      <c r="A2874" t="s">
        <v>5266</v>
      </c>
      <c r="B2874" t="s">
        <v>343</v>
      </c>
      <c r="C2874" t="s">
        <v>2187</v>
      </c>
      <c r="D2874" s="9">
        <v>45362</v>
      </c>
      <c r="E2874" t="s">
        <v>2324</v>
      </c>
      <c r="F2874" s="20">
        <v>55</v>
      </c>
      <c r="G2874" t="s">
        <v>2331</v>
      </c>
      <c r="H2874">
        <v>799</v>
      </c>
      <c r="I2874" s="16" t="str">
        <f t="shared" si="44"/>
        <v>Normal</v>
      </c>
      <c r="J2874">
        <v>1</v>
      </c>
    </row>
    <row r="2875" spans="1:10">
      <c r="A2875" t="s">
        <v>5267</v>
      </c>
      <c r="B2875" t="s">
        <v>350</v>
      </c>
      <c r="C2875" t="s">
        <v>2237</v>
      </c>
      <c r="D2875" s="9">
        <v>45827</v>
      </c>
      <c r="E2875" t="s">
        <v>2324</v>
      </c>
      <c r="F2875" s="20">
        <v>40</v>
      </c>
      <c r="G2875" t="s">
        <v>2331</v>
      </c>
      <c r="H2875">
        <v>-1500</v>
      </c>
      <c r="I2875" s="16" t="str">
        <f t="shared" si="44"/>
        <v>Review</v>
      </c>
      <c r="J2875">
        <v>4</v>
      </c>
    </row>
    <row r="2876" spans="1:10">
      <c r="A2876" t="s">
        <v>5268</v>
      </c>
      <c r="B2876" t="s">
        <v>489</v>
      </c>
      <c r="C2876" t="s">
        <v>2187</v>
      </c>
      <c r="D2876" s="9">
        <v>45941</v>
      </c>
      <c r="E2876" t="s">
        <v>2324</v>
      </c>
      <c r="F2876" s="20">
        <v>40</v>
      </c>
      <c r="G2876" t="s">
        <v>2331</v>
      </c>
      <c r="H2876">
        <v>799</v>
      </c>
      <c r="I2876" s="16" t="str">
        <f t="shared" si="44"/>
        <v>Normal</v>
      </c>
      <c r="J2876" t="s">
        <v>39</v>
      </c>
    </row>
    <row r="2877" spans="1:10">
      <c r="A2877" t="s">
        <v>5269</v>
      </c>
      <c r="B2877" t="s">
        <v>593</v>
      </c>
      <c r="C2877" t="s">
        <v>2273</v>
      </c>
      <c r="D2877" s="9">
        <v>45727</v>
      </c>
      <c r="E2877" t="s">
        <v>2330</v>
      </c>
      <c r="F2877" s="20">
        <v>100</v>
      </c>
      <c r="G2877" t="s">
        <v>2331</v>
      </c>
      <c r="H2877">
        <v>799</v>
      </c>
      <c r="I2877" s="16" t="str">
        <f t="shared" si="44"/>
        <v>Normal</v>
      </c>
      <c r="J2877">
        <v>1</v>
      </c>
    </row>
    <row r="2878" spans="1:10">
      <c r="A2878" t="s">
        <v>5270</v>
      </c>
      <c r="B2878" t="s">
        <v>1380</v>
      </c>
      <c r="C2878" t="s">
        <v>2241</v>
      </c>
      <c r="D2878" s="9">
        <v>45486</v>
      </c>
      <c r="E2878" t="s">
        <v>23</v>
      </c>
      <c r="G2878" t="s">
        <v>2325</v>
      </c>
      <c r="H2878">
        <v>2500</v>
      </c>
      <c r="I2878" s="16" t="str">
        <f t="shared" si="44"/>
        <v>Normal</v>
      </c>
      <c r="J2878">
        <v>4</v>
      </c>
    </row>
    <row r="2879" spans="1:10">
      <c r="A2879" t="s">
        <v>5271</v>
      </c>
      <c r="B2879" t="s">
        <v>1282</v>
      </c>
      <c r="C2879" t="s">
        <v>2264</v>
      </c>
      <c r="D2879" s="9">
        <v>46062</v>
      </c>
      <c r="E2879" t="s">
        <v>23</v>
      </c>
      <c r="G2879" t="s">
        <v>23</v>
      </c>
      <c r="H2879">
        <v>2500</v>
      </c>
      <c r="I2879" s="16" t="str">
        <f t="shared" si="44"/>
        <v>Normal</v>
      </c>
      <c r="J2879" t="s">
        <v>39</v>
      </c>
    </row>
    <row r="2880" spans="1:10">
      <c r="A2880" t="s">
        <v>5272</v>
      </c>
      <c r="B2880" t="s">
        <v>339</v>
      </c>
      <c r="C2880" t="s">
        <v>2269</v>
      </c>
      <c r="D2880" s="9">
        <v>46048</v>
      </c>
      <c r="E2880" t="s">
        <v>2330</v>
      </c>
      <c r="F2880" s="20">
        <v>100</v>
      </c>
      <c r="G2880" t="s">
        <v>2328</v>
      </c>
      <c r="H2880">
        <v>499</v>
      </c>
      <c r="I2880" s="16" t="str">
        <f t="shared" si="44"/>
        <v>Normal</v>
      </c>
      <c r="J2880">
        <v>1</v>
      </c>
    </row>
    <row r="2881" spans="1:10">
      <c r="A2881" t="s">
        <v>5273</v>
      </c>
      <c r="B2881" t="s">
        <v>1857</v>
      </c>
      <c r="C2881" t="s">
        <v>2235</v>
      </c>
      <c r="D2881" s="9">
        <v>45265</v>
      </c>
      <c r="E2881" t="s">
        <v>2330</v>
      </c>
      <c r="G2881" t="s">
        <v>2328</v>
      </c>
      <c r="I2881" s="16" t="str">
        <f t="shared" si="44"/>
        <v>Unknown</v>
      </c>
      <c r="J2881" t="s">
        <v>39</v>
      </c>
    </row>
    <row r="2882" spans="1:10">
      <c r="A2882" t="s">
        <v>5274</v>
      </c>
      <c r="B2882" t="s">
        <v>40</v>
      </c>
      <c r="C2882" t="s">
        <v>2225</v>
      </c>
      <c r="D2882" s="9">
        <v>45945</v>
      </c>
      <c r="E2882" t="s">
        <v>2337</v>
      </c>
      <c r="F2882" s="20">
        <v>15</v>
      </c>
      <c r="G2882" t="s">
        <v>2331</v>
      </c>
      <c r="I2882" s="16" t="str">
        <f t="shared" si="44"/>
        <v>Unknown</v>
      </c>
      <c r="J2882">
        <v>5</v>
      </c>
    </row>
    <row r="2883" spans="1:10">
      <c r="A2883" t="s">
        <v>5275</v>
      </c>
      <c r="B2883" t="s">
        <v>803</v>
      </c>
      <c r="C2883" t="s">
        <v>2216</v>
      </c>
      <c r="D2883" s="9">
        <v>45293</v>
      </c>
      <c r="E2883" t="s">
        <v>2337</v>
      </c>
      <c r="G2883" t="s">
        <v>23</v>
      </c>
      <c r="H2883">
        <v>1200</v>
      </c>
      <c r="I2883" s="16" t="str">
        <f t="shared" ref="I2883:I2946" si="45">IF(H2883="", "Unknown", IF(H2883=0, "Zero Amount", IF(H2883&lt;1, "Review", IF(H2883&gt;1, "Normal"))))</f>
        <v>Normal</v>
      </c>
      <c r="J2883">
        <v>2</v>
      </c>
    </row>
    <row r="2884" spans="1:10">
      <c r="A2884" t="s">
        <v>5276</v>
      </c>
      <c r="B2884" t="s">
        <v>1508</v>
      </c>
      <c r="C2884" t="s">
        <v>2235</v>
      </c>
      <c r="D2884" s="9">
        <v>45444</v>
      </c>
      <c r="E2884" t="s">
        <v>2337</v>
      </c>
      <c r="F2884" s="20">
        <v>0</v>
      </c>
      <c r="G2884" t="s">
        <v>2325</v>
      </c>
      <c r="H2884">
        <v>3000</v>
      </c>
      <c r="I2884" s="16" t="str">
        <f t="shared" si="45"/>
        <v>Normal</v>
      </c>
      <c r="J2884" t="s">
        <v>39</v>
      </c>
    </row>
    <row r="2885" spans="1:10">
      <c r="A2885" t="s">
        <v>5277</v>
      </c>
      <c r="B2885" t="s">
        <v>1177</v>
      </c>
      <c r="C2885" t="s">
        <v>2225</v>
      </c>
      <c r="D2885" s="9">
        <v>45126</v>
      </c>
      <c r="E2885" t="s">
        <v>23</v>
      </c>
      <c r="G2885" t="s">
        <v>23</v>
      </c>
      <c r="I2885" s="16" t="str">
        <f t="shared" si="45"/>
        <v>Unknown</v>
      </c>
      <c r="J2885">
        <v>1</v>
      </c>
    </row>
    <row r="2886" spans="1:10">
      <c r="A2886" t="s">
        <v>5278</v>
      </c>
      <c r="B2886" t="s">
        <v>907</v>
      </c>
      <c r="C2886" t="s">
        <v>2193</v>
      </c>
      <c r="D2886" s="9">
        <v>45757</v>
      </c>
      <c r="E2886" t="s">
        <v>2330</v>
      </c>
      <c r="F2886" s="20">
        <v>100</v>
      </c>
      <c r="G2886" t="s">
        <v>2328</v>
      </c>
      <c r="I2886" s="16" t="str">
        <f t="shared" si="45"/>
        <v>Unknown</v>
      </c>
      <c r="J2886" t="s">
        <v>39</v>
      </c>
    </row>
    <row r="2887" spans="1:10">
      <c r="A2887" t="s">
        <v>5279</v>
      </c>
      <c r="B2887" t="s">
        <v>1683</v>
      </c>
      <c r="C2887" t="s">
        <v>2225</v>
      </c>
      <c r="D2887" s="9">
        <v>46023</v>
      </c>
      <c r="E2887" t="s">
        <v>2330</v>
      </c>
      <c r="G2887" t="s">
        <v>2345</v>
      </c>
      <c r="I2887" s="16" t="str">
        <f t="shared" si="45"/>
        <v>Unknown</v>
      </c>
      <c r="J2887">
        <v>3</v>
      </c>
    </row>
    <row r="2888" spans="1:10">
      <c r="A2888" t="s">
        <v>5280</v>
      </c>
      <c r="B2888" t="s">
        <v>1149</v>
      </c>
      <c r="C2888" t="s">
        <v>2244</v>
      </c>
      <c r="D2888" s="9">
        <v>45952</v>
      </c>
      <c r="E2888" t="s">
        <v>2330</v>
      </c>
      <c r="F2888" s="20">
        <v>100</v>
      </c>
      <c r="G2888" t="s">
        <v>23</v>
      </c>
      <c r="H2888">
        <v>1200</v>
      </c>
      <c r="I2888" s="16" t="str">
        <f t="shared" si="45"/>
        <v>Normal</v>
      </c>
      <c r="J2888">
        <v>4</v>
      </c>
    </row>
    <row r="2889" spans="1:10">
      <c r="A2889" t="s">
        <v>5281</v>
      </c>
      <c r="B2889" t="s">
        <v>5282</v>
      </c>
      <c r="C2889" t="s">
        <v>2267</v>
      </c>
      <c r="D2889" s="9">
        <v>45689</v>
      </c>
      <c r="E2889" t="s">
        <v>2324</v>
      </c>
      <c r="F2889" s="20">
        <v>40</v>
      </c>
      <c r="G2889" t="s">
        <v>2331</v>
      </c>
      <c r="H2889">
        <v>999.99</v>
      </c>
      <c r="I2889" s="16" t="str">
        <f t="shared" si="45"/>
        <v>Normal</v>
      </c>
      <c r="J2889">
        <v>4</v>
      </c>
    </row>
    <row r="2890" spans="1:10">
      <c r="A2890" t="s">
        <v>5283</v>
      </c>
      <c r="B2890" t="s">
        <v>1103</v>
      </c>
      <c r="C2890" t="s">
        <v>2209</v>
      </c>
      <c r="D2890" s="9">
        <v>46058</v>
      </c>
      <c r="E2890" t="s">
        <v>2330</v>
      </c>
      <c r="F2890" s="20">
        <v>100</v>
      </c>
      <c r="G2890" t="s">
        <v>2331</v>
      </c>
      <c r="H2890">
        <v>499</v>
      </c>
      <c r="I2890" s="16" t="str">
        <f t="shared" si="45"/>
        <v>Normal</v>
      </c>
      <c r="J2890">
        <v>5</v>
      </c>
    </row>
    <row r="2891" spans="1:10">
      <c r="A2891" t="s">
        <v>5284</v>
      </c>
      <c r="B2891" t="s">
        <v>2135</v>
      </c>
      <c r="C2891" t="s">
        <v>2257</v>
      </c>
      <c r="D2891" s="9">
        <v>45456</v>
      </c>
      <c r="E2891" t="s">
        <v>23</v>
      </c>
      <c r="G2891" t="s">
        <v>2331</v>
      </c>
      <c r="I2891" s="16" t="str">
        <f t="shared" si="45"/>
        <v>Unknown</v>
      </c>
      <c r="J2891">
        <v>4</v>
      </c>
    </row>
    <row r="2892" spans="1:10">
      <c r="A2892" t="s">
        <v>5285</v>
      </c>
      <c r="B2892" t="s">
        <v>434</v>
      </c>
      <c r="C2892" t="s">
        <v>2193</v>
      </c>
      <c r="D2892" s="9">
        <v>45443</v>
      </c>
      <c r="E2892" t="s">
        <v>23</v>
      </c>
      <c r="G2892" t="s">
        <v>23</v>
      </c>
      <c r="H2892">
        <v>0</v>
      </c>
      <c r="I2892" s="16" t="str">
        <f t="shared" si="45"/>
        <v>Zero Amount</v>
      </c>
      <c r="J2892">
        <v>4</v>
      </c>
    </row>
    <row r="2893" spans="1:10">
      <c r="A2893" t="s">
        <v>5286</v>
      </c>
      <c r="B2893" t="s">
        <v>1360</v>
      </c>
      <c r="C2893" t="s">
        <v>2222</v>
      </c>
      <c r="D2893" s="9">
        <v>45350</v>
      </c>
      <c r="E2893" t="s">
        <v>2324</v>
      </c>
      <c r="F2893" s="20">
        <v>55</v>
      </c>
      <c r="G2893" t="s">
        <v>23</v>
      </c>
      <c r="H2893">
        <v>0</v>
      </c>
      <c r="I2893" s="16" t="str">
        <f t="shared" si="45"/>
        <v>Zero Amount</v>
      </c>
      <c r="J2893">
        <v>3</v>
      </c>
    </row>
    <row r="2894" spans="1:10">
      <c r="A2894" t="s">
        <v>5287</v>
      </c>
      <c r="B2894" t="s">
        <v>597</v>
      </c>
      <c r="C2894" t="s">
        <v>2209</v>
      </c>
      <c r="D2894" s="9">
        <v>45384</v>
      </c>
      <c r="E2894" t="s">
        <v>2330</v>
      </c>
      <c r="F2894" s="20">
        <v>100</v>
      </c>
      <c r="G2894" t="s">
        <v>2345</v>
      </c>
      <c r="H2894">
        <v>499</v>
      </c>
      <c r="I2894" s="16" t="str">
        <f t="shared" si="45"/>
        <v>Normal</v>
      </c>
      <c r="J2894">
        <v>2</v>
      </c>
    </row>
    <row r="2895" spans="1:10">
      <c r="A2895" t="s">
        <v>5288</v>
      </c>
      <c r="B2895" t="s">
        <v>133</v>
      </c>
      <c r="C2895" t="s">
        <v>2261</v>
      </c>
      <c r="D2895" s="9">
        <v>45430</v>
      </c>
      <c r="E2895" t="s">
        <v>2330</v>
      </c>
      <c r="F2895" s="20">
        <v>100</v>
      </c>
      <c r="G2895" t="s">
        <v>2328</v>
      </c>
      <c r="I2895" s="16" t="str">
        <f t="shared" si="45"/>
        <v>Unknown</v>
      </c>
      <c r="J2895">
        <v>4</v>
      </c>
    </row>
    <row r="2896" spans="1:10">
      <c r="A2896" t="s">
        <v>5289</v>
      </c>
      <c r="B2896" t="s">
        <v>1960</v>
      </c>
      <c r="C2896" t="s">
        <v>2269</v>
      </c>
      <c r="D2896" s="9">
        <v>45563</v>
      </c>
      <c r="E2896" t="s">
        <v>2337</v>
      </c>
      <c r="F2896" s="20">
        <v>0</v>
      </c>
      <c r="G2896" t="s">
        <v>2339</v>
      </c>
      <c r="H2896">
        <v>499</v>
      </c>
      <c r="I2896" s="16" t="str">
        <f t="shared" si="45"/>
        <v>Normal</v>
      </c>
      <c r="J2896">
        <v>4</v>
      </c>
    </row>
    <row r="2897" spans="1:10">
      <c r="A2897" t="s">
        <v>5290</v>
      </c>
      <c r="B2897" t="s">
        <v>1520</v>
      </c>
      <c r="C2897" t="s">
        <v>2198</v>
      </c>
      <c r="D2897" s="9">
        <v>45395</v>
      </c>
      <c r="E2897" t="s">
        <v>2327</v>
      </c>
      <c r="F2897" s="20">
        <v>20</v>
      </c>
      <c r="G2897" t="s">
        <v>23</v>
      </c>
      <c r="I2897" s="16" t="str">
        <f t="shared" si="45"/>
        <v>Unknown</v>
      </c>
      <c r="J2897">
        <v>5</v>
      </c>
    </row>
    <row r="2898" spans="1:10">
      <c r="A2898" t="s">
        <v>5291</v>
      </c>
      <c r="B2898" t="s">
        <v>2642</v>
      </c>
      <c r="C2898" t="s">
        <v>2271</v>
      </c>
      <c r="D2898" s="9">
        <v>46360</v>
      </c>
      <c r="E2898" t="s">
        <v>23</v>
      </c>
      <c r="G2898" t="s">
        <v>2345</v>
      </c>
      <c r="H2898">
        <v>1200</v>
      </c>
      <c r="I2898" s="16" t="str">
        <f t="shared" si="45"/>
        <v>Normal</v>
      </c>
      <c r="J2898">
        <v>4</v>
      </c>
    </row>
    <row r="2899" spans="1:10">
      <c r="A2899" t="s">
        <v>5292</v>
      </c>
      <c r="B2899" t="s">
        <v>2528</v>
      </c>
      <c r="C2899" t="s">
        <v>2247</v>
      </c>
      <c r="D2899" s="9">
        <v>45336</v>
      </c>
      <c r="E2899" t="s">
        <v>2337</v>
      </c>
      <c r="F2899" s="20">
        <v>5</v>
      </c>
      <c r="G2899" t="s">
        <v>23</v>
      </c>
      <c r="I2899" s="16" t="str">
        <f t="shared" si="45"/>
        <v>Unknown</v>
      </c>
      <c r="J2899">
        <v>4</v>
      </c>
    </row>
    <row r="2900" spans="1:10">
      <c r="A2900" t="s">
        <v>5293</v>
      </c>
      <c r="B2900" t="s">
        <v>1544</v>
      </c>
      <c r="C2900" t="s">
        <v>2209</v>
      </c>
      <c r="D2900" s="9">
        <v>45487</v>
      </c>
      <c r="E2900" t="s">
        <v>23</v>
      </c>
      <c r="G2900" t="s">
        <v>2331</v>
      </c>
      <c r="H2900">
        <v>499</v>
      </c>
      <c r="I2900" s="16" t="str">
        <f t="shared" si="45"/>
        <v>Normal</v>
      </c>
      <c r="J2900" t="s">
        <v>39</v>
      </c>
    </row>
    <row r="2901" spans="1:10">
      <c r="A2901" t="s">
        <v>5294</v>
      </c>
      <c r="B2901" t="s">
        <v>246</v>
      </c>
      <c r="C2901" t="s">
        <v>2235</v>
      </c>
      <c r="D2901" s="9">
        <v>45248</v>
      </c>
      <c r="E2901" t="s">
        <v>2324</v>
      </c>
      <c r="F2901" s="20">
        <v>10</v>
      </c>
      <c r="G2901" t="s">
        <v>2328</v>
      </c>
      <c r="H2901">
        <v>3000</v>
      </c>
      <c r="I2901" s="16" t="str">
        <f t="shared" si="45"/>
        <v>Normal</v>
      </c>
      <c r="J2901" t="s">
        <v>39</v>
      </c>
    </row>
    <row r="2902" spans="1:10">
      <c r="A2902" t="s">
        <v>5295</v>
      </c>
      <c r="B2902" t="s">
        <v>675</v>
      </c>
      <c r="C2902" t="s">
        <v>2209</v>
      </c>
      <c r="D2902" s="9">
        <v>46083</v>
      </c>
      <c r="E2902" t="s">
        <v>2330</v>
      </c>
      <c r="F2902" s="20">
        <v>100</v>
      </c>
      <c r="G2902" t="s">
        <v>2339</v>
      </c>
      <c r="H2902">
        <v>-499</v>
      </c>
      <c r="I2902" s="16" t="str">
        <f t="shared" si="45"/>
        <v>Review</v>
      </c>
      <c r="J2902">
        <v>4</v>
      </c>
    </row>
    <row r="2903" spans="1:10">
      <c r="A2903" t="s">
        <v>5296</v>
      </c>
      <c r="B2903" t="s">
        <v>1095</v>
      </c>
      <c r="C2903" t="s">
        <v>2213</v>
      </c>
      <c r="D2903" s="9">
        <v>45579</v>
      </c>
      <c r="E2903" t="s">
        <v>2330</v>
      </c>
      <c r="F2903" s="20">
        <v>100</v>
      </c>
      <c r="G2903" t="s">
        <v>2325</v>
      </c>
      <c r="I2903" s="16" t="str">
        <f t="shared" si="45"/>
        <v>Unknown</v>
      </c>
      <c r="J2903">
        <v>1</v>
      </c>
    </row>
    <row r="2904" spans="1:10">
      <c r="A2904" t="s">
        <v>5297</v>
      </c>
      <c r="B2904" t="s">
        <v>236</v>
      </c>
      <c r="C2904" t="s">
        <v>2264</v>
      </c>
      <c r="D2904" s="9">
        <v>46012</v>
      </c>
      <c r="E2904" t="s">
        <v>2330</v>
      </c>
      <c r="F2904" s="20">
        <v>100</v>
      </c>
      <c r="G2904" t="s">
        <v>2325</v>
      </c>
      <c r="H2904">
        <v>2500</v>
      </c>
      <c r="I2904" s="16" t="str">
        <f t="shared" si="45"/>
        <v>Normal</v>
      </c>
      <c r="J2904">
        <v>4</v>
      </c>
    </row>
    <row r="2905" spans="1:10">
      <c r="A2905" t="s">
        <v>5298</v>
      </c>
      <c r="B2905" t="s">
        <v>965</v>
      </c>
      <c r="C2905" t="s">
        <v>2218</v>
      </c>
      <c r="D2905" s="9">
        <v>45420</v>
      </c>
      <c r="E2905" t="s">
        <v>2330</v>
      </c>
      <c r="F2905" s="20">
        <v>100</v>
      </c>
      <c r="G2905" t="s">
        <v>2345</v>
      </c>
      <c r="H2905">
        <v>1500</v>
      </c>
      <c r="I2905" s="16" t="str">
        <f t="shared" si="45"/>
        <v>Normal</v>
      </c>
      <c r="J2905">
        <v>4</v>
      </c>
    </row>
    <row r="2906" spans="1:10">
      <c r="A2906" t="s">
        <v>5299</v>
      </c>
      <c r="B2906" t="s">
        <v>1414</v>
      </c>
      <c r="C2906" t="s">
        <v>2247</v>
      </c>
      <c r="D2906" s="9">
        <v>45584</v>
      </c>
      <c r="E2906" t="s">
        <v>2330</v>
      </c>
      <c r="F2906" s="20">
        <v>100</v>
      </c>
      <c r="G2906" t="s">
        <v>2331</v>
      </c>
      <c r="I2906" s="16" t="str">
        <f t="shared" si="45"/>
        <v>Unknown</v>
      </c>
      <c r="J2906" t="s">
        <v>39</v>
      </c>
    </row>
    <row r="2907" spans="1:10">
      <c r="A2907" t="s">
        <v>5300</v>
      </c>
      <c r="B2907" t="s">
        <v>516</v>
      </c>
      <c r="C2907" t="s">
        <v>2213</v>
      </c>
      <c r="D2907" s="9">
        <v>45913</v>
      </c>
      <c r="E2907" t="s">
        <v>23</v>
      </c>
      <c r="G2907" t="s">
        <v>2331</v>
      </c>
      <c r="I2907" s="16" t="str">
        <f t="shared" si="45"/>
        <v>Unknown</v>
      </c>
      <c r="J2907">
        <v>5</v>
      </c>
    </row>
    <row r="2908" spans="1:10">
      <c r="A2908" t="s">
        <v>5301</v>
      </c>
      <c r="B2908" t="s">
        <v>551</v>
      </c>
      <c r="C2908" t="s">
        <v>2249</v>
      </c>
      <c r="D2908" s="9">
        <v>45878</v>
      </c>
      <c r="E2908" t="s">
        <v>2324</v>
      </c>
      <c r="F2908" s="20">
        <v>25</v>
      </c>
      <c r="G2908" t="s">
        <v>23</v>
      </c>
      <c r="H2908">
        <v>1500</v>
      </c>
      <c r="I2908" s="16" t="str">
        <f t="shared" si="45"/>
        <v>Normal</v>
      </c>
      <c r="J2908">
        <v>5</v>
      </c>
    </row>
    <row r="2909" spans="1:10">
      <c r="A2909" t="s">
        <v>5302</v>
      </c>
      <c r="B2909" t="s">
        <v>224</v>
      </c>
      <c r="C2909" t="s">
        <v>2193</v>
      </c>
      <c r="D2909" s="9">
        <v>45573</v>
      </c>
      <c r="E2909" t="s">
        <v>2330</v>
      </c>
      <c r="G2909" t="s">
        <v>2331</v>
      </c>
      <c r="H2909">
        <v>0</v>
      </c>
      <c r="I2909" s="16" t="str">
        <f t="shared" si="45"/>
        <v>Zero Amount</v>
      </c>
      <c r="J2909">
        <v>2</v>
      </c>
    </row>
    <row r="2910" spans="1:10">
      <c r="A2910" t="s">
        <v>5303</v>
      </c>
      <c r="B2910" t="s">
        <v>1095</v>
      </c>
      <c r="C2910" t="s">
        <v>2244</v>
      </c>
      <c r="D2910" s="9">
        <v>45587</v>
      </c>
      <c r="E2910" t="s">
        <v>2324</v>
      </c>
      <c r="F2910" s="20">
        <v>25</v>
      </c>
      <c r="G2910" t="s">
        <v>2345</v>
      </c>
      <c r="H2910">
        <v>1200</v>
      </c>
      <c r="I2910" s="16" t="str">
        <f t="shared" si="45"/>
        <v>Normal</v>
      </c>
      <c r="J2910" t="s">
        <v>39</v>
      </c>
    </row>
    <row r="2911" spans="1:10">
      <c r="A2911" t="s">
        <v>5304</v>
      </c>
      <c r="B2911" t="s">
        <v>979</v>
      </c>
      <c r="C2911" t="s">
        <v>2209</v>
      </c>
      <c r="D2911" s="9">
        <v>45535</v>
      </c>
      <c r="E2911" t="s">
        <v>2324</v>
      </c>
      <c r="F2911" s="20">
        <v>40</v>
      </c>
      <c r="G2911" t="s">
        <v>2345</v>
      </c>
      <c r="H2911">
        <v>499</v>
      </c>
      <c r="I2911" s="16" t="str">
        <f t="shared" si="45"/>
        <v>Normal</v>
      </c>
      <c r="J2911" t="s">
        <v>39</v>
      </c>
    </row>
    <row r="2912" spans="1:10">
      <c r="A2912" t="s">
        <v>5305</v>
      </c>
      <c r="B2912" t="s">
        <v>1225</v>
      </c>
      <c r="C2912" t="s">
        <v>2216</v>
      </c>
      <c r="D2912" s="9">
        <v>45293</v>
      </c>
      <c r="E2912" t="s">
        <v>2337</v>
      </c>
      <c r="F2912" s="20">
        <v>15</v>
      </c>
      <c r="G2912" t="s">
        <v>2345</v>
      </c>
      <c r="H2912">
        <v>-1200</v>
      </c>
      <c r="I2912" s="16" t="str">
        <f t="shared" si="45"/>
        <v>Review</v>
      </c>
      <c r="J2912" t="s">
        <v>39</v>
      </c>
    </row>
    <row r="2913" spans="1:10">
      <c r="A2913" t="s">
        <v>5306</v>
      </c>
      <c r="B2913" t="s">
        <v>1779</v>
      </c>
      <c r="C2913" t="s">
        <v>2244</v>
      </c>
      <c r="D2913" s="9">
        <v>45604</v>
      </c>
      <c r="E2913" t="s">
        <v>23</v>
      </c>
      <c r="G2913" t="s">
        <v>2339</v>
      </c>
      <c r="H2913">
        <v>1200</v>
      </c>
      <c r="I2913" s="16" t="str">
        <f t="shared" si="45"/>
        <v>Normal</v>
      </c>
      <c r="J2913">
        <v>5</v>
      </c>
    </row>
    <row r="2914" spans="1:10">
      <c r="A2914" t="s">
        <v>5307</v>
      </c>
      <c r="B2914" t="s">
        <v>203</v>
      </c>
      <c r="C2914" t="s">
        <v>2216</v>
      </c>
      <c r="D2914" s="9">
        <v>45990</v>
      </c>
      <c r="E2914" t="s">
        <v>2327</v>
      </c>
      <c r="F2914" s="20">
        <v>5</v>
      </c>
      <c r="G2914" t="s">
        <v>2331</v>
      </c>
      <c r="H2914">
        <v>1200</v>
      </c>
      <c r="I2914" s="16" t="str">
        <f t="shared" si="45"/>
        <v>Normal</v>
      </c>
      <c r="J2914" t="s">
        <v>39</v>
      </c>
    </row>
    <row r="2915" spans="1:10">
      <c r="A2915" t="s">
        <v>5308</v>
      </c>
      <c r="B2915" t="s">
        <v>1782</v>
      </c>
      <c r="C2915" t="s">
        <v>2193</v>
      </c>
      <c r="D2915" s="9">
        <v>45199</v>
      </c>
      <c r="E2915" t="s">
        <v>2324</v>
      </c>
      <c r="F2915" s="20">
        <v>60</v>
      </c>
      <c r="G2915" t="s">
        <v>2325</v>
      </c>
      <c r="H2915">
        <v>0</v>
      </c>
      <c r="I2915" s="16" t="str">
        <f t="shared" si="45"/>
        <v>Zero Amount</v>
      </c>
      <c r="J2915">
        <v>4</v>
      </c>
    </row>
    <row r="2916" spans="1:10">
      <c r="A2916" t="s">
        <v>5309</v>
      </c>
      <c r="B2916" t="s">
        <v>1218</v>
      </c>
      <c r="C2916" t="s">
        <v>2261</v>
      </c>
      <c r="D2916" s="9">
        <v>45289</v>
      </c>
      <c r="E2916" t="s">
        <v>2327</v>
      </c>
      <c r="G2916" t="s">
        <v>23</v>
      </c>
      <c r="I2916" s="16" t="str">
        <f t="shared" si="45"/>
        <v>Unknown</v>
      </c>
      <c r="J2916">
        <v>5</v>
      </c>
    </row>
    <row r="2917" spans="1:10">
      <c r="A2917" t="s">
        <v>5310</v>
      </c>
      <c r="B2917" t="s">
        <v>626</v>
      </c>
      <c r="C2917" t="s">
        <v>2273</v>
      </c>
      <c r="D2917" s="9">
        <v>46098</v>
      </c>
      <c r="E2917" t="s">
        <v>23</v>
      </c>
      <c r="G2917" t="s">
        <v>2331</v>
      </c>
      <c r="H2917">
        <v>799</v>
      </c>
      <c r="I2917" s="16" t="str">
        <f t="shared" si="45"/>
        <v>Normal</v>
      </c>
      <c r="J2917">
        <v>1</v>
      </c>
    </row>
    <row r="2918" spans="1:10">
      <c r="A2918" t="s">
        <v>5311</v>
      </c>
      <c r="B2918" t="s">
        <v>961</v>
      </c>
      <c r="C2918" t="s">
        <v>2264</v>
      </c>
      <c r="D2918" s="9">
        <v>45892</v>
      </c>
      <c r="E2918" t="s">
        <v>2330</v>
      </c>
      <c r="G2918" t="s">
        <v>2328</v>
      </c>
      <c r="H2918">
        <v>2500</v>
      </c>
      <c r="I2918" s="16" t="str">
        <f t="shared" si="45"/>
        <v>Normal</v>
      </c>
      <c r="J2918">
        <v>4</v>
      </c>
    </row>
    <row r="2919" spans="1:10">
      <c r="A2919" t="s">
        <v>5312</v>
      </c>
      <c r="B2919" t="s">
        <v>678</v>
      </c>
      <c r="C2919" t="s">
        <v>2247</v>
      </c>
      <c r="D2919" s="9">
        <v>45231</v>
      </c>
      <c r="E2919" t="s">
        <v>23</v>
      </c>
      <c r="G2919" t="s">
        <v>2345</v>
      </c>
      <c r="I2919" s="16" t="str">
        <f t="shared" si="45"/>
        <v>Unknown</v>
      </c>
      <c r="J2919">
        <v>4</v>
      </c>
    </row>
    <row r="2920" spans="1:10">
      <c r="A2920" t="s">
        <v>5313</v>
      </c>
      <c r="B2920" t="s">
        <v>460</v>
      </c>
      <c r="C2920" t="s">
        <v>2233</v>
      </c>
      <c r="D2920" s="9">
        <v>45927</v>
      </c>
      <c r="E2920" t="s">
        <v>2330</v>
      </c>
      <c r="F2920" s="20">
        <v>100</v>
      </c>
      <c r="G2920" t="s">
        <v>2345</v>
      </c>
      <c r="H2920">
        <v>2500</v>
      </c>
      <c r="I2920" s="16" t="str">
        <f t="shared" si="45"/>
        <v>Normal</v>
      </c>
      <c r="J2920">
        <v>1</v>
      </c>
    </row>
    <row r="2921" spans="1:10">
      <c r="A2921" t="s">
        <v>5314</v>
      </c>
      <c r="B2921" t="s">
        <v>1748</v>
      </c>
      <c r="C2921" t="s">
        <v>2187</v>
      </c>
      <c r="D2921" s="9">
        <v>45229</v>
      </c>
      <c r="E2921" t="s">
        <v>2324</v>
      </c>
      <c r="F2921" s="20">
        <v>10</v>
      </c>
      <c r="G2921" t="s">
        <v>23</v>
      </c>
      <c r="H2921">
        <v>799</v>
      </c>
      <c r="I2921" s="16" t="str">
        <f t="shared" si="45"/>
        <v>Normal</v>
      </c>
      <c r="J2921" t="s">
        <v>39</v>
      </c>
    </row>
    <row r="2922" spans="1:10">
      <c r="A2922" t="s">
        <v>5315</v>
      </c>
      <c r="B2922" t="s">
        <v>1184</v>
      </c>
      <c r="C2922" t="s">
        <v>2225</v>
      </c>
      <c r="D2922" s="9">
        <v>45634</v>
      </c>
      <c r="E2922" t="s">
        <v>2324</v>
      </c>
      <c r="F2922" s="20">
        <v>25</v>
      </c>
      <c r="G2922" t="s">
        <v>2339</v>
      </c>
      <c r="I2922" s="16" t="str">
        <f t="shared" si="45"/>
        <v>Unknown</v>
      </c>
      <c r="J2922" t="s">
        <v>39</v>
      </c>
    </row>
    <row r="2923" spans="1:10">
      <c r="A2923" t="s">
        <v>5316</v>
      </c>
      <c r="B2923" t="s">
        <v>34</v>
      </c>
      <c r="C2923" t="s">
        <v>2198</v>
      </c>
      <c r="D2923" s="9">
        <v>45760</v>
      </c>
      <c r="E2923" t="s">
        <v>23</v>
      </c>
      <c r="G2923" t="s">
        <v>2345</v>
      </c>
      <c r="I2923" s="16" t="str">
        <f t="shared" si="45"/>
        <v>Unknown</v>
      </c>
      <c r="J2923">
        <v>3</v>
      </c>
    </row>
    <row r="2924" spans="1:10">
      <c r="A2924" t="s">
        <v>5317</v>
      </c>
      <c r="B2924" t="s">
        <v>284</v>
      </c>
      <c r="C2924" t="s">
        <v>2231</v>
      </c>
      <c r="D2924" s="9">
        <v>45919</v>
      </c>
      <c r="E2924" t="s">
        <v>23</v>
      </c>
      <c r="G2924" t="s">
        <v>2331</v>
      </c>
      <c r="I2924" s="16" t="str">
        <f t="shared" si="45"/>
        <v>Unknown</v>
      </c>
      <c r="J2924">
        <v>4</v>
      </c>
    </row>
    <row r="2925" spans="1:10">
      <c r="A2925" t="s">
        <v>5318</v>
      </c>
      <c r="B2925" t="s">
        <v>246</v>
      </c>
      <c r="C2925" t="s">
        <v>2269</v>
      </c>
      <c r="D2925" s="9">
        <v>45328</v>
      </c>
      <c r="E2925" t="s">
        <v>2337</v>
      </c>
      <c r="F2925" s="20">
        <v>20</v>
      </c>
      <c r="G2925" t="s">
        <v>2331</v>
      </c>
      <c r="I2925" s="16" t="str">
        <f t="shared" si="45"/>
        <v>Unknown</v>
      </c>
      <c r="J2925" t="s">
        <v>39</v>
      </c>
    </row>
    <row r="2926" spans="1:10">
      <c r="A2926" t="s">
        <v>5319</v>
      </c>
      <c r="B2926" t="s">
        <v>103</v>
      </c>
      <c r="C2926" t="s">
        <v>2261</v>
      </c>
      <c r="D2926" s="9">
        <v>45307</v>
      </c>
      <c r="E2926" t="s">
        <v>2324</v>
      </c>
      <c r="F2926" s="20">
        <v>25</v>
      </c>
      <c r="G2926" t="s">
        <v>23</v>
      </c>
      <c r="I2926" s="16" t="str">
        <f t="shared" si="45"/>
        <v>Unknown</v>
      </c>
      <c r="J2926">
        <v>4</v>
      </c>
    </row>
    <row r="2927" spans="1:10">
      <c r="A2927" t="s">
        <v>5320</v>
      </c>
      <c r="B2927" t="s">
        <v>965</v>
      </c>
      <c r="C2927" t="s">
        <v>2218</v>
      </c>
      <c r="D2927" s="9">
        <v>46177</v>
      </c>
      <c r="E2927" t="s">
        <v>2330</v>
      </c>
      <c r="F2927" s="20">
        <v>100</v>
      </c>
      <c r="G2927" t="s">
        <v>2328</v>
      </c>
      <c r="H2927">
        <v>1500</v>
      </c>
      <c r="I2927" s="16" t="str">
        <f t="shared" si="45"/>
        <v>Normal</v>
      </c>
      <c r="J2927">
        <v>1</v>
      </c>
    </row>
    <row r="2928" spans="1:10">
      <c r="A2928" t="s">
        <v>5321</v>
      </c>
      <c r="B2928" t="s">
        <v>246</v>
      </c>
      <c r="C2928" t="s">
        <v>2237</v>
      </c>
      <c r="D2928" s="9">
        <v>45974</v>
      </c>
      <c r="E2928" t="s">
        <v>2324</v>
      </c>
      <c r="F2928" s="20">
        <v>40</v>
      </c>
      <c r="G2928" t="s">
        <v>2325</v>
      </c>
      <c r="H2928">
        <v>1500</v>
      </c>
      <c r="I2928" s="16" t="str">
        <f t="shared" si="45"/>
        <v>Normal</v>
      </c>
      <c r="J2928">
        <v>5</v>
      </c>
    </row>
    <row r="2929" spans="1:10">
      <c r="A2929" t="s">
        <v>5322</v>
      </c>
      <c r="B2929" t="s">
        <v>776</v>
      </c>
      <c r="C2929" t="s">
        <v>2187</v>
      </c>
      <c r="D2929" s="9">
        <v>45492</v>
      </c>
      <c r="E2929" t="s">
        <v>2324</v>
      </c>
      <c r="F2929" s="20">
        <v>60</v>
      </c>
      <c r="G2929" t="s">
        <v>2325</v>
      </c>
      <c r="H2929">
        <v>-799</v>
      </c>
      <c r="I2929" s="16" t="str">
        <f t="shared" si="45"/>
        <v>Review</v>
      </c>
      <c r="J2929">
        <v>5</v>
      </c>
    </row>
    <row r="2930" spans="1:10">
      <c r="A2930" t="s">
        <v>5323</v>
      </c>
      <c r="B2930" t="s">
        <v>2054</v>
      </c>
      <c r="C2930" t="s">
        <v>2213</v>
      </c>
      <c r="D2930" s="9">
        <v>45377</v>
      </c>
      <c r="E2930" t="s">
        <v>2330</v>
      </c>
      <c r="F2930" s="20">
        <v>100</v>
      </c>
      <c r="G2930" t="s">
        <v>2331</v>
      </c>
      <c r="H2930">
        <v>1500</v>
      </c>
      <c r="I2930" s="16" t="str">
        <f t="shared" si="45"/>
        <v>Normal</v>
      </c>
      <c r="J2930">
        <v>4</v>
      </c>
    </row>
    <row r="2931" spans="1:10">
      <c r="A2931" t="s">
        <v>5324</v>
      </c>
      <c r="B2931" t="s">
        <v>989</v>
      </c>
      <c r="C2931" t="s">
        <v>2225</v>
      </c>
      <c r="D2931" s="9">
        <v>45220</v>
      </c>
      <c r="E2931" t="s">
        <v>2327</v>
      </c>
      <c r="F2931" s="20">
        <v>5</v>
      </c>
      <c r="G2931" t="s">
        <v>2331</v>
      </c>
      <c r="I2931" s="16" t="str">
        <f t="shared" si="45"/>
        <v>Unknown</v>
      </c>
      <c r="J2931" t="s">
        <v>39</v>
      </c>
    </row>
    <row r="2932" spans="1:10">
      <c r="A2932" t="s">
        <v>5325</v>
      </c>
      <c r="B2932" t="s">
        <v>1022</v>
      </c>
      <c r="C2932" t="s">
        <v>2259</v>
      </c>
      <c r="D2932" s="9">
        <v>45598</v>
      </c>
      <c r="E2932" t="s">
        <v>2324</v>
      </c>
      <c r="F2932" s="20">
        <v>60</v>
      </c>
      <c r="G2932" t="s">
        <v>23</v>
      </c>
      <c r="H2932">
        <v>0</v>
      </c>
      <c r="I2932" s="16" t="str">
        <f t="shared" si="45"/>
        <v>Zero Amount</v>
      </c>
      <c r="J2932" t="s">
        <v>39</v>
      </c>
    </row>
    <row r="2933" spans="1:10">
      <c r="A2933" t="s">
        <v>5326</v>
      </c>
      <c r="B2933" t="s">
        <v>51</v>
      </c>
      <c r="C2933" t="s">
        <v>2202</v>
      </c>
      <c r="D2933" s="9">
        <v>45105</v>
      </c>
      <c r="E2933" t="s">
        <v>2330</v>
      </c>
      <c r="F2933" s="20">
        <v>100</v>
      </c>
      <c r="G2933" t="s">
        <v>23</v>
      </c>
      <c r="H2933">
        <v>999.99</v>
      </c>
      <c r="I2933" s="16" t="str">
        <f t="shared" si="45"/>
        <v>Normal</v>
      </c>
      <c r="J2933" t="s">
        <v>39</v>
      </c>
    </row>
    <row r="2934" spans="1:10">
      <c r="A2934" t="s">
        <v>5327</v>
      </c>
      <c r="B2934" t="s">
        <v>1790</v>
      </c>
      <c r="C2934" t="s">
        <v>2253</v>
      </c>
      <c r="D2934" s="9">
        <v>45978</v>
      </c>
      <c r="E2934" t="s">
        <v>2330</v>
      </c>
      <c r="F2934" s="20">
        <v>100</v>
      </c>
      <c r="G2934" t="s">
        <v>2331</v>
      </c>
      <c r="H2934">
        <v>1200</v>
      </c>
      <c r="I2934" s="16" t="str">
        <f t="shared" si="45"/>
        <v>Normal</v>
      </c>
      <c r="J2934">
        <v>4</v>
      </c>
    </row>
    <row r="2935" spans="1:10">
      <c r="A2935" t="s">
        <v>5328</v>
      </c>
      <c r="B2935" t="s">
        <v>2111</v>
      </c>
      <c r="C2935" t="s">
        <v>2205</v>
      </c>
      <c r="D2935" s="9">
        <v>45536</v>
      </c>
      <c r="E2935" t="s">
        <v>2324</v>
      </c>
      <c r="G2935" t="s">
        <v>2331</v>
      </c>
      <c r="H2935">
        <v>1500</v>
      </c>
      <c r="I2935" s="16" t="str">
        <f t="shared" si="45"/>
        <v>Normal</v>
      </c>
      <c r="J2935">
        <v>5</v>
      </c>
    </row>
    <row r="2936" spans="1:10">
      <c r="A2936" t="s">
        <v>5329</v>
      </c>
      <c r="B2936" t="s">
        <v>502</v>
      </c>
      <c r="C2936" t="s">
        <v>2216</v>
      </c>
      <c r="D2936" s="9">
        <v>46037</v>
      </c>
      <c r="E2936" t="s">
        <v>2327</v>
      </c>
      <c r="G2936" t="s">
        <v>2345</v>
      </c>
      <c r="H2936">
        <v>1200</v>
      </c>
      <c r="I2936" s="16" t="str">
        <f t="shared" si="45"/>
        <v>Normal</v>
      </c>
      <c r="J2936">
        <v>5</v>
      </c>
    </row>
    <row r="2937" spans="1:10">
      <c r="A2937" t="s">
        <v>5330</v>
      </c>
      <c r="B2937" t="s">
        <v>2122</v>
      </c>
      <c r="C2937" t="s">
        <v>2251</v>
      </c>
      <c r="D2937" s="9">
        <v>45486</v>
      </c>
      <c r="E2937" t="s">
        <v>23</v>
      </c>
      <c r="G2937" t="s">
        <v>2339</v>
      </c>
      <c r="H2937">
        <v>1500</v>
      </c>
      <c r="I2937" s="16" t="str">
        <f t="shared" si="45"/>
        <v>Normal</v>
      </c>
      <c r="J2937">
        <v>4</v>
      </c>
    </row>
    <row r="2938" spans="1:10">
      <c r="A2938" t="s">
        <v>5331</v>
      </c>
      <c r="B2938" t="s">
        <v>99</v>
      </c>
      <c r="C2938" t="s">
        <v>2273</v>
      </c>
      <c r="D2938" s="9">
        <v>46134</v>
      </c>
      <c r="E2938" t="s">
        <v>2324</v>
      </c>
      <c r="F2938" s="20">
        <v>60</v>
      </c>
      <c r="G2938" t="s">
        <v>2331</v>
      </c>
      <c r="H2938">
        <v>799</v>
      </c>
      <c r="I2938" s="16" t="str">
        <f t="shared" si="45"/>
        <v>Normal</v>
      </c>
      <c r="J2938">
        <v>3</v>
      </c>
    </row>
    <row r="2939" spans="1:10">
      <c r="A2939" t="s">
        <v>5332</v>
      </c>
      <c r="B2939" t="s">
        <v>324</v>
      </c>
      <c r="C2939" t="s">
        <v>2233</v>
      </c>
      <c r="D2939" s="9">
        <v>46014</v>
      </c>
      <c r="E2939" t="s">
        <v>23</v>
      </c>
      <c r="G2939" t="s">
        <v>2339</v>
      </c>
      <c r="H2939">
        <v>1979.55</v>
      </c>
      <c r="I2939" s="16" t="str">
        <f t="shared" si="45"/>
        <v>Normal</v>
      </c>
      <c r="J2939" t="s">
        <v>39</v>
      </c>
    </row>
    <row r="2940" spans="1:10">
      <c r="A2940" t="s">
        <v>5333</v>
      </c>
      <c r="B2940" t="s">
        <v>107</v>
      </c>
      <c r="C2940" t="s">
        <v>2271</v>
      </c>
      <c r="D2940" s="9">
        <v>45514</v>
      </c>
      <c r="E2940" t="s">
        <v>2324</v>
      </c>
      <c r="G2940" t="s">
        <v>2331</v>
      </c>
      <c r="H2940">
        <v>1200</v>
      </c>
      <c r="I2940" s="16" t="str">
        <f t="shared" si="45"/>
        <v>Normal</v>
      </c>
      <c r="J2940">
        <v>5</v>
      </c>
    </row>
    <row r="2941" spans="1:10">
      <c r="A2941" t="s">
        <v>5334</v>
      </c>
      <c r="B2941" t="s">
        <v>1177</v>
      </c>
      <c r="C2941" t="s">
        <v>2273</v>
      </c>
      <c r="D2941" s="9">
        <v>46027</v>
      </c>
      <c r="E2941" t="s">
        <v>2330</v>
      </c>
      <c r="G2941" t="s">
        <v>2325</v>
      </c>
      <c r="H2941">
        <v>799</v>
      </c>
      <c r="I2941" s="16" t="str">
        <f t="shared" si="45"/>
        <v>Normal</v>
      </c>
      <c r="J2941">
        <v>5</v>
      </c>
    </row>
    <row r="2942" spans="1:10">
      <c r="A2942" t="s">
        <v>5335</v>
      </c>
      <c r="B2942" t="s">
        <v>2147</v>
      </c>
      <c r="C2942" t="s">
        <v>2233</v>
      </c>
      <c r="D2942" s="9">
        <v>45427</v>
      </c>
      <c r="E2942" t="s">
        <v>2337</v>
      </c>
      <c r="F2942" s="20">
        <v>5</v>
      </c>
      <c r="G2942" t="s">
        <v>2325</v>
      </c>
      <c r="H2942">
        <v>2500</v>
      </c>
      <c r="I2942" s="16" t="str">
        <f t="shared" si="45"/>
        <v>Normal</v>
      </c>
      <c r="J2942">
        <v>3</v>
      </c>
    </row>
    <row r="2943" spans="1:10">
      <c r="A2943" t="s">
        <v>5336</v>
      </c>
      <c r="B2943" t="s">
        <v>296</v>
      </c>
      <c r="C2943" t="s">
        <v>2209</v>
      </c>
      <c r="D2943" s="9">
        <v>46193</v>
      </c>
      <c r="E2943" t="s">
        <v>23</v>
      </c>
      <c r="G2943" t="s">
        <v>2328</v>
      </c>
      <c r="H2943">
        <v>499</v>
      </c>
      <c r="I2943" s="16" t="str">
        <f t="shared" si="45"/>
        <v>Normal</v>
      </c>
      <c r="J2943">
        <v>5</v>
      </c>
    </row>
    <row r="2944" spans="1:10">
      <c r="A2944" t="s">
        <v>5337</v>
      </c>
      <c r="B2944" t="s">
        <v>1713</v>
      </c>
      <c r="C2944" t="s">
        <v>2237</v>
      </c>
      <c r="D2944" s="9">
        <v>45190</v>
      </c>
      <c r="E2944" t="s">
        <v>2330</v>
      </c>
      <c r="G2944" t="s">
        <v>2345</v>
      </c>
      <c r="H2944">
        <v>1500</v>
      </c>
      <c r="I2944" s="16" t="str">
        <f t="shared" si="45"/>
        <v>Normal</v>
      </c>
      <c r="J2944">
        <v>2</v>
      </c>
    </row>
    <row r="2945" spans="1:10">
      <c r="A2945" t="s">
        <v>5338</v>
      </c>
      <c r="B2945" t="s">
        <v>762</v>
      </c>
      <c r="C2945" t="s">
        <v>2251</v>
      </c>
      <c r="D2945" s="9">
        <v>45803</v>
      </c>
      <c r="E2945" t="s">
        <v>2330</v>
      </c>
      <c r="G2945" t="s">
        <v>23</v>
      </c>
      <c r="H2945">
        <v>1500</v>
      </c>
      <c r="I2945" s="16" t="str">
        <f t="shared" si="45"/>
        <v>Normal</v>
      </c>
      <c r="J2945">
        <v>4</v>
      </c>
    </row>
    <row r="2946" spans="1:10">
      <c r="A2946" t="s">
        <v>5339</v>
      </c>
      <c r="B2946" t="s">
        <v>645</v>
      </c>
      <c r="C2946" t="s">
        <v>2249</v>
      </c>
      <c r="D2946" s="9">
        <v>45525</v>
      </c>
      <c r="E2946" t="s">
        <v>2324</v>
      </c>
      <c r="F2946" s="20">
        <v>55</v>
      </c>
      <c r="G2946" t="s">
        <v>2328</v>
      </c>
      <c r="H2946">
        <v>1170.8900000000001</v>
      </c>
      <c r="I2946" s="16" t="str">
        <f t="shared" si="45"/>
        <v>Normal</v>
      </c>
      <c r="J2946" t="s">
        <v>39</v>
      </c>
    </row>
    <row r="2947" spans="1:10">
      <c r="A2947" t="s">
        <v>5340</v>
      </c>
      <c r="B2947" t="s">
        <v>1165</v>
      </c>
      <c r="C2947" t="s">
        <v>2216</v>
      </c>
      <c r="D2947" s="9">
        <v>45614</v>
      </c>
      <c r="E2947" t="s">
        <v>2330</v>
      </c>
      <c r="F2947" s="20">
        <v>100</v>
      </c>
      <c r="G2947" t="s">
        <v>2345</v>
      </c>
      <c r="H2947">
        <v>1200</v>
      </c>
      <c r="I2947" s="16" t="str">
        <f t="shared" ref="I2947:I3010" si="46">IF(H2947="", "Unknown", IF(H2947=0, "Zero Amount", IF(H2947&lt;1, "Review", IF(H2947&gt;1, "Normal"))))</f>
        <v>Normal</v>
      </c>
      <c r="J2947" t="s">
        <v>39</v>
      </c>
    </row>
    <row r="2948" spans="1:10">
      <c r="A2948" t="s">
        <v>5341</v>
      </c>
      <c r="B2948" t="s">
        <v>867</v>
      </c>
      <c r="C2948" t="s">
        <v>2218</v>
      </c>
      <c r="D2948" s="9">
        <v>46140</v>
      </c>
      <c r="E2948" t="s">
        <v>2330</v>
      </c>
      <c r="F2948" s="20">
        <v>100</v>
      </c>
      <c r="G2948" t="s">
        <v>23</v>
      </c>
      <c r="H2948">
        <v>1500</v>
      </c>
      <c r="I2948" s="16" t="str">
        <f t="shared" si="46"/>
        <v>Normal</v>
      </c>
      <c r="J2948">
        <v>2</v>
      </c>
    </row>
    <row r="2949" spans="1:10">
      <c r="A2949" t="s">
        <v>5342</v>
      </c>
      <c r="B2949" t="s">
        <v>2143</v>
      </c>
      <c r="C2949" t="s">
        <v>2269</v>
      </c>
      <c r="D2949" s="9">
        <v>45399</v>
      </c>
      <c r="E2949" t="s">
        <v>2330</v>
      </c>
      <c r="F2949" s="20">
        <v>100</v>
      </c>
      <c r="G2949" t="s">
        <v>2345</v>
      </c>
      <c r="H2949">
        <v>499</v>
      </c>
      <c r="I2949" s="16" t="str">
        <f t="shared" si="46"/>
        <v>Normal</v>
      </c>
      <c r="J2949" t="s">
        <v>39</v>
      </c>
    </row>
    <row r="2950" spans="1:10">
      <c r="A2950" t="s">
        <v>5343</v>
      </c>
      <c r="B2950" t="s">
        <v>61</v>
      </c>
      <c r="C2950" t="s">
        <v>2249</v>
      </c>
      <c r="D2950" s="9">
        <v>45807</v>
      </c>
      <c r="E2950" t="s">
        <v>2337</v>
      </c>
      <c r="F2950" s="20">
        <v>15</v>
      </c>
      <c r="G2950" t="s">
        <v>2328</v>
      </c>
      <c r="H2950">
        <v>1500</v>
      </c>
      <c r="I2950" s="16" t="str">
        <f t="shared" si="46"/>
        <v>Normal</v>
      </c>
      <c r="J2950">
        <v>5</v>
      </c>
    </row>
    <row r="2951" spans="1:10">
      <c r="A2951" t="s">
        <v>5344</v>
      </c>
      <c r="B2951" t="s">
        <v>506</v>
      </c>
      <c r="C2951" t="s">
        <v>2222</v>
      </c>
      <c r="D2951" s="9">
        <v>45452</v>
      </c>
      <c r="E2951" t="s">
        <v>2337</v>
      </c>
      <c r="F2951" s="20">
        <v>20</v>
      </c>
      <c r="G2951" t="s">
        <v>2345</v>
      </c>
      <c r="H2951">
        <v>0</v>
      </c>
      <c r="I2951" s="16" t="str">
        <f t="shared" si="46"/>
        <v>Zero Amount</v>
      </c>
      <c r="J2951" t="s">
        <v>39</v>
      </c>
    </row>
    <row r="2952" spans="1:10">
      <c r="A2952" t="s">
        <v>5345</v>
      </c>
      <c r="B2952" t="s">
        <v>1354</v>
      </c>
      <c r="C2952" t="s">
        <v>2205</v>
      </c>
      <c r="D2952" s="9">
        <v>45252</v>
      </c>
      <c r="E2952" t="s">
        <v>2330</v>
      </c>
      <c r="F2952" s="20">
        <v>100</v>
      </c>
      <c r="G2952" t="s">
        <v>2325</v>
      </c>
      <c r="H2952">
        <v>1103.99</v>
      </c>
      <c r="I2952" s="16" t="str">
        <f t="shared" si="46"/>
        <v>Normal</v>
      </c>
      <c r="J2952">
        <v>4</v>
      </c>
    </row>
    <row r="2953" spans="1:10">
      <c r="A2953" t="s">
        <v>5346</v>
      </c>
      <c r="B2953" t="s">
        <v>239</v>
      </c>
      <c r="C2953" t="s">
        <v>2249</v>
      </c>
      <c r="D2953" s="9">
        <v>45370</v>
      </c>
      <c r="E2953" t="s">
        <v>2330</v>
      </c>
      <c r="G2953" t="s">
        <v>2331</v>
      </c>
      <c r="H2953">
        <v>1500</v>
      </c>
      <c r="I2953" s="16" t="str">
        <f t="shared" si="46"/>
        <v>Normal</v>
      </c>
      <c r="J2953" t="s">
        <v>39</v>
      </c>
    </row>
    <row r="2954" spans="1:10">
      <c r="A2954" t="s">
        <v>5347</v>
      </c>
      <c r="B2954" t="s">
        <v>581</v>
      </c>
      <c r="C2954" t="s">
        <v>2235</v>
      </c>
      <c r="D2954" s="9">
        <v>45716</v>
      </c>
      <c r="E2954" t="s">
        <v>2324</v>
      </c>
      <c r="F2954" s="20">
        <v>75</v>
      </c>
      <c r="G2954" t="s">
        <v>2339</v>
      </c>
      <c r="H2954">
        <v>3000</v>
      </c>
      <c r="I2954" s="16" t="str">
        <f t="shared" si="46"/>
        <v>Normal</v>
      </c>
      <c r="J2954" t="s">
        <v>39</v>
      </c>
    </row>
    <row r="2955" spans="1:10">
      <c r="A2955" t="s">
        <v>5348</v>
      </c>
      <c r="B2955" t="s">
        <v>707</v>
      </c>
      <c r="C2955" t="s">
        <v>2231</v>
      </c>
      <c r="D2955" s="9">
        <v>45149</v>
      </c>
      <c r="E2955" t="s">
        <v>2324</v>
      </c>
      <c r="F2955" s="20">
        <v>40</v>
      </c>
      <c r="G2955" t="s">
        <v>2331</v>
      </c>
      <c r="H2955">
        <v>3000</v>
      </c>
      <c r="I2955" s="16" t="str">
        <f t="shared" si="46"/>
        <v>Normal</v>
      </c>
      <c r="J2955">
        <v>5</v>
      </c>
    </row>
    <row r="2956" spans="1:10">
      <c r="A2956" t="s">
        <v>5349</v>
      </c>
      <c r="B2956" t="s">
        <v>1572</v>
      </c>
      <c r="C2956" t="s">
        <v>2247</v>
      </c>
      <c r="D2956" s="9">
        <v>45268</v>
      </c>
      <c r="E2956" t="s">
        <v>2330</v>
      </c>
      <c r="F2956" s="20">
        <v>100</v>
      </c>
      <c r="G2956" t="s">
        <v>2339</v>
      </c>
      <c r="I2956" s="16" t="str">
        <f t="shared" si="46"/>
        <v>Unknown</v>
      </c>
      <c r="J2956" t="s">
        <v>39</v>
      </c>
    </row>
    <row r="2957" spans="1:10">
      <c r="A2957" t="s">
        <v>5350</v>
      </c>
      <c r="B2957" t="s">
        <v>857</v>
      </c>
      <c r="C2957" t="s">
        <v>2213</v>
      </c>
      <c r="D2957" s="9">
        <v>45859</v>
      </c>
      <c r="E2957" t="s">
        <v>2330</v>
      </c>
      <c r="G2957" t="s">
        <v>2339</v>
      </c>
      <c r="H2957">
        <v>1500</v>
      </c>
      <c r="I2957" s="16" t="str">
        <f t="shared" si="46"/>
        <v>Normal</v>
      </c>
      <c r="J2957">
        <v>5</v>
      </c>
    </row>
    <row r="2958" spans="1:10">
      <c r="A2958" t="s">
        <v>5351</v>
      </c>
      <c r="B2958" t="s">
        <v>618</v>
      </c>
      <c r="C2958" t="s">
        <v>2247</v>
      </c>
      <c r="D2958" s="9">
        <v>45933</v>
      </c>
      <c r="E2958" t="s">
        <v>2330</v>
      </c>
      <c r="F2958" s="20">
        <v>100</v>
      </c>
      <c r="G2958" t="s">
        <v>2328</v>
      </c>
      <c r="I2958" s="16" t="str">
        <f t="shared" si="46"/>
        <v>Unknown</v>
      </c>
      <c r="J2958">
        <v>3</v>
      </c>
    </row>
    <row r="2959" spans="1:10">
      <c r="A2959" t="s">
        <v>5352</v>
      </c>
      <c r="B2959" t="s">
        <v>1782</v>
      </c>
      <c r="C2959" t="s">
        <v>2264</v>
      </c>
      <c r="D2959" s="9">
        <v>45165</v>
      </c>
      <c r="E2959" t="s">
        <v>2324</v>
      </c>
      <c r="F2959" s="20">
        <v>40</v>
      </c>
      <c r="G2959" t="s">
        <v>2345</v>
      </c>
      <c r="H2959">
        <v>2500</v>
      </c>
      <c r="I2959" s="16" t="str">
        <f t="shared" si="46"/>
        <v>Normal</v>
      </c>
      <c r="J2959">
        <v>1</v>
      </c>
    </row>
    <row r="2960" spans="1:10">
      <c r="A2960" t="s">
        <v>5353</v>
      </c>
      <c r="B2960" t="s">
        <v>660</v>
      </c>
      <c r="C2960" t="s">
        <v>2209</v>
      </c>
      <c r="D2960" s="9">
        <v>45977</v>
      </c>
      <c r="E2960" t="s">
        <v>2327</v>
      </c>
      <c r="F2960" s="20">
        <v>15</v>
      </c>
      <c r="G2960" t="s">
        <v>2325</v>
      </c>
      <c r="H2960">
        <v>499</v>
      </c>
      <c r="I2960" s="16" t="str">
        <f t="shared" si="46"/>
        <v>Normal</v>
      </c>
      <c r="J2960">
        <v>5</v>
      </c>
    </row>
    <row r="2961" spans="1:10">
      <c r="A2961" t="s">
        <v>5354</v>
      </c>
      <c r="B2961" t="s">
        <v>1504</v>
      </c>
      <c r="C2961" t="s">
        <v>2225</v>
      </c>
      <c r="D2961" s="9">
        <v>46047</v>
      </c>
      <c r="E2961" t="s">
        <v>2330</v>
      </c>
      <c r="F2961" s="20">
        <v>100</v>
      </c>
      <c r="G2961" t="s">
        <v>2345</v>
      </c>
      <c r="I2961" s="16" t="str">
        <f t="shared" si="46"/>
        <v>Unknown</v>
      </c>
      <c r="J2961">
        <v>1</v>
      </c>
    </row>
    <row r="2962" spans="1:10">
      <c r="A2962" t="s">
        <v>5355</v>
      </c>
      <c r="B2962" t="s">
        <v>2119</v>
      </c>
      <c r="C2962" t="s">
        <v>2193</v>
      </c>
      <c r="D2962" s="9">
        <v>45822</v>
      </c>
      <c r="E2962" t="s">
        <v>2330</v>
      </c>
      <c r="F2962" s="20">
        <v>100</v>
      </c>
      <c r="G2962" t="s">
        <v>23</v>
      </c>
      <c r="H2962">
        <v>0</v>
      </c>
      <c r="I2962" s="16" t="str">
        <f t="shared" si="46"/>
        <v>Zero Amount</v>
      </c>
      <c r="J2962">
        <v>4</v>
      </c>
    </row>
    <row r="2963" spans="1:10">
      <c r="A2963" t="s">
        <v>5356</v>
      </c>
      <c r="B2963" t="s">
        <v>1517</v>
      </c>
      <c r="C2963" t="s">
        <v>2198</v>
      </c>
      <c r="D2963" s="9">
        <v>45505</v>
      </c>
      <c r="E2963" t="s">
        <v>2330</v>
      </c>
      <c r="G2963" t="s">
        <v>23</v>
      </c>
      <c r="I2963" s="16" t="str">
        <f t="shared" si="46"/>
        <v>Unknown</v>
      </c>
      <c r="J2963">
        <v>2</v>
      </c>
    </row>
    <row r="2964" spans="1:10">
      <c r="A2964" t="s">
        <v>5357</v>
      </c>
      <c r="B2964" t="s">
        <v>953</v>
      </c>
      <c r="C2964" t="s">
        <v>2267</v>
      </c>
      <c r="D2964" s="9">
        <v>45552</v>
      </c>
      <c r="E2964" t="s">
        <v>2324</v>
      </c>
      <c r="F2964" s="20">
        <v>40</v>
      </c>
      <c r="G2964" t="s">
        <v>2345</v>
      </c>
      <c r="H2964">
        <v>999.99</v>
      </c>
      <c r="I2964" s="16" t="str">
        <f t="shared" si="46"/>
        <v>Normal</v>
      </c>
      <c r="J2964">
        <v>2</v>
      </c>
    </row>
    <row r="2965" spans="1:10">
      <c r="A2965" t="s">
        <v>5358</v>
      </c>
      <c r="B2965" t="s">
        <v>1079</v>
      </c>
      <c r="C2965" t="s">
        <v>2209</v>
      </c>
      <c r="D2965" s="9">
        <v>45270</v>
      </c>
      <c r="E2965" t="s">
        <v>2330</v>
      </c>
      <c r="F2965" s="20">
        <v>100</v>
      </c>
      <c r="G2965" t="s">
        <v>23</v>
      </c>
      <c r="H2965">
        <v>499</v>
      </c>
      <c r="I2965" s="16" t="str">
        <f t="shared" si="46"/>
        <v>Normal</v>
      </c>
      <c r="J2965" t="s">
        <v>39</v>
      </c>
    </row>
    <row r="2966" spans="1:10">
      <c r="A2966" t="s">
        <v>5359</v>
      </c>
      <c r="B2966" t="s">
        <v>1798</v>
      </c>
      <c r="C2966" t="s">
        <v>2205</v>
      </c>
      <c r="D2966" s="9">
        <v>45286</v>
      </c>
      <c r="E2966" t="s">
        <v>2330</v>
      </c>
      <c r="F2966" s="20">
        <v>100</v>
      </c>
      <c r="G2966" t="s">
        <v>2331</v>
      </c>
      <c r="H2966">
        <v>1500</v>
      </c>
      <c r="I2966" s="16" t="str">
        <f t="shared" si="46"/>
        <v>Normal</v>
      </c>
      <c r="J2966">
        <v>4</v>
      </c>
    </row>
    <row r="2967" spans="1:10">
      <c r="A2967" t="s">
        <v>5360</v>
      </c>
      <c r="B2967" t="s">
        <v>1022</v>
      </c>
      <c r="C2967" t="s">
        <v>2247</v>
      </c>
      <c r="D2967" s="9">
        <v>46124</v>
      </c>
      <c r="E2967" t="s">
        <v>2330</v>
      </c>
      <c r="F2967" s="20">
        <v>100</v>
      </c>
      <c r="G2967" t="s">
        <v>2328</v>
      </c>
      <c r="I2967" s="16" t="str">
        <f t="shared" si="46"/>
        <v>Unknown</v>
      </c>
      <c r="J2967">
        <v>2</v>
      </c>
    </row>
    <row r="2968" spans="1:10">
      <c r="A2968" t="s">
        <v>5361</v>
      </c>
      <c r="B2968" t="s">
        <v>1763</v>
      </c>
      <c r="C2968" t="s">
        <v>2187</v>
      </c>
      <c r="D2968" s="9">
        <v>46155</v>
      </c>
      <c r="E2968" t="s">
        <v>2324</v>
      </c>
      <c r="G2968" t="s">
        <v>2339</v>
      </c>
      <c r="H2968">
        <v>799</v>
      </c>
      <c r="I2968" s="16" t="str">
        <f t="shared" si="46"/>
        <v>Normal</v>
      </c>
      <c r="J2968">
        <v>1</v>
      </c>
    </row>
    <row r="2969" spans="1:10">
      <c r="A2969" t="s">
        <v>5362</v>
      </c>
      <c r="B2969" t="s">
        <v>1308</v>
      </c>
      <c r="C2969" t="s">
        <v>2209</v>
      </c>
      <c r="D2969" s="9">
        <v>45911</v>
      </c>
      <c r="E2969" t="s">
        <v>23</v>
      </c>
      <c r="G2969" t="s">
        <v>2331</v>
      </c>
      <c r="H2969">
        <v>499</v>
      </c>
      <c r="I2969" s="16" t="str">
        <f t="shared" si="46"/>
        <v>Normal</v>
      </c>
      <c r="J2969">
        <v>5</v>
      </c>
    </row>
    <row r="2970" spans="1:10">
      <c r="A2970" t="s">
        <v>5363</v>
      </c>
      <c r="B2970" t="s">
        <v>5364</v>
      </c>
      <c r="C2970" t="s">
        <v>2213</v>
      </c>
      <c r="D2970" s="9">
        <v>45986</v>
      </c>
      <c r="E2970" t="s">
        <v>2324</v>
      </c>
      <c r="F2970" s="20">
        <v>25</v>
      </c>
      <c r="G2970" t="s">
        <v>23</v>
      </c>
      <c r="H2970">
        <v>785.96</v>
      </c>
      <c r="I2970" s="16" t="str">
        <f t="shared" si="46"/>
        <v>Normal</v>
      </c>
      <c r="J2970">
        <v>1</v>
      </c>
    </row>
    <row r="2971" spans="1:10">
      <c r="A2971" t="s">
        <v>5365</v>
      </c>
      <c r="B2971" t="s">
        <v>894</v>
      </c>
      <c r="C2971" t="s">
        <v>2218</v>
      </c>
      <c r="D2971" s="9">
        <v>45444</v>
      </c>
      <c r="E2971" t="s">
        <v>2330</v>
      </c>
      <c r="F2971" s="20">
        <v>100</v>
      </c>
      <c r="G2971" t="s">
        <v>2325</v>
      </c>
      <c r="H2971">
        <v>1500</v>
      </c>
      <c r="I2971" s="16" t="str">
        <f t="shared" si="46"/>
        <v>Normal</v>
      </c>
      <c r="J2971">
        <v>1</v>
      </c>
    </row>
    <row r="2972" spans="1:10">
      <c r="A2972" t="s">
        <v>5366</v>
      </c>
      <c r="B2972" t="s">
        <v>1578</v>
      </c>
      <c r="C2972" t="s">
        <v>2222</v>
      </c>
      <c r="D2972" s="9">
        <v>46061</v>
      </c>
      <c r="E2972" t="s">
        <v>2327</v>
      </c>
      <c r="F2972" s="20">
        <v>5</v>
      </c>
      <c r="G2972" t="s">
        <v>2345</v>
      </c>
      <c r="H2972">
        <v>0</v>
      </c>
      <c r="I2972" s="16" t="str">
        <f t="shared" si="46"/>
        <v>Zero Amount</v>
      </c>
      <c r="J2972">
        <v>2</v>
      </c>
    </row>
    <row r="2973" spans="1:10">
      <c r="A2973" t="s">
        <v>5367</v>
      </c>
      <c r="B2973" t="s">
        <v>121</v>
      </c>
      <c r="C2973" t="s">
        <v>2251</v>
      </c>
      <c r="D2973" s="9">
        <v>45217</v>
      </c>
      <c r="E2973" t="s">
        <v>2324</v>
      </c>
      <c r="F2973" s="20">
        <v>25</v>
      </c>
      <c r="G2973" t="s">
        <v>2325</v>
      </c>
      <c r="H2973">
        <v>1500</v>
      </c>
      <c r="I2973" s="16" t="str">
        <f t="shared" si="46"/>
        <v>Normal</v>
      </c>
      <c r="J2973">
        <v>5</v>
      </c>
    </row>
    <row r="2974" spans="1:10">
      <c r="A2974" t="s">
        <v>5368</v>
      </c>
      <c r="B2974" t="s">
        <v>882</v>
      </c>
      <c r="C2974" t="s">
        <v>2228</v>
      </c>
      <c r="D2974" s="9">
        <v>45275</v>
      </c>
      <c r="E2974" t="s">
        <v>2324</v>
      </c>
      <c r="F2974" s="20">
        <v>10</v>
      </c>
      <c r="G2974" t="s">
        <v>2325</v>
      </c>
      <c r="H2974">
        <v>-799</v>
      </c>
      <c r="I2974" s="16" t="str">
        <f t="shared" si="46"/>
        <v>Review</v>
      </c>
      <c r="J2974">
        <v>4</v>
      </c>
    </row>
    <row r="2975" spans="1:10">
      <c r="A2975" t="s">
        <v>5369</v>
      </c>
      <c r="B2975" t="s">
        <v>3809</v>
      </c>
      <c r="C2975" t="s">
        <v>2225</v>
      </c>
      <c r="D2975" s="9">
        <v>45643</v>
      </c>
      <c r="E2975" t="s">
        <v>2330</v>
      </c>
      <c r="F2975" s="20">
        <v>100</v>
      </c>
      <c r="G2975" t="s">
        <v>2331</v>
      </c>
      <c r="I2975" s="16" t="str">
        <f t="shared" si="46"/>
        <v>Unknown</v>
      </c>
      <c r="J2975">
        <v>5</v>
      </c>
    </row>
    <row r="2976" spans="1:10">
      <c r="A2976" t="s">
        <v>5370</v>
      </c>
      <c r="B2976" t="s">
        <v>1343</v>
      </c>
      <c r="C2976" t="s">
        <v>2225</v>
      </c>
      <c r="D2976" s="9">
        <v>45433</v>
      </c>
      <c r="E2976" t="s">
        <v>23</v>
      </c>
      <c r="G2976" t="s">
        <v>2345</v>
      </c>
      <c r="I2976" s="16" t="str">
        <f t="shared" si="46"/>
        <v>Unknown</v>
      </c>
      <c r="J2976" t="s">
        <v>39</v>
      </c>
    </row>
    <row r="2977" spans="1:10">
      <c r="A2977" t="s">
        <v>5371</v>
      </c>
      <c r="B2977" t="s">
        <v>236</v>
      </c>
      <c r="C2977" t="s">
        <v>2218</v>
      </c>
      <c r="D2977" s="9">
        <v>45783</v>
      </c>
      <c r="E2977" t="s">
        <v>2327</v>
      </c>
      <c r="F2977" s="20">
        <v>15</v>
      </c>
      <c r="G2977" t="s">
        <v>2331</v>
      </c>
      <c r="H2977">
        <v>1500</v>
      </c>
      <c r="I2977" s="16" t="str">
        <f t="shared" si="46"/>
        <v>Normal</v>
      </c>
      <c r="J2977">
        <v>3</v>
      </c>
    </row>
    <row r="2978" spans="1:10">
      <c r="A2978" t="s">
        <v>5372</v>
      </c>
      <c r="B2978" t="s">
        <v>328</v>
      </c>
      <c r="C2978" t="s">
        <v>2247</v>
      </c>
      <c r="D2978" s="9">
        <v>46094</v>
      </c>
      <c r="E2978" t="s">
        <v>2327</v>
      </c>
      <c r="F2978" s="20">
        <v>15</v>
      </c>
      <c r="G2978" t="s">
        <v>2339</v>
      </c>
      <c r="I2978" s="16" t="str">
        <f t="shared" si="46"/>
        <v>Unknown</v>
      </c>
      <c r="J2978">
        <v>3</v>
      </c>
    </row>
    <row r="2979" spans="1:10">
      <c r="A2979" t="s">
        <v>5373</v>
      </c>
      <c r="B2979" t="s">
        <v>1214</v>
      </c>
      <c r="C2979" t="s">
        <v>2216</v>
      </c>
      <c r="D2979" s="9">
        <v>45388</v>
      </c>
      <c r="E2979" t="s">
        <v>2330</v>
      </c>
      <c r="F2979" s="20">
        <v>100</v>
      </c>
      <c r="G2979" t="s">
        <v>2331</v>
      </c>
      <c r="H2979">
        <v>1200</v>
      </c>
      <c r="I2979" s="16" t="str">
        <f t="shared" si="46"/>
        <v>Normal</v>
      </c>
      <c r="J2979">
        <v>5</v>
      </c>
    </row>
    <row r="2980" spans="1:10">
      <c r="A2980" t="s">
        <v>5374</v>
      </c>
      <c r="B2980" t="s">
        <v>1683</v>
      </c>
      <c r="C2980" t="s">
        <v>2198</v>
      </c>
      <c r="D2980" s="9">
        <v>45449</v>
      </c>
      <c r="E2980" t="s">
        <v>2324</v>
      </c>
      <c r="F2980" s="20">
        <v>10</v>
      </c>
      <c r="G2980" t="s">
        <v>2325</v>
      </c>
      <c r="I2980" s="16" t="str">
        <f t="shared" si="46"/>
        <v>Unknown</v>
      </c>
      <c r="J2980">
        <v>3</v>
      </c>
    </row>
    <row r="2981" spans="1:10">
      <c r="A2981" t="s">
        <v>5375</v>
      </c>
      <c r="B2981" t="s">
        <v>1177</v>
      </c>
      <c r="C2981" t="s">
        <v>2249</v>
      </c>
      <c r="D2981" s="9">
        <v>45956</v>
      </c>
      <c r="E2981" t="s">
        <v>2324</v>
      </c>
      <c r="F2981" s="20">
        <v>60</v>
      </c>
      <c r="G2981" t="s">
        <v>23</v>
      </c>
      <c r="H2981">
        <v>1500</v>
      </c>
      <c r="I2981" s="16" t="str">
        <f t="shared" si="46"/>
        <v>Normal</v>
      </c>
      <c r="J2981">
        <v>5</v>
      </c>
    </row>
    <row r="2982" spans="1:10">
      <c r="A2982" t="s">
        <v>5376</v>
      </c>
      <c r="B2982" t="s">
        <v>1191</v>
      </c>
      <c r="C2982" t="s">
        <v>2228</v>
      </c>
      <c r="D2982" s="9">
        <v>45461</v>
      </c>
      <c r="E2982" t="s">
        <v>2324</v>
      </c>
      <c r="F2982" s="20">
        <v>55</v>
      </c>
      <c r="G2982" t="s">
        <v>2339</v>
      </c>
      <c r="H2982">
        <v>799</v>
      </c>
      <c r="I2982" s="16" t="str">
        <f t="shared" si="46"/>
        <v>Normal</v>
      </c>
      <c r="J2982">
        <v>4</v>
      </c>
    </row>
    <row r="2983" spans="1:10">
      <c r="A2983" t="s">
        <v>5377</v>
      </c>
      <c r="B2983" t="s">
        <v>1907</v>
      </c>
      <c r="C2983" t="s">
        <v>2251</v>
      </c>
      <c r="D2983" s="9">
        <v>46072</v>
      </c>
      <c r="E2983" t="s">
        <v>2327</v>
      </c>
      <c r="F2983" s="20">
        <v>15</v>
      </c>
      <c r="G2983" t="s">
        <v>2328</v>
      </c>
      <c r="H2983">
        <v>1500</v>
      </c>
      <c r="I2983" s="16" t="str">
        <f t="shared" si="46"/>
        <v>Normal</v>
      </c>
      <c r="J2983">
        <v>4</v>
      </c>
    </row>
    <row r="2984" spans="1:10">
      <c r="A2984" t="s">
        <v>5378</v>
      </c>
      <c r="B2984" t="s">
        <v>481</v>
      </c>
      <c r="C2984" t="s">
        <v>2259</v>
      </c>
      <c r="D2984" s="9">
        <v>45135</v>
      </c>
      <c r="E2984" t="s">
        <v>2327</v>
      </c>
      <c r="F2984" s="20">
        <v>0</v>
      </c>
      <c r="G2984" t="s">
        <v>2328</v>
      </c>
      <c r="H2984">
        <v>0</v>
      </c>
      <c r="I2984" s="16" t="str">
        <f t="shared" si="46"/>
        <v>Zero Amount</v>
      </c>
      <c r="J2984">
        <v>5</v>
      </c>
    </row>
    <row r="2985" spans="1:10">
      <c r="A2985" t="s">
        <v>5379</v>
      </c>
      <c r="B2985" t="s">
        <v>910</v>
      </c>
      <c r="C2985" t="s">
        <v>2225</v>
      </c>
      <c r="D2985" s="9">
        <v>46053</v>
      </c>
      <c r="E2985" t="s">
        <v>2330</v>
      </c>
      <c r="F2985" s="20">
        <v>100</v>
      </c>
      <c r="G2985" t="s">
        <v>2331</v>
      </c>
      <c r="I2985" s="16" t="str">
        <f t="shared" si="46"/>
        <v>Unknown</v>
      </c>
      <c r="J2985" t="s">
        <v>39</v>
      </c>
    </row>
    <row r="2986" spans="1:10">
      <c r="A2986" t="s">
        <v>5380</v>
      </c>
      <c r="B2986" t="s">
        <v>1187</v>
      </c>
      <c r="C2986" t="s">
        <v>2193</v>
      </c>
      <c r="D2986" s="9">
        <v>46099</v>
      </c>
      <c r="E2986" t="s">
        <v>2327</v>
      </c>
      <c r="F2986" s="20">
        <v>0</v>
      </c>
      <c r="G2986" t="s">
        <v>2328</v>
      </c>
      <c r="H2986">
        <v>0</v>
      </c>
      <c r="I2986" s="16" t="str">
        <f t="shared" si="46"/>
        <v>Zero Amount</v>
      </c>
      <c r="J2986">
        <v>3</v>
      </c>
    </row>
    <row r="2987" spans="1:10">
      <c r="A2987" t="s">
        <v>5381</v>
      </c>
      <c r="B2987" t="s">
        <v>1857</v>
      </c>
      <c r="C2987" t="s">
        <v>2264</v>
      </c>
      <c r="D2987" s="9">
        <v>45207</v>
      </c>
      <c r="E2987" t="s">
        <v>2337</v>
      </c>
      <c r="G2987" t="s">
        <v>2331</v>
      </c>
      <c r="H2987">
        <v>2500</v>
      </c>
      <c r="I2987" s="16" t="str">
        <f t="shared" si="46"/>
        <v>Normal</v>
      </c>
      <c r="J2987">
        <v>5</v>
      </c>
    </row>
    <row r="2988" spans="1:10">
      <c r="A2988" t="s">
        <v>5382</v>
      </c>
      <c r="B2988" t="s">
        <v>1161</v>
      </c>
      <c r="C2988" t="s">
        <v>2213</v>
      </c>
      <c r="D2988" s="9">
        <v>45511</v>
      </c>
      <c r="E2988" t="s">
        <v>2330</v>
      </c>
      <c r="F2988" s="20">
        <v>100</v>
      </c>
      <c r="G2988" t="s">
        <v>2345</v>
      </c>
      <c r="H2988">
        <v>1500</v>
      </c>
      <c r="I2988" s="16" t="str">
        <f t="shared" si="46"/>
        <v>Normal</v>
      </c>
      <c r="J2988">
        <v>4</v>
      </c>
    </row>
    <row r="2989" spans="1:10">
      <c r="A2989" t="s">
        <v>5383</v>
      </c>
      <c r="B2989" t="s">
        <v>99</v>
      </c>
      <c r="C2989" t="s">
        <v>2193</v>
      </c>
      <c r="D2989" s="9">
        <v>45753</v>
      </c>
      <c r="E2989" t="s">
        <v>2330</v>
      </c>
      <c r="F2989" s="20">
        <v>100</v>
      </c>
      <c r="G2989" t="s">
        <v>2328</v>
      </c>
      <c r="H2989">
        <v>0</v>
      </c>
      <c r="I2989" s="16" t="str">
        <f t="shared" si="46"/>
        <v>Zero Amount</v>
      </c>
      <c r="J2989" t="s">
        <v>39</v>
      </c>
    </row>
    <row r="2990" spans="1:10">
      <c r="A2990" t="s">
        <v>5384</v>
      </c>
      <c r="B2990" t="s">
        <v>390</v>
      </c>
      <c r="C2990" t="s">
        <v>2269</v>
      </c>
      <c r="D2990" s="9">
        <v>45673</v>
      </c>
      <c r="E2990" t="s">
        <v>2330</v>
      </c>
      <c r="F2990" s="20">
        <v>100</v>
      </c>
      <c r="G2990" t="s">
        <v>2331</v>
      </c>
      <c r="H2990">
        <v>-499</v>
      </c>
      <c r="I2990" s="16" t="str">
        <f t="shared" si="46"/>
        <v>Review</v>
      </c>
      <c r="J2990">
        <v>4</v>
      </c>
    </row>
    <row r="2991" spans="1:10">
      <c r="A2991" t="s">
        <v>5385</v>
      </c>
      <c r="B2991" t="s">
        <v>1991</v>
      </c>
      <c r="C2991" t="s">
        <v>2249</v>
      </c>
      <c r="D2991" s="9">
        <v>45271</v>
      </c>
      <c r="E2991" t="s">
        <v>2330</v>
      </c>
      <c r="F2991" s="20">
        <v>100</v>
      </c>
      <c r="G2991" t="s">
        <v>2328</v>
      </c>
      <c r="H2991">
        <v>1500</v>
      </c>
      <c r="I2991" s="16" t="str">
        <f t="shared" si="46"/>
        <v>Normal</v>
      </c>
      <c r="J2991">
        <v>2</v>
      </c>
    </row>
    <row r="2992" spans="1:10">
      <c r="A2992" t="s">
        <v>5386</v>
      </c>
      <c r="B2992" t="s">
        <v>460</v>
      </c>
      <c r="C2992" t="s">
        <v>2231</v>
      </c>
      <c r="D2992" s="9">
        <v>45114</v>
      </c>
      <c r="E2992" t="s">
        <v>2324</v>
      </c>
      <c r="F2992" s="20">
        <v>55</v>
      </c>
      <c r="G2992" t="s">
        <v>2331</v>
      </c>
      <c r="I2992" s="16" t="str">
        <f t="shared" si="46"/>
        <v>Unknown</v>
      </c>
      <c r="J2992">
        <v>5</v>
      </c>
    </row>
    <row r="2993" spans="1:10">
      <c r="A2993" t="s">
        <v>5387</v>
      </c>
      <c r="B2993" t="s">
        <v>362</v>
      </c>
      <c r="C2993" t="s">
        <v>2241</v>
      </c>
      <c r="D2993" s="9">
        <v>46081</v>
      </c>
      <c r="E2993" t="s">
        <v>2324</v>
      </c>
      <c r="F2993" s="20">
        <v>55</v>
      </c>
      <c r="G2993" t="s">
        <v>2331</v>
      </c>
      <c r="H2993">
        <v>2500</v>
      </c>
      <c r="I2993" s="16" t="str">
        <f t="shared" si="46"/>
        <v>Normal</v>
      </c>
      <c r="J2993">
        <v>4</v>
      </c>
    </row>
    <row r="2994" spans="1:10">
      <c r="A2994" t="s">
        <v>5388</v>
      </c>
      <c r="B2994" t="s">
        <v>177</v>
      </c>
      <c r="C2994" t="s">
        <v>2253</v>
      </c>
      <c r="D2994" s="9">
        <v>45198</v>
      </c>
      <c r="E2994" t="s">
        <v>2337</v>
      </c>
      <c r="F2994" s="20">
        <v>15</v>
      </c>
      <c r="G2994" t="s">
        <v>2339</v>
      </c>
      <c r="H2994">
        <v>1200</v>
      </c>
      <c r="I2994" s="16" t="str">
        <f t="shared" si="46"/>
        <v>Normal</v>
      </c>
      <c r="J2994">
        <v>4</v>
      </c>
    </row>
    <row r="2995" spans="1:10">
      <c r="A2995" t="s">
        <v>5389</v>
      </c>
      <c r="B2995" t="s">
        <v>1425</v>
      </c>
      <c r="C2995" t="s">
        <v>2237</v>
      </c>
      <c r="D2995" s="9">
        <v>46181</v>
      </c>
      <c r="E2995" t="s">
        <v>2330</v>
      </c>
      <c r="F2995" s="20">
        <v>100</v>
      </c>
      <c r="G2995" t="s">
        <v>2339</v>
      </c>
      <c r="H2995">
        <v>1500</v>
      </c>
      <c r="I2995" s="16" t="str">
        <f t="shared" si="46"/>
        <v>Normal</v>
      </c>
      <c r="J2995" t="s">
        <v>39</v>
      </c>
    </row>
    <row r="2996" spans="1:10">
      <c r="A2996" t="s">
        <v>5390</v>
      </c>
      <c r="B2996" t="s">
        <v>1809</v>
      </c>
      <c r="C2996" t="s">
        <v>2209</v>
      </c>
      <c r="D2996" s="9">
        <v>45221</v>
      </c>
      <c r="E2996" t="s">
        <v>2324</v>
      </c>
      <c r="F2996" s="20">
        <v>75</v>
      </c>
      <c r="G2996" t="s">
        <v>2325</v>
      </c>
      <c r="H2996">
        <v>-499</v>
      </c>
      <c r="I2996" s="16" t="str">
        <f t="shared" si="46"/>
        <v>Review</v>
      </c>
      <c r="J2996">
        <v>2</v>
      </c>
    </row>
    <row r="2997" spans="1:10">
      <c r="A2997" t="s">
        <v>5391</v>
      </c>
      <c r="B2997" t="s">
        <v>1705</v>
      </c>
      <c r="C2997" t="s">
        <v>2213</v>
      </c>
      <c r="D2997" s="9">
        <v>45619</v>
      </c>
      <c r="E2997" t="s">
        <v>2337</v>
      </c>
      <c r="F2997" s="20">
        <v>15</v>
      </c>
      <c r="G2997" t="s">
        <v>2325</v>
      </c>
      <c r="H2997">
        <v>1500</v>
      </c>
      <c r="I2997" s="16" t="str">
        <f t="shared" si="46"/>
        <v>Normal</v>
      </c>
      <c r="J2997" t="s">
        <v>39</v>
      </c>
    </row>
    <row r="2998" spans="1:10">
      <c r="A2998" t="s">
        <v>5392</v>
      </c>
      <c r="B2998" t="s">
        <v>150</v>
      </c>
      <c r="C2998" t="s">
        <v>2244</v>
      </c>
      <c r="D2998" s="9">
        <v>46175</v>
      </c>
      <c r="E2998" t="s">
        <v>2330</v>
      </c>
      <c r="F2998" s="20">
        <v>100</v>
      </c>
      <c r="G2998" t="s">
        <v>2331</v>
      </c>
      <c r="H2998">
        <v>1200</v>
      </c>
      <c r="I2998" s="16" t="str">
        <f t="shared" si="46"/>
        <v>Normal</v>
      </c>
      <c r="J2998">
        <v>4</v>
      </c>
    </row>
    <row r="2999" spans="1:10">
      <c r="A2999" t="s">
        <v>5393</v>
      </c>
      <c r="B2999" t="s">
        <v>414</v>
      </c>
      <c r="C2999" t="s">
        <v>2251</v>
      </c>
      <c r="D2999" s="9">
        <v>46036</v>
      </c>
      <c r="E2999" t="s">
        <v>2324</v>
      </c>
      <c r="F2999" s="20">
        <v>40</v>
      </c>
      <c r="G2999" t="s">
        <v>2328</v>
      </c>
      <c r="H2999">
        <v>1500</v>
      </c>
      <c r="I2999" s="16" t="str">
        <f t="shared" si="46"/>
        <v>Normal</v>
      </c>
      <c r="J2999">
        <v>4</v>
      </c>
    </row>
    <row r="3000" spans="1:10">
      <c r="A3000" t="s">
        <v>5394</v>
      </c>
      <c r="B3000" t="s">
        <v>1713</v>
      </c>
      <c r="C3000" t="s">
        <v>2271</v>
      </c>
      <c r="D3000" s="9">
        <v>45686</v>
      </c>
      <c r="E3000" t="s">
        <v>2330</v>
      </c>
      <c r="G3000" t="s">
        <v>2345</v>
      </c>
      <c r="H3000">
        <v>1200</v>
      </c>
      <c r="I3000" s="16" t="str">
        <f t="shared" si="46"/>
        <v>Normal</v>
      </c>
      <c r="J3000">
        <v>4</v>
      </c>
    </row>
    <row r="3001" spans="1:10">
      <c r="A3001" t="s">
        <v>5395</v>
      </c>
      <c r="B3001" t="s">
        <v>1620</v>
      </c>
      <c r="C3001" t="s">
        <v>2231</v>
      </c>
      <c r="D3001" s="9">
        <v>45245</v>
      </c>
      <c r="E3001" t="s">
        <v>2337</v>
      </c>
      <c r="F3001" s="20">
        <v>20</v>
      </c>
      <c r="G3001" t="s">
        <v>2331</v>
      </c>
      <c r="H3001">
        <v>1736.95</v>
      </c>
      <c r="I3001" s="16" t="str">
        <f t="shared" si="46"/>
        <v>Normal</v>
      </c>
      <c r="J3001">
        <v>3</v>
      </c>
    </row>
    <row r="3002" spans="1:10">
      <c r="A3002" t="s">
        <v>5396</v>
      </c>
      <c r="B3002" t="s">
        <v>1823</v>
      </c>
      <c r="C3002" t="s">
        <v>2271</v>
      </c>
      <c r="D3002" s="9">
        <v>45759</v>
      </c>
      <c r="E3002" t="s">
        <v>2324</v>
      </c>
      <c r="F3002" s="20">
        <v>55</v>
      </c>
      <c r="G3002" t="s">
        <v>2345</v>
      </c>
      <c r="H3002">
        <v>1200</v>
      </c>
      <c r="I3002" s="16" t="str">
        <f t="shared" si="46"/>
        <v>Normal</v>
      </c>
      <c r="J3002">
        <v>2</v>
      </c>
    </row>
    <row r="3003" spans="1:10">
      <c r="A3003" t="s">
        <v>5397</v>
      </c>
      <c r="B3003" t="s">
        <v>1323</v>
      </c>
      <c r="C3003" t="s">
        <v>2253</v>
      </c>
      <c r="D3003" s="9">
        <v>45795</v>
      </c>
      <c r="E3003" t="s">
        <v>2324</v>
      </c>
      <c r="G3003" t="s">
        <v>2345</v>
      </c>
      <c r="H3003">
        <v>1200</v>
      </c>
      <c r="I3003" s="16" t="str">
        <f t="shared" si="46"/>
        <v>Normal</v>
      </c>
      <c r="J3003">
        <v>4</v>
      </c>
    </row>
    <row r="3004" spans="1:10">
      <c r="A3004" t="s">
        <v>5398</v>
      </c>
      <c r="B3004" t="s">
        <v>949</v>
      </c>
      <c r="C3004" t="s">
        <v>2273</v>
      </c>
      <c r="D3004" s="9">
        <v>45439</v>
      </c>
      <c r="E3004" t="s">
        <v>2330</v>
      </c>
      <c r="F3004" s="20">
        <v>100</v>
      </c>
      <c r="G3004" t="s">
        <v>2339</v>
      </c>
      <c r="H3004">
        <v>402.34</v>
      </c>
      <c r="I3004" s="16" t="str">
        <f t="shared" si="46"/>
        <v>Normal</v>
      </c>
      <c r="J3004">
        <v>5</v>
      </c>
    </row>
    <row r="3005" spans="1:10">
      <c r="A3005" t="s">
        <v>5399</v>
      </c>
      <c r="B3005" t="s">
        <v>95</v>
      </c>
      <c r="C3005" t="s">
        <v>2259</v>
      </c>
      <c r="D3005" s="9">
        <v>45612</v>
      </c>
      <c r="E3005" t="s">
        <v>2327</v>
      </c>
      <c r="F3005" s="20">
        <v>15</v>
      </c>
      <c r="G3005" t="s">
        <v>2331</v>
      </c>
      <c r="H3005">
        <v>0</v>
      </c>
      <c r="I3005" s="16" t="str">
        <f t="shared" si="46"/>
        <v>Zero Amount</v>
      </c>
      <c r="J3005">
        <v>5</v>
      </c>
    </row>
    <row r="3006" spans="1:10">
      <c r="A3006" t="s">
        <v>5400</v>
      </c>
      <c r="B3006" t="s">
        <v>1596</v>
      </c>
      <c r="C3006" t="s">
        <v>2225</v>
      </c>
      <c r="D3006" s="9">
        <v>46087</v>
      </c>
      <c r="E3006" t="s">
        <v>2330</v>
      </c>
      <c r="F3006" s="20">
        <v>100</v>
      </c>
      <c r="G3006" t="s">
        <v>23</v>
      </c>
      <c r="I3006" s="16" t="str">
        <f t="shared" si="46"/>
        <v>Unknown</v>
      </c>
      <c r="J3006">
        <v>5</v>
      </c>
    </row>
    <row r="3007" spans="1:10">
      <c r="A3007" t="s">
        <v>5401</v>
      </c>
      <c r="B3007" t="s">
        <v>926</v>
      </c>
      <c r="C3007" t="s">
        <v>2187</v>
      </c>
      <c r="D3007" s="9">
        <v>45238</v>
      </c>
      <c r="E3007" t="s">
        <v>2330</v>
      </c>
      <c r="F3007" s="20">
        <v>100</v>
      </c>
      <c r="G3007" t="s">
        <v>23</v>
      </c>
      <c r="H3007">
        <v>799</v>
      </c>
      <c r="I3007" s="16" t="str">
        <f t="shared" si="46"/>
        <v>Normal</v>
      </c>
      <c r="J3007" t="s">
        <v>39</v>
      </c>
    </row>
    <row r="3008" spans="1:10">
      <c r="A3008" t="s">
        <v>5402</v>
      </c>
      <c r="B3008" t="s">
        <v>434</v>
      </c>
      <c r="C3008" t="s">
        <v>2247</v>
      </c>
      <c r="D3008" s="9">
        <v>45817</v>
      </c>
      <c r="E3008" t="s">
        <v>2337</v>
      </c>
      <c r="F3008" s="20">
        <v>0</v>
      </c>
      <c r="G3008" t="s">
        <v>23</v>
      </c>
      <c r="I3008" s="16" t="str">
        <f t="shared" si="46"/>
        <v>Unknown</v>
      </c>
      <c r="J3008">
        <v>3</v>
      </c>
    </row>
    <row r="3009" spans="1:10">
      <c r="A3009" t="s">
        <v>5403</v>
      </c>
      <c r="B3009" t="s">
        <v>2769</v>
      </c>
      <c r="C3009" t="s">
        <v>2187</v>
      </c>
      <c r="D3009" s="9">
        <v>45498</v>
      </c>
      <c r="E3009" t="s">
        <v>2327</v>
      </c>
      <c r="F3009" s="20">
        <v>15</v>
      </c>
      <c r="G3009" t="s">
        <v>2331</v>
      </c>
      <c r="H3009">
        <v>-799</v>
      </c>
      <c r="I3009" s="16" t="str">
        <f t="shared" si="46"/>
        <v>Review</v>
      </c>
      <c r="J3009" t="s">
        <v>39</v>
      </c>
    </row>
    <row r="3010" spans="1:10">
      <c r="A3010" t="s">
        <v>5404</v>
      </c>
      <c r="B3010" t="s">
        <v>1107</v>
      </c>
      <c r="C3010" t="s">
        <v>2225</v>
      </c>
      <c r="D3010" s="9">
        <v>45770</v>
      </c>
      <c r="E3010" t="s">
        <v>2330</v>
      </c>
      <c r="F3010" s="20">
        <v>100</v>
      </c>
      <c r="G3010" t="s">
        <v>2345</v>
      </c>
      <c r="I3010" s="16" t="str">
        <f t="shared" si="46"/>
        <v>Unknown</v>
      </c>
      <c r="J3010" t="s">
        <v>39</v>
      </c>
    </row>
    <row r="3011" spans="1:10">
      <c r="A3011" t="s">
        <v>5405</v>
      </c>
      <c r="B3011" t="s">
        <v>729</v>
      </c>
      <c r="C3011" t="s">
        <v>2193</v>
      </c>
      <c r="D3011" s="9">
        <v>45883</v>
      </c>
      <c r="E3011" t="s">
        <v>2330</v>
      </c>
      <c r="F3011" s="20">
        <v>100</v>
      </c>
      <c r="G3011" t="s">
        <v>2325</v>
      </c>
      <c r="H3011">
        <v>0</v>
      </c>
      <c r="I3011" s="16" t="str">
        <f t="shared" ref="I3011:I3074" si="47">IF(H3011="", "Unknown", IF(H3011=0, "Zero Amount", IF(H3011&lt;1, "Review", IF(H3011&gt;1, "Normal"))))</f>
        <v>Zero Amount</v>
      </c>
      <c r="J3011">
        <v>4</v>
      </c>
    </row>
    <row r="3012" spans="1:10">
      <c r="A3012" t="s">
        <v>5406</v>
      </c>
      <c r="B3012" t="s">
        <v>2097</v>
      </c>
      <c r="C3012" t="s">
        <v>2269</v>
      </c>
      <c r="D3012" s="9">
        <v>45621</v>
      </c>
      <c r="E3012" t="s">
        <v>2337</v>
      </c>
      <c r="F3012" s="20">
        <v>20</v>
      </c>
      <c r="G3012" t="s">
        <v>23</v>
      </c>
      <c r="H3012">
        <v>499</v>
      </c>
      <c r="I3012" s="16" t="str">
        <f t="shared" si="47"/>
        <v>Normal</v>
      </c>
      <c r="J3012">
        <v>1</v>
      </c>
    </row>
    <row r="3013" spans="1:10">
      <c r="A3013" t="s">
        <v>5407</v>
      </c>
      <c r="B3013" t="s">
        <v>5408</v>
      </c>
      <c r="C3013" t="s">
        <v>2222</v>
      </c>
      <c r="D3013" s="9">
        <v>45918</v>
      </c>
      <c r="E3013" t="s">
        <v>2324</v>
      </c>
      <c r="F3013" s="20">
        <v>55</v>
      </c>
      <c r="G3013" t="s">
        <v>2345</v>
      </c>
      <c r="H3013">
        <v>0</v>
      </c>
      <c r="I3013" s="16" t="str">
        <f t="shared" si="47"/>
        <v>Zero Amount</v>
      </c>
      <c r="J3013">
        <v>1</v>
      </c>
    </row>
    <row r="3014" spans="1:10">
      <c r="A3014" t="s">
        <v>5409</v>
      </c>
      <c r="B3014" t="s">
        <v>949</v>
      </c>
      <c r="C3014" t="s">
        <v>2241</v>
      </c>
      <c r="D3014" s="9">
        <v>46031</v>
      </c>
      <c r="E3014" t="s">
        <v>2330</v>
      </c>
      <c r="F3014" s="20">
        <v>100</v>
      </c>
      <c r="G3014" t="s">
        <v>2331</v>
      </c>
      <c r="H3014">
        <v>2500</v>
      </c>
      <c r="I3014" s="16" t="str">
        <f t="shared" si="47"/>
        <v>Normal</v>
      </c>
      <c r="J3014" t="s">
        <v>39</v>
      </c>
    </row>
    <row r="3015" spans="1:10">
      <c r="A3015" t="s">
        <v>5410</v>
      </c>
      <c r="B3015" t="s">
        <v>1110</v>
      </c>
      <c r="C3015" t="s">
        <v>2216</v>
      </c>
      <c r="D3015" s="9">
        <v>45313</v>
      </c>
      <c r="E3015" t="s">
        <v>2327</v>
      </c>
      <c r="G3015" t="s">
        <v>2325</v>
      </c>
      <c r="H3015">
        <v>1200</v>
      </c>
      <c r="I3015" s="16" t="str">
        <f t="shared" si="47"/>
        <v>Normal</v>
      </c>
      <c r="J3015">
        <v>2</v>
      </c>
    </row>
    <row r="3016" spans="1:10">
      <c r="A3016" t="s">
        <v>5411</v>
      </c>
      <c r="B3016" t="s">
        <v>103</v>
      </c>
      <c r="C3016" t="s">
        <v>2237</v>
      </c>
      <c r="D3016" s="9">
        <v>45338</v>
      </c>
      <c r="E3016" t="s">
        <v>2330</v>
      </c>
      <c r="G3016" t="s">
        <v>2328</v>
      </c>
      <c r="H3016">
        <v>1500</v>
      </c>
      <c r="I3016" s="16" t="str">
        <f t="shared" si="47"/>
        <v>Normal</v>
      </c>
      <c r="J3016" t="s">
        <v>39</v>
      </c>
    </row>
    <row r="3017" spans="1:10">
      <c r="A3017" t="s">
        <v>5412</v>
      </c>
      <c r="B3017" t="s">
        <v>1191</v>
      </c>
      <c r="C3017" t="s">
        <v>2218</v>
      </c>
      <c r="D3017" s="9">
        <v>45210</v>
      </c>
      <c r="E3017" t="s">
        <v>2337</v>
      </c>
      <c r="F3017" s="20">
        <v>5</v>
      </c>
      <c r="G3017" t="s">
        <v>2325</v>
      </c>
      <c r="H3017">
        <v>1500</v>
      </c>
      <c r="I3017" s="16" t="str">
        <f t="shared" si="47"/>
        <v>Normal</v>
      </c>
      <c r="J3017">
        <v>5</v>
      </c>
    </row>
    <row r="3018" spans="1:10">
      <c r="A3018" t="s">
        <v>5413</v>
      </c>
      <c r="B3018" t="s">
        <v>1350</v>
      </c>
      <c r="C3018" t="s">
        <v>2202</v>
      </c>
      <c r="D3018" s="9">
        <v>46130</v>
      </c>
      <c r="E3018" t="s">
        <v>2337</v>
      </c>
      <c r="F3018" s="20">
        <v>5</v>
      </c>
      <c r="G3018" t="s">
        <v>23</v>
      </c>
      <c r="H3018">
        <v>999.99</v>
      </c>
      <c r="I3018" s="16" t="str">
        <f t="shared" si="47"/>
        <v>Normal</v>
      </c>
      <c r="J3018" t="s">
        <v>39</v>
      </c>
    </row>
    <row r="3019" spans="1:10">
      <c r="A3019" t="s">
        <v>5414</v>
      </c>
      <c r="B3019" t="s">
        <v>1239</v>
      </c>
      <c r="C3019" t="s">
        <v>2251</v>
      </c>
      <c r="D3019" s="9">
        <v>45345</v>
      </c>
      <c r="E3019" t="s">
        <v>2330</v>
      </c>
      <c r="F3019" s="20">
        <v>100</v>
      </c>
      <c r="G3019" t="s">
        <v>2325</v>
      </c>
      <c r="H3019">
        <v>1500</v>
      </c>
      <c r="I3019" s="16" t="str">
        <f t="shared" si="47"/>
        <v>Normal</v>
      </c>
      <c r="J3019" t="s">
        <v>39</v>
      </c>
    </row>
    <row r="3020" spans="1:10">
      <c r="A3020" t="s">
        <v>5415</v>
      </c>
      <c r="B3020" t="s">
        <v>184</v>
      </c>
      <c r="C3020" t="s">
        <v>2205</v>
      </c>
      <c r="D3020" s="9">
        <v>45188</v>
      </c>
      <c r="E3020" t="s">
        <v>2330</v>
      </c>
      <c r="G3020" t="s">
        <v>23</v>
      </c>
      <c r="H3020">
        <v>1500</v>
      </c>
      <c r="I3020" s="16" t="str">
        <f t="shared" si="47"/>
        <v>Normal</v>
      </c>
      <c r="J3020" t="s">
        <v>39</v>
      </c>
    </row>
    <row r="3021" spans="1:10">
      <c r="A3021" t="s">
        <v>5416</v>
      </c>
      <c r="B3021" t="s">
        <v>1683</v>
      </c>
      <c r="C3021" t="s">
        <v>2269</v>
      </c>
      <c r="D3021" s="9">
        <v>45201</v>
      </c>
      <c r="E3021" t="s">
        <v>2327</v>
      </c>
      <c r="F3021" s="20">
        <v>15</v>
      </c>
      <c r="G3021" t="s">
        <v>2345</v>
      </c>
      <c r="H3021">
        <v>499</v>
      </c>
      <c r="I3021" s="16" t="str">
        <f t="shared" si="47"/>
        <v>Normal</v>
      </c>
      <c r="J3021" t="s">
        <v>39</v>
      </c>
    </row>
    <row r="3022" spans="1:10">
      <c r="A3022" t="s">
        <v>5417</v>
      </c>
      <c r="B3022" t="s">
        <v>1001</v>
      </c>
      <c r="C3022" t="s">
        <v>2202</v>
      </c>
      <c r="D3022" s="9">
        <v>45540</v>
      </c>
      <c r="E3022" t="s">
        <v>2327</v>
      </c>
      <c r="G3022" t="s">
        <v>2328</v>
      </c>
      <c r="H3022">
        <v>999.99</v>
      </c>
      <c r="I3022" s="16" t="str">
        <f t="shared" si="47"/>
        <v>Normal</v>
      </c>
      <c r="J3022" t="s">
        <v>39</v>
      </c>
    </row>
    <row r="3023" spans="1:10">
      <c r="A3023" t="s">
        <v>5418</v>
      </c>
      <c r="B3023" t="s">
        <v>1504</v>
      </c>
      <c r="C3023" t="s">
        <v>2233</v>
      </c>
      <c r="D3023" s="9">
        <v>46070</v>
      </c>
      <c r="E3023" t="s">
        <v>2324</v>
      </c>
      <c r="G3023" t="s">
        <v>2339</v>
      </c>
      <c r="H3023">
        <v>2500</v>
      </c>
      <c r="I3023" s="16" t="str">
        <f t="shared" si="47"/>
        <v>Normal</v>
      </c>
      <c r="J3023" t="s">
        <v>39</v>
      </c>
    </row>
    <row r="3024" spans="1:10">
      <c r="A3024" t="s">
        <v>5419</v>
      </c>
      <c r="B3024" t="s">
        <v>1809</v>
      </c>
      <c r="C3024" t="s">
        <v>2241</v>
      </c>
      <c r="D3024" s="9">
        <v>45213</v>
      </c>
      <c r="E3024" t="s">
        <v>2330</v>
      </c>
      <c r="G3024" t="s">
        <v>2345</v>
      </c>
      <c r="H3024">
        <v>2500</v>
      </c>
      <c r="I3024" s="16" t="str">
        <f t="shared" si="47"/>
        <v>Normal</v>
      </c>
      <c r="J3024">
        <v>2</v>
      </c>
    </row>
    <row r="3025" spans="1:10">
      <c r="A3025" t="s">
        <v>5420</v>
      </c>
      <c r="B3025" t="s">
        <v>2151</v>
      </c>
      <c r="C3025" t="s">
        <v>2244</v>
      </c>
      <c r="D3025" s="9">
        <v>45345</v>
      </c>
      <c r="E3025" t="s">
        <v>2330</v>
      </c>
      <c r="F3025" s="20">
        <v>100</v>
      </c>
      <c r="G3025" t="s">
        <v>2339</v>
      </c>
      <c r="H3025">
        <v>1200</v>
      </c>
      <c r="I3025" s="16" t="str">
        <f t="shared" si="47"/>
        <v>Normal</v>
      </c>
      <c r="J3025">
        <v>4</v>
      </c>
    </row>
    <row r="3026" spans="1:10">
      <c r="A3026" t="s">
        <v>5421</v>
      </c>
      <c r="B3026" t="s">
        <v>1759</v>
      </c>
      <c r="C3026" t="s">
        <v>2231</v>
      </c>
      <c r="D3026" s="9">
        <v>45300</v>
      </c>
      <c r="E3026" t="s">
        <v>2324</v>
      </c>
      <c r="G3026" t="s">
        <v>2345</v>
      </c>
      <c r="H3026">
        <v>3000</v>
      </c>
      <c r="I3026" s="16" t="str">
        <f t="shared" si="47"/>
        <v>Normal</v>
      </c>
      <c r="J3026">
        <v>5</v>
      </c>
    </row>
    <row r="3027" spans="1:10">
      <c r="A3027" t="s">
        <v>5422</v>
      </c>
      <c r="B3027" t="s">
        <v>1153</v>
      </c>
      <c r="C3027" t="s">
        <v>2222</v>
      </c>
      <c r="D3027" s="9">
        <v>45820</v>
      </c>
      <c r="E3027" t="s">
        <v>2330</v>
      </c>
      <c r="F3027" s="20">
        <v>100</v>
      </c>
      <c r="G3027" t="s">
        <v>2345</v>
      </c>
      <c r="H3027">
        <v>0</v>
      </c>
      <c r="I3027" s="16" t="str">
        <f t="shared" si="47"/>
        <v>Zero Amount</v>
      </c>
      <c r="J3027" t="s">
        <v>39</v>
      </c>
    </row>
    <row r="3028" spans="1:10">
      <c r="A3028" t="s">
        <v>5423</v>
      </c>
      <c r="B3028" t="s">
        <v>2054</v>
      </c>
      <c r="C3028" t="s">
        <v>2205</v>
      </c>
      <c r="D3028" s="9">
        <v>45458</v>
      </c>
      <c r="E3028" t="s">
        <v>2337</v>
      </c>
      <c r="F3028" s="20">
        <v>5</v>
      </c>
      <c r="G3028" t="s">
        <v>23</v>
      </c>
      <c r="H3028">
        <v>1500</v>
      </c>
      <c r="I3028" s="16" t="str">
        <f t="shared" si="47"/>
        <v>Normal</v>
      </c>
      <c r="J3028" t="s">
        <v>39</v>
      </c>
    </row>
    <row r="3029" spans="1:10">
      <c r="A3029" t="s">
        <v>5424</v>
      </c>
      <c r="B3029" t="s">
        <v>900</v>
      </c>
      <c r="C3029" t="s">
        <v>2235</v>
      </c>
      <c r="D3029" s="9">
        <v>46165</v>
      </c>
      <c r="E3029" t="s">
        <v>2330</v>
      </c>
      <c r="G3029" t="s">
        <v>2331</v>
      </c>
      <c r="H3029">
        <v>3000</v>
      </c>
      <c r="I3029" s="16" t="str">
        <f t="shared" si="47"/>
        <v>Normal</v>
      </c>
      <c r="J3029">
        <v>3</v>
      </c>
    </row>
    <row r="3030" spans="1:10">
      <c r="A3030" t="s">
        <v>5425</v>
      </c>
      <c r="B3030" t="s">
        <v>442</v>
      </c>
      <c r="C3030" t="s">
        <v>2273</v>
      </c>
      <c r="D3030" s="9">
        <v>45830</v>
      </c>
      <c r="E3030" t="s">
        <v>2330</v>
      </c>
      <c r="F3030" s="20">
        <v>100</v>
      </c>
      <c r="G3030" t="s">
        <v>2328</v>
      </c>
      <c r="H3030">
        <v>-799</v>
      </c>
      <c r="I3030" s="16" t="str">
        <f t="shared" si="47"/>
        <v>Review</v>
      </c>
      <c r="J3030" t="s">
        <v>39</v>
      </c>
    </row>
    <row r="3031" spans="1:10">
      <c r="A3031" t="s">
        <v>5426</v>
      </c>
      <c r="B3031" t="s">
        <v>1763</v>
      </c>
      <c r="C3031" t="s">
        <v>2264</v>
      </c>
      <c r="D3031" s="9">
        <v>45667</v>
      </c>
      <c r="E3031" t="s">
        <v>2330</v>
      </c>
      <c r="G3031" t="s">
        <v>2325</v>
      </c>
      <c r="H3031">
        <v>2500</v>
      </c>
      <c r="I3031" s="16" t="str">
        <f t="shared" si="47"/>
        <v>Normal</v>
      </c>
      <c r="J3031" t="s">
        <v>39</v>
      </c>
    </row>
    <row r="3032" spans="1:10">
      <c r="A3032" t="s">
        <v>5427</v>
      </c>
      <c r="B3032" t="s">
        <v>2116</v>
      </c>
      <c r="C3032" t="s">
        <v>2233</v>
      </c>
      <c r="D3032" s="9">
        <v>45730</v>
      </c>
      <c r="E3032" t="s">
        <v>2337</v>
      </c>
      <c r="F3032" s="20">
        <v>0</v>
      </c>
      <c r="G3032" t="s">
        <v>2331</v>
      </c>
      <c r="H3032">
        <v>2500</v>
      </c>
      <c r="I3032" s="16" t="str">
        <f t="shared" si="47"/>
        <v>Normal</v>
      </c>
      <c r="J3032" t="s">
        <v>39</v>
      </c>
    </row>
    <row r="3033" spans="1:10">
      <c r="A3033" t="s">
        <v>5428</v>
      </c>
      <c r="B3033" t="s">
        <v>1860</v>
      </c>
      <c r="C3033" t="s">
        <v>2247</v>
      </c>
      <c r="D3033" s="9">
        <v>46066</v>
      </c>
      <c r="E3033" t="s">
        <v>2324</v>
      </c>
      <c r="G3033" t="s">
        <v>2339</v>
      </c>
      <c r="I3033" s="16" t="str">
        <f t="shared" si="47"/>
        <v>Unknown</v>
      </c>
      <c r="J3033" t="s">
        <v>39</v>
      </c>
    </row>
    <row r="3034" spans="1:10">
      <c r="A3034" t="s">
        <v>5429</v>
      </c>
      <c r="B3034" t="s">
        <v>1194</v>
      </c>
      <c r="C3034" t="s">
        <v>2269</v>
      </c>
      <c r="D3034" s="9">
        <v>45930</v>
      </c>
      <c r="E3034" t="s">
        <v>2327</v>
      </c>
      <c r="F3034" s="20">
        <v>15</v>
      </c>
      <c r="G3034" t="s">
        <v>2325</v>
      </c>
      <c r="H3034">
        <v>499</v>
      </c>
      <c r="I3034" s="16" t="str">
        <f t="shared" si="47"/>
        <v>Normal</v>
      </c>
      <c r="J3034">
        <v>5</v>
      </c>
    </row>
    <row r="3035" spans="1:10">
      <c r="A3035" t="s">
        <v>5430</v>
      </c>
      <c r="B3035" t="s">
        <v>1103</v>
      </c>
      <c r="C3035" t="s">
        <v>2198</v>
      </c>
      <c r="D3035" s="9">
        <v>45242</v>
      </c>
      <c r="E3035" t="s">
        <v>2330</v>
      </c>
      <c r="F3035" s="20">
        <v>100</v>
      </c>
      <c r="G3035" t="s">
        <v>2331</v>
      </c>
      <c r="I3035" s="16" t="str">
        <f t="shared" si="47"/>
        <v>Unknown</v>
      </c>
      <c r="J3035">
        <v>2</v>
      </c>
    </row>
    <row r="3036" spans="1:10">
      <c r="A3036" t="s">
        <v>5431</v>
      </c>
      <c r="B3036" t="s">
        <v>762</v>
      </c>
      <c r="C3036" t="s">
        <v>2261</v>
      </c>
      <c r="D3036" s="9">
        <v>45560</v>
      </c>
      <c r="E3036" t="s">
        <v>2324</v>
      </c>
      <c r="F3036" s="20">
        <v>10</v>
      </c>
      <c r="G3036" t="s">
        <v>2345</v>
      </c>
      <c r="I3036" s="16" t="str">
        <f t="shared" si="47"/>
        <v>Unknown</v>
      </c>
      <c r="J3036">
        <v>5</v>
      </c>
    </row>
    <row r="3037" spans="1:10">
      <c r="A3037" t="s">
        <v>5432</v>
      </c>
      <c r="B3037" t="s">
        <v>61</v>
      </c>
      <c r="C3037" t="s">
        <v>2225</v>
      </c>
      <c r="D3037" s="9">
        <v>45822</v>
      </c>
      <c r="E3037" t="s">
        <v>2330</v>
      </c>
      <c r="F3037" s="20">
        <v>100</v>
      </c>
      <c r="G3037" t="s">
        <v>2331</v>
      </c>
      <c r="I3037" s="16" t="str">
        <f t="shared" si="47"/>
        <v>Unknown</v>
      </c>
      <c r="J3037" t="s">
        <v>39</v>
      </c>
    </row>
    <row r="3038" spans="1:10">
      <c r="A3038" t="s">
        <v>5433</v>
      </c>
      <c r="B3038" t="s">
        <v>1658</v>
      </c>
      <c r="C3038" t="s">
        <v>2269</v>
      </c>
      <c r="D3038" s="9">
        <v>45732</v>
      </c>
      <c r="E3038" t="s">
        <v>2330</v>
      </c>
      <c r="F3038" s="20">
        <v>100</v>
      </c>
      <c r="G3038" t="s">
        <v>2345</v>
      </c>
      <c r="H3038">
        <v>499</v>
      </c>
      <c r="I3038" s="16" t="str">
        <f t="shared" si="47"/>
        <v>Normal</v>
      </c>
      <c r="J3038">
        <v>2</v>
      </c>
    </row>
    <row r="3039" spans="1:10">
      <c r="A3039" t="s">
        <v>5434</v>
      </c>
      <c r="B3039" t="s">
        <v>1864</v>
      </c>
      <c r="C3039" t="s">
        <v>2228</v>
      </c>
      <c r="D3039" s="9">
        <v>46299</v>
      </c>
      <c r="E3039" t="s">
        <v>2330</v>
      </c>
      <c r="F3039" s="20">
        <v>100</v>
      </c>
      <c r="G3039" t="s">
        <v>2345</v>
      </c>
      <c r="H3039">
        <v>477.27</v>
      </c>
      <c r="I3039" s="16" t="str">
        <f t="shared" si="47"/>
        <v>Normal</v>
      </c>
      <c r="J3039">
        <v>4</v>
      </c>
    </row>
    <row r="3040" spans="1:10">
      <c r="A3040" t="s">
        <v>5435</v>
      </c>
      <c r="B3040" t="s">
        <v>1445</v>
      </c>
      <c r="C3040" t="s">
        <v>2235</v>
      </c>
      <c r="D3040" s="9">
        <v>45135</v>
      </c>
      <c r="E3040" t="s">
        <v>2330</v>
      </c>
      <c r="G3040" t="s">
        <v>2325</v>
      </c>
      <c r="I3040" s="16" t="str">
        <f t="shared" si="47"/>
        <v>Unknown</v>
      </c>
      <c r="J3040">
        <v>5</v>
      </c>
    </row>
    <row r="3041" spans="1:10">
      <c r="A3041" t="s">
        <v>5436</v>
      </c>
      <c r="B3041" t="s">
        <v>292</v>
      </c>
      <c r="C3041" t="s">
        <v>2187</v>
      </c>
      <c r="D3041" s="9">
        <v>46090</v>
      </c>
      <c r="E3041" t="s">
        <v>2324</v>
      </c>
      <c r="F3041" s="20">
        <v>40</v>
      </c>
      <c r="G3041" t="s">
        <v>2328</v>
      </c>
      <c r="H3041">
        <v>799</v>
      </c>
      <c r="I3041" s="16" t="str">
        <f t="shared" si="47"/>
        <v>Normal</v>
      </c>
      <c r="J3041">
        <v>3</v>
      </c>
    </row>
    <row r="3042" spans="1:10">
      <c r="A3042" t="s">
        <v>5437</v>
      </c>
      <c r="B3042" t="s">
        <v>2929</v>
      </c>
      <c r="C3042" t="s">
        <v>2225</v>
      </c>
      <c r="D3042" s="9">
        <v>45519</v>
      </c>
      <c r="E3042" t="s">
        <v>2327</v>
      </c>
      <c r="F3042" s="20">
        <v>5</v>
      </c>
      <c r="G3042" t="s">
        <v>23</v>
      </c>
      <c r="I3042" s="16" t="str">
        <f t="shared" si="47"/>
        <v>Unknown</v>
      </c>
      <c r="J3042">
        <v>5</v>
      </c>
    </row>
    <row r="3043" spans="1:10">
      <c r="A3043" t="s">
        <v>5438</v>
      </c>
      <c r="B3043" t="s">
        <v>1492</v>
      </c>
      <c r="C3043" t="s">
        <v>2218</v>
      </c>
      <c r="D3043" s="9">
        <v>45150</v>
      </c>
      <c r="E3043" t="s">
        <v>23</v>
      </c>
      <c r="G3043" t="s">
        <v>2325</v>
      </c>
      <c r="H3043">
        <v>1500</v>
      </c>
      <c r="I3043" s="16" t="str">
        <f t="shared" si="47"/>
        <v>Normal</v>
      </c>
      <c r="J3043">
        <v>2</v>
      </c>
    </row>
    <row r="3044" spans="1:10">
      <c r="A3044" t="s">
        <v>5439</v>
      </c>
      <c r="B3044" t="s">
        <v>1676</v>
      </c>
      <c r="C3044" t="s">
        <v>2218</v>
      </c>
      <c r="D3044" s="9">
        <v>45314</v>
      </c>
      <c r="E3044" t="s">
        <v>23</v>
      </c>
      <c r="G3044" t="s">
        <v>2325</v>
      </c>
      <c r="H3044">
        <v>759.43</v>
      </c>
      <c r="I3044" s="16" t="str">
        <f t="shared" si="47"/>
        <v>Normal</v>
      </c>
      <c r="J3044" t="s">
        <v>39</v>
      </c>
    </row>
    <row r="3045" spans="1:10">
      <c r="A3045" t="s">
        <v>5440</v>
      </c>
      <c r="B3045" t="s">
        <v>943</v>
      </c>
      <c r="C3045" t="s">
        <v>2249</v>
      </c>
      <c r="D3045" s="9">
        <v>45297</v>
      </c>
      <c r="E3045" t="s">
        <v>2330</v>
      </c>
      <c r="F3045" s="20">
        <v>100</v>
      </c>
      <c r="G3045" t="s">
        <v>2345</v>
      </c>
      <c r="H3045">
        <v>1500</v>
      </c>
      <c r="I3045" s="16" t="str">
        <f t="shared" si="47"/>
        <v>Normal</v>
      </c>
      <c r="J3045">
        <v>4</v>
      </c>
    </row>
    <row r="3046" spans="1:10">
      <c r="A3046" t="s">
        <v>5441</v>
      </c>
      <c r="B3046" t="s">
        <v>5442</v>
      </c>
      <c r="C3046" t="s">
        <v>2209</v>
      </c>
      <c r="D3046" s="9">
        <v>45254</v>
      </c>
      <c r="E3046" t="s">
        <v>2337</v>
      </c>
      <c r="F3046" s="20">
        <v>15</v>
      </c>
      <c r="G3046" t="s">
        <v>2328</v>
      </c>
      <c r="H3046">
        <v>499</v>
      </c>
      <c r="I3046" s="16" t="str">
        <f t="shared" si="47"/>
        <v>Normal</v>
      </c>
      <c r="J3046" t="s">
        <v>39</v>
      </c>
    </row>
    <row r="3047" spans="1:10">
      <c r="A3047" t="s">
        <v>5443</v>
      </c>
      <c r="B3047" t="s">
        <v>99</v>
      </c>
      <c r="C3047" t="s">
        <v>2216</v>
      </c>
      <c r="D3047" s="9">
        <v>45135</v>
      </c>
      <c r="E3047" t="s">
        <v>2337</v>
      </c>
      <c r="F3047" s="20">
        <v>20</v>
      </c>
      <c r="G3047" t="s">
        <v>2331</v>
      </c>
      <c r="H3047">
        <v>1200</v>
      </c>
      <c r="I3047" s="16" t="str">
        <f t="shared" si="47"/>
        <v>Normal</v>
      </c>
      <c r="J3047">
        <v>3</v>
      </c>
    </row>
    <row r="3048" spans="1:10">
      <c r="A3048" t="s">
        <v>5444</v>
      </c>
      <c r="B3048" t="s">
        <v>2057</v>
      </c>
      <c r="C3048" t="s">
        <v>2193</v>
      </c>
      <c r="D3048" s="9">
        <v>45880</v>
      </c>
      <c r="E3048" t="s">
        <v>23</v>
      </c>
      <c r="G3048" t="s">
        <v>2345</v>
      </c>
      <c r="H3048">
        <v>0</v>
      </c>
      <c r="I3048" s="16" t="str">
        <f t="shared" si="47"/>
        <v>Zero Amount</v>
      </c>
      <c r="J3048">
        <v>4</v>
      </c>
    </row>
    <row r="3049" spans="1:10">
      <c r="A3049" t="s">
        <v>5445</v>
      </c>
      <c r="B3049" t="s">
        <v>339</v>
      </c>
      <c r="C3049" t="s">
        <v>2187</v>
      </c>
      <c r="D3049" s="9">
        <v>45275</v>
      </c>
      <c r="E3049" t="s">
        <v>2337</v>
      </c>
      <c r="F3049" s="20">
        <v>15</v>
      </c>
      <c r="G3049" t="s">
        <v>2331</v>
      </c>
      <c r="H3049">
        <v>799</v>
      </c>
      <c r="I3049" s="16" t="str">
        <f t="shared" si="47"/>
        <v>Normal</v>
      </c>
      <c r="J3049">
        <v>2</v>
      </c>
    </row>
    <row r="3050" spans="1:10">
      <c r="A3050" t="s">
        <v>5446</v>
      </c>
      <c r="B3050" t="s">
        <v>649</v>
      </c>
      <c r="C3050" t="s">
        <v>2225</v>
      </c>
      <c r="D3050" s="9">
        <v>45451</v>
      </c>
      <c r="E3050" t="s">
        <v>2337</v>
      </c>
      <c r="F3050" s="20">
        <v>0</v>
      </c>
      <c r="G3050" t="s">
        <v>2345</v>
      </c>
      <c r="I3050" s="16" t="str">
        <f t="shared" si="47"/>
        <v>Unknown</v>
      </c>
      <c r="J3050">
        <v>4</v>
      </c>
    </row>
    <row r="3051" spans="1:10">
      <c r="A3051" t="s">
        <v>5447</v>
      </c>
      <c r="B3051" t="s">
        <v>264</v>
      </c>
      <c r="C3051" t="s">
        <v>2218</v>
      </c>
      <c r="D3051" s="9">
        <v>45903</v>
      </c>
      <c r="E3051" t="s">
        <v>2330</v>
      </c>
      <c r="G3051" t="s">
        <v>2345</v>
      </c>
      <c r="H3051">
        <v>1500</v>
      </c>
      <c r="I3051" s="16" t="str">
        <f t="shared" si="47"/>
        <v>Normal</v>
      </c>
      <c r="J3051">
        <v>5</v>
      </c>
    </row>
    <row r="3052" spans="1:10">
      <c r="A3052" t="s">
        <v>5448</v>
      </c>
      <c r="B3052" t="s">
        <v>2073</v>
      </c>
      <c r="C3052" t="s">
        <v>2231</v>
      </c>
      <c r="D3052" s="9">
        <v>45628</v>
      </c>
      <c r="E3052" t="s">
        <v>2330</v>
      </c>
      <c r="G3052" t="s">
        <v>2331</v>
      </c>
      <c r="H3052">
        <v>3000</v>
      </c>
      <c r="I3052" s="16" t="str">
        <f t="shared" si="47"/>
        <v>Normal</v>
      </c>
      <c r="J3052">
        <v>5</v>
      </c>
    </row>
    <row r="3053" spans="1:10">
      <c r="A3053" t="s">
        <v>5449</v>
      </c>
      <c r="B3053" t="s">
        <v>4958</v>
      </c>
      <c r="C3053" t="s">
        <v>2187</v>
      </c>
      <c r="D3053" s="9">
        <v>45474</v>
      </c>
      <c r="E3053" t="s">
        <v>2330</v>
      </c>
      <c r="F3053" s="20">
        <v>100</v>
      </c>
      <c r="G3053" t="s">
        <v>2345</v>
      </c>
      <c r="H3053">
        <v>799</v>
      </c>
      <c r="I3053" s="16" t="str">
        <f t="shared" si="47"/>
        <v>Normal</v>
      </c>
      <c r="J3053">
        <v>4</v>
      </c>
    </row>
    <row r="3054" spans="1:10">
      <c r="A3054" t="s">
        <v>5450</v>
      </c>
      <c r="B3054" t="s">
        <v>239</v>
      </c>
      <c r="C3054" t="s">
        <v>2273</v>
      </c>
      <c r="D3054" s="9">
        <v>45935</v>
      </c>
      <c r="E3054" t="s">
        <v>23</v>
      </c>
      <c r="G3054" t="s">
        <v>23</v>
      </c>
      <c r="H3054">
        <v>799</v>
      </c>
      <c r="I3054" s="16" t="str">
        <f t="shared" si="47"/>
        <v>Normal</v>
      </c>
      <c r="J3054" t="s">
        <v>39</v>
      </c>
    </row>
    <row r="3055" spans="1:10">
      <c r="A3055" t="s">
        <v>5451</v>
      </c>
      <c r="B3055" t="s">
        <v>1802</v>
      </c>
      <c r="C3055" t="s">
        <v>2261</v>
      </c>
      <c r="D3055" s="9">
        <v>45993</v>
      </c>
      <c r="E3055" t="s">
        <v>23</v>
      </c>
      <c r="G3055" t="s">
        <v>2345</v>
      </c>
      <c r="I3055" s="16" t="str">
        <f t="shared" si="47"/>
        <v>Unknown</v>
      </c>
      <c r="J3055">
        <v>3</v>
      </c>
    </row>
    <row r="3056" spans="1:10">
      <c r="A3056" t="s">
        <v>5452</v>
      </c>
      <c r="B3056" t="s">
        <v>213</v>
      </c>
      <c r="C3056" t="s">
        <v>2213</v>
      </c>
      <c r="D3056" s="9">
        <v>45730</v>
      </c>
      <c r="E3056" t="s">
        <v>2330</v>
      </c>
      <c r="F3056" s="20">
        <v>100</v>
      </c>
      <c r="G3056" t="s">
        <v>2331</v>
      </c>
      <c r="I3056" s="16" t="str">
        <f t="shared" si="47"/>
        <v>Unknown</v>
      </c>
      <c r="J3056">
        <v>5</v>
      </c>
    </row>
    <row r="3057" spans="1:10">
      <c r="A3057" t="s">
        <v>5453</v>
      </c>
      <c r="B3057" t="s">
        <v>309</v>
      </c>
      <c r="C3057" t="s">
        <v>2235</v>
      </c>
      <c r="D3057" s="9">
        <v>45593</v>
      </c>
      <c r="E3057" t="s">
        <v>2337</v>
      </c>
      <c r="F3057" s="20">
        <v>0</v>
      </c>
      <c r="G3057" t="s">
        <v>2345</v>
      </c>
      <c r="H3057">
        <v>3000</v>
      </c>
      <c r="I3057" s="16" t="str">
        <f t="shared" si="47"/>
        <v>Normal</v>
      </c>
      <c r="J3057" t="s">
        <v>39</v>
      </c>
    </row>
    <row r="3058" spans="1:10">
      <c r="A3058" t="s">
        <v>5454</v>
      </c>
      <c r="B3058" t="s">
        <v>668</v>
      </c>
      <c r="C3058" t="s">
        <v>2273</v>
      </c>
      <c r="D3058" s="9">
        <v>45333</v>
      </c>
      <c r="E3058" t="s">
        <v>2330</v>
      </c>
      <c r="G3058" t="s">
        <v>2331</v>
      </c>
      <c r="H3058">
        <v>799</v>
      </c>
      <c r="I3058" s="16" t="str">
        <f t="shared" si="47"/>
        <v>Normal</v>
      </c>
      <c r="J3058">
        <v>2</v>
      </c>
    </row>
    <row r="3059" spans="1:10">
      <c r="A3059" t="s">
        <v>5455</v>
      </c>
      <c r="B3059" t="s">
        <v>4085</v>
      </c>
      <c r="C3059" t="s">
        <v>2269</v>
      </c>
      <c r="D3059" s="9">
        <v>45778</v>
      </c>
      <c r="E3059" t="s">
        <v>2337</v>
      </c>
      <c r="F3059" s="20">
        <v>20</v>
      </c>
      <c r="G3059" t="s">
        <v>2325</v>
      </c>
      <c r="H3059">
        <v>499</v>
      </c>
      <c r="I3059" s="16" t="str">
        <f t="shared" si="47"/>
        <v>Normal</v>
      </c>
      <c r="J3059">
        <v>2</v>
      </c>
    </row>
    <row r="3060" spans="1:10">
      <c r="A3060" t="s">
        <v>5456</v>
      </c>
      <c r="B3060" t="s">
        <v>1922</v>
      </c>
      <c r="C3060" t="s">
        <v>2222</v>
      </c>
      <c r="D3060" s="9">
        <v>45696</v>
      </c>
      <c r="E3060" t="s">
        <v>2337</v>
      </c>
      <c r="F3060" s="20">
        <v>15</v>
      </c>
      <c r="G3060" t="s">
        <v>2325</v>
      </c>
      <c r="H3060">
        <v>0</v>
      </c>
      <c r="I3060" s="16" t="str">
        <f t="shared" si="47"/>
        <v>Zero Amount</v>
      </c>
      <c r="J3060">
        <v>3</v>
      </c>
    </row>
    <row r="3061" spans="1:10">
      <c r="A3061" t="s">
        <v>5457</v>
      </c>
      <c r="B3061" t="s">
        <v>2097</v>
      </c>
      <c r="C3061" t="s">
        <v>2202</v>
      </c>
      <c r="D3061" s="9">
        <v>45227</v>
      </c>
      <c r="E3061" t="s">
        <v>2330</v>
      </c>
      <c r="F3061" s="20">
        <v>100</v>
      </c>
      <c r="G3061" t="s">
        <v>2331</v>
      </c>
      <c r="H3061">
        <v>999.99</v>
      </c>
      <c r="I3061" s="16" t="str">
        <f t="shared" si="47"/>
        <v>Normal</v>
      </c>
      <c r="J3061">
        <v>1</v>
      </c>
    </row>
    <row r="3062" spans="1:10">
      <c r="A3062" t="s">
        <v>5458</v>
      </c>
      <c r="B3062" t="s">
        <v>932</v>
      </c>
      <c r="C3062" t="s">
        <v>2273</v>
      </c>
      <c r="D3062" s="9">
        <v>45404</v>
      </c>
      <c r="E3062" t="s">
        <v>2330</v>
      </c>
      <c r="F3062" s="20">
        <v>100</v>
      </c>
      <c r="G3062" t="s">
        <v>2339</v>
      </c>
      <c r="H3062">
        <v>799</v>
      </c>
      <c r="I3062" s="16" t="str">
        <f t="shared" si="47"/>
        <v>Normal</v>
      </c>
      <c r="J3062">
        <v>2</v>
      </c>
    </row>
    <row r="3063" spans="1:10">
      <c r="A3063" t="s">
        <v>5459</v>
      </c>
      <c r="B3063" t="s">
        <v>1438</v>
      </c>
      <c r="C3063" t="s">
        <v>2251</v>
      </c>
      <c r="D3063" s="9">
        <v>45940</v>
      </c>
      <c r="E3063" t="s">
        <v>2324</v>
      </c>
      <c r="F3063" s="20">
        <v>25</v>
      </c>
      <c r="G3063" t="s">
        <v>23</v>
      </c>
      <c r="H3063">
        <v>1500</v>
      </c>
      <c r="I3063" s="16" t="str">
        <f t="shared" si="47"/>
        <v>Normal</v>
      </c>
      <c r="J3063">
        <v>4</v>
      </c>
    </row>
    <row r="3064" spans="1:10">
      <c r="A3064" t="s">
        <v>5460</v>
      </c>
      <c r="B3064" t="s">
        <v>1700</v>
      </c>
      <c r="C3064" t="s">
        <v>2216</v>
      </c>
      <c r="D3064" s="9">
        <v>46110</v>
      </c>
      <c r="E3064" t="s">
        <v>23</v>
      </c>
      <c r="G3064" t="s">
        <v>2345</v>
      </c>
      <c r="H3064">
        <v>1200</v>
      </c>
      <c r="I3064" s="16" t="str">
        <f t="shared" si="47"/>
        <v>Normal</v>
      </c>
      <c r="J3064">
        <v>1</v>
      </c>
    </row>
    <row r="3065" spans="1:10">
      <c r="A3065" t="s">
        <v>5461</v>
      </c>
      <c r="B3065" t="s">
        <v>1592</v>
      </c>
      <c r="C3065" t="s">
        <v>2257</v>
      </c>
      <c r="D3065" s="9">
        <v>45467</v>
      </c>
      <c r="E3065" t="s">
        <v>2330</v>
      </c>
      <c r="G3065" t="s">
        <v>2339</v>
      </c>
      <c r="I3065" s="16" t="str">
        <f t="shared" si="47"/>
        <v>Unknown</v>
      </c>
      <c r="J3065">
        <v>5</v>
      </c>
    </row>
    <row r="3066" spans="1:10">
      <c r="A3066" t="s">
        <v>5462</v>
      </c>
      <c r="B3066" t="s">
        <v>754</v>
      </c>
      <c r="C3066" t="s">
        <v>2264</v>
      </c>
      <c r="D3066" s="9">
        <v>46076</v>
      </c>
      <c r="E3066" t="s">
        <v>2324</v>
      </c>
      <c r="G3066" t="s">
        <v>2331</v>
      </c>
      <c r="H3066">
        <v>2500</v>
      </c>
      <c r="I3066" s="16" t="str">
        <f t="shared" si="47"/>
        <v>Normal</v>
      </c>
      <c r="J3066">
        <v>5</v>
      </c>
    </row>
    <row r="3067" spans="1:10">
      <c r="A3067" t="s">
        <v>5463</v>
      </c>
      <c r="B3067" t="s">
        <v>932</v>
      </c>
      <c r="C3067" t="s">
        <v>2267</v>
      </c>
      <c r="D3067" s="9">
        <v>45377</v>
      </c>
      <c r="E3067" t="s">
        <v>2327</v>
      </c>
      <c r="F3067" s="20">
        <v>20</v>
      </c>
      <c r="G3067" t="s">
        <v>2331</v>
      </c>
      <c r="H3067">
        <v>999.99</v>
      </c>
      <c r="I3067" s="16" t="str">
        <f t="shared" si="47"/>
        <v>Normal</v>
      </c>
      <c r="J3067">
        <v>4</v>
      </c>
    </row>
    <row r="3068" spans="1:10">
      <c r="A3068" t="s">
        <v>5464</v>
      </c>
      <c r="B3068" t="s">
        <v>997</v>
      </c>
      <c r="C3068" t="s">
        <v>2257</v>
      </c>
      <c r="D3068" s="9">
        <v>45982</v>
      </c>
      <c r="E3068" t="s">
        <v>2330</v>
      </c>
      <c r="F3068" s="20">
        <v>100</v>
      </c>
      <c r="G3068" t="s">
        <v>2331</v>
      </c>
      <c r="I3068" s="16" t="str">
        <f t="shared" si="47"/>
        <v>Unknown</v>
      </c>
      <c r="J3068">
        <v>2</v>
      </c>
    </row>
    <row r="3069" spans="1:10">
      <c r="A3069" t="s">
        <v>5465</v>
      </c>
      <c r="B3069" t="s">
        <v>1786</v>
      </c>
      <c r="C3069" t="s">
        <v>2273</v>
      </c>
      <c r="D3069" s="9">
        <v>45632</v>
      </c>
      <c r="E3069" t="s">
        <v>2337</v>
      </c>
      <c r="F3069" s="20">
        <v>20</v>
      </c>
      <c r="G3069" t="s">
        <v>2331</v>
      </c>
      <c r="H3069">
        <v>799</v>
      </c>
      <c r="I3069" s="16" t="str">
        <f t="shared" si="47"/>
        <v>Normal</v>
      </c>
      <c r="J3069" t="s">
        <v>39</v>
      </c>
    </row>
    <row r="3070" spans="1:10">
      <c r="A3070" t="s">
        <v>5466</v>
      </c>
      <c r="B3070" t="s">
        <v>1365</v>
      </c>
      <c r="C3070" t="s">
        <v>2244</v>
      </c>
      <c r="D3070" s="9">
        <v>45699</v>
      </c>
      <c r="E3070" t="s">
        <v>2324</v>
      </c>
      <c r="F3070" s="20">
        <v>55</v>
      </c>
      <c r="G3070" t="s">
        <v>23</v>
      </c>
      <c r="H3070">
        <v>1200</v>
      </c>
      <c r="I3070" s="16" t="str">
        <f t="shared" si="47"/>
        <v>Normal</v>
      </c>
      <c r="J3070">
        <v>1</v>
      </c>
    </row>
    <row r="3071" spans="1:10">
      <c r="A3071" t="s">
        <v>5467</v>
      </c>
      <c r="B3071" t="s">
        <v>498</v>
      </c>
      <c r="C3071" t="s">
        <v>2202</v>
      </c>
      <c r="D3071" s="9">
        <v>45824</v>
      </c>
      <c r="E3071" t="s">
        <v>2324</v>
      </c>
      <c r="F3071" s="20">
        <v>55</v>
      </c>
      <c r="G3071" t="s">
        <v>2328</v>
      </c>
      <c r="H3071">
        <v>999.99</v>
      </c>
      <c r="I3071" s="16" t="str">
        <f t="shared" si="47"/>
        <v>Normal</v>
      </c>
      <c r="J3071" t="s">
        <v>39</v>
      </c>
    </row>
    <row r="3072" spans="1:10">
      <c r="A3072" t="s">
        <v>5468</v>
      </c>
      <c r="B3072" t="s">
        <v>1763</v>
      </c>
      <c r="C3072" t="s">
        <v>2244</v>
      </c>
      <c r="D3072" s="9">
        <v>45830</v>
      </c>
      <c r="E3072" t="s">
        <v>2330</v>
      </c>
      <c r="F3072" s="20">
        <v>100</v>
      </c>
      <c r="G3072" t="s">
        <v>2328</v>
      </c>
      <c r="H3072">
        <v>1200</v>
      </c>
      <c r="I3072" s="16" t="str">
        <f t="shared" si="47"/>
        <v>Normal</v>
      </c>
      <c r="J3072">
        <v>3</v>
      </c>
    </row>
    <row r="3073" spans="1:10">
      <c r="A3073" t="s">
        <v>5469</v>
      </c>
      <c r="B3073" t="s">
        <v>1149</v>
      </c>
      <c r="C3073" t="s">
        <v>2231</v>
      </c>
      <c r="D3073" s="9">
        <v>45473</v>
      </c>
      <c r="E3073" t="s">
        <v>23</v>
      </c>
      <c r="G3073" t="s">
        <v>2345</v>
      </c>
      <c r="H3073">
        <v>3000</v>
      </c>
      <c r="I3073" s="16" t="str">
        <f t="shared" si="47"/>
        <v>Normal</v>
      </c>
      <c r="J3073" t="s">
        <v>39</v>
      </c>
    </row>
    <row r="3074" spans="1:10">
      <c r="A3074" t="s">
        <v>5470</v>
      </c>
      <c r="B3074" t="s">
        <v>1239</v>
      </c>
      <c r="C3074" t="s">
        <v>2228</v>
      </c>
      <c r="D3074" s="9">
        <v>45901</v>
      </c>
      <c r="E3074" t="s">
        <v>2330</v>
      </c>
      <c r="F3074" s="20">
        <v>100</v>
      </c>
      <c r="G3074" t="s">
        <v>2325</v>
      </c>
      <c r="H3074">
        <v>799</v>
      </c>
      <c r="I3074" s="16" t="str">
        <f t="shared" si="47"/>
        <v>Normal</v>
      </c>
      <c r="J3074">
        <v>1</v>
      </c>
    </row>
    <row r="3075" spans="1:10">
      <c r="A3075" t="s">
        <v>5471</v>
      </c>
      <c r="B3075" t="s">
        <v>957</v>
      </c>
      <c r="C3075" t="s">
        <v>2253</v>
      </c>
      <c r="D3075" s="9">
        <v>45167</v>
      </c>
      <c r="E3075" t="s">
        <v>23</v>
      </c>
      <c r="G3075" t="s">
        <v>2328</v>
      </c>
      <c r="H3075">
        <v>1200</v>
      </c>
      <c r="I3075" s="16" t="str">
        <f t="shared" ref="I3075:I3138" si="48">IF(H3075="", "Unknown", IF(H3075=0, "Zero Amount", IF(H3075&lt;1, "Review", IF(H3075&gt;1, "Normal"))))</f>
        <v>Normal</v>
      </c>
      <c r="J3075" t="s">
        <v>39</v>
      </c>
    </row>
    <row r="3076" spans="1:10">
      <c r="A3076" t="s">
        <v>5472</v>
      </c>
      <c r="B3076" t="s">
        <v>1486</v>
      </c>
      <c r="C3076" t="s">
        <v>2259</v>
      </c>
      <c r="D3076" s="9">
        <v>45498</v>
      </c>
      <c r="E3076" t="s">
        <v>2327</v>
      </c>
      <c r="F3076" s="20">
        <v>15</v>
      </c>
      <c r="G3076" t="s">
        <v>2345</v>
      </c>
      <c r="H3076">
        <v>0</v>
      </c>
      <c r="I3076" s="16" t="str">
        <f t="shared" si="48"/>
        <v>Zero Amount</v>
      </c>
      <c r="J3076">
        <v>3</v>
      </c>
    </row>
    <row r="3077" spans="1:10">
      <c r="A3077" t="s">
        <v>5473</v>
      </c>
      <c r="B3077" t="s">
        <v>5474</v>
      </c>
      <c r="C3077" t="s">
        <v>2187</v>
      </c>
      <c r="D3077" s="9">
        <v>45801</v>
      </c>
      <c r="E3077" t="s">
        <v>2327</v>
      </c>
      <c r="F3077" s="20">
        <v>20</v>
      </c>
      <c r="G3077" t="s">
        <v>2331</v>
      </c>
      <c r="H3077">
        <v>799</v>
      </c>
      <c r="I3077" s="16" t="str">
        <f t="shared" si="48"/>
        <v>Normal</v>
      </c>
      <c r="J3077" t="s">
        <v>39</v>
      </c>
    </row>
    <row r="3078" spans="1:10">
      <c r="A3078" t="s">
        <v>5475</v>
      </c>
      <c r="B3078" t="s">
        <v>445</v>
      </c>
      <c r="C3078" t="s">
        <v>2253</v>
      </c>
      <c r="D3078" s="9">
        <v>46155</v>
      </c>
      <c r="E3078" t="s">
        <v>2330</v>
      </c>
      <c r="F3078" s="20">
        <v>100</v>
      </c>
      <c r="G3078" t="s">
        <v>2328</v>
      </c>
      <c r="H3078">
        <v>1057.83</v>
      </c>
      <c r="I3078" s="16" t="str">
        <f t="shared" si="48"/>
        <v>Normal</v>
      </c>
      <c r="J3078" t="s">
        <v>39</v>
      </c>
    </row>
    <row r="3079" spans="1:10">
      <c r="A3079" t="s">
        <v>5476</v>
      </c>
      <c r="B3079" t="s">
        <v>309</v>
      </c>
      <c r="C3079" t="s">
        <v>2233</v>
      </c>
      <c r="D3079" s="9">
        <v>45236</v>
      </c>
      <c r="E3079" t="s">
        <v>23</v>
      </c>
      <c r="G3079" t="s">
        <v>2345</v>
      </c>
      <c r="H3079">
        <v>2500</v>
      </c>
      <c r="I3079" s="16" t="str">
        <f t="shared" si="48"/>
        <v>Normal</v>
      </c>
      <c r="J3079">
        <v>1</v>
      </c>
    </row>
    <row r="3080" spans="1:10">
      <c r="A3080" t="s">
        <v>5477</v>
      </c>
      <c r="B3080" t="s">
        <v>5478</v>
      </c>
      <c r="C3080" t="s">
        <v>2198</v>
      </c>
      <c r="D3080" s="9">
        <v>45346</v>
      </c>
      <c r="E3080" t="s">
        <v>2324</v>
      </c>
      <c r="G3080" t="s">
        <v>2339</v>
      </c>
      <c r="I3080" s="16" t="str">
        <f t="shared" si="48"/>
        <v>Unknown</v>
      </c>
      <c r="J3080">
        <v>1</v>
      </c>
    </row>
    <row r="3081" spans="1:10">
      <c r="A3081" t="s">
        <v>5479</v>
      </c>
      <c r="B3081" t="s">
        <v>745</v>
      </c>
      <c r="C3081" t="s">
        <v>2241</v>
      </c>
      <c r="D3081" s="9">
        <v>45362</v>
      </c>
      <c r="E3081" t="s">
        <v>2337</v>
      </c>
      <c r="G3081" t="s">
        <v>2328</v>
      </c>
      <c r="H3081">
        <v>2500</v>
      </c>
      <c r="I3081" s="16" t="str">
        <f t="shared" si="48"/>
        <v>Normal</v>
      </c>
      <c r="J3081">
        <v>4</v>
      </c>
    </row>
    <row r="3082" spans="1:10">
      <c r="A3082" t="s">
        <v>5480</v>
      </c>
      <c r="B3082" t="s">
        <v>1773</v>
      </c>
      <c r="C3082" t="s">
        <v>2205</v>
      </c>
      <c r="D3082" s="9">
        <v>45219</v>
      </c>
      <c r="E3082" t="s">
        <v>2330</v>
      </c>
      <c r="F3082" s="20">
        <v>100</v>
      </c>
      <c r="G3082" t="s">
        <v>2345</v>
      </c>
      <c r="H3082">
        <v>-1500</v>
      </c>
      <c r="I3082" s="16" t="str">
        <f t="shared" si="48"/>
        <v>Review</v>
      </c>
      <c r="J3082" t="s">
        <v>39</v>
      </c>
    </row>
    <row r="3083" spans="1:10">
      <c r="A3083" t="s">
        <v>5481</v>
      </c>
      <c r="B3083" t="s">
        <v>1960</v>
      </c>
      <c r="C3083" t="s">
        <v>2202</v>
      </c>
      <c r="D3083" s="9">
        <v>45701</v>
      </c>
      <c r="E3083" t="s">
        <v>23</v>
      </c>
      <c r="G3083" t="s">
        <v>2328</v>
      </c>
      <c r="H3083">
        <v>999.99</v>
      </c>
      <c r="I3083" s="16" t="str">
        <f t="shared" si="48"/>
        <v>Normal</v>
      </c>
      <c r="J3083">
        <v>1</v>
      </c>
    </row>
    <row r="3084" spans="1:10">
      <c r="A3084" t="s">
        <v>5482</v>
      </c>
      <c r="B3084" t="s">
        <v>1363</v>
      </c>
      <c r="C3084" t="s">
        <v>2225</v>
      </c>
      <c r="D3084" s="9">
        <v>45422</v>
      </c>
      <c r="E3084" t="s">
        <v>2337</v>
      </c>
      <c r="F3084" s="20">
        <v>0</v>
      </c>
      <c r="G3084" t="s">
        <v>2331</v>
      </c>
      <c r="I3084" s="16" t="str">
        <f t="shared" si="48"/>
        <v>Unknown</v>
      </c>
      <c r="J3084">
        <v>4</v>
      </c>
    </row>
    <row r="3085" spans="1:10">
      <c r="A3085" t="s">
        <v>5483</v>
      </c>
      <c r="B3085" t="s">
        <v>1967</v>
      </c>
      <c r="C3085" t="s">
        <v>2244</v>
      </c>
      <c r="D3085" s="9">
        <v>46055</v>
      </c>
      <c r="E3085" t="s">
        <v>2327</v>
      </c>
      <c r="F3085" s="20">
        <v>0</v>
      </c>
      <c r="G3085" t="s">
        <v>2331</v>
      </c>
      <c r="I3085" s="16" t="str">
        <f t="shared" si="48"/>
        <v>Unknown</v>
      </c>
      <c r="J3085">
        <v>4</v>
      </c>
    </row>
    <row r="3086" spans="1:10">
      <c r="A3086" t="s">
        <v>5484</v>
      </c>
      <c r="B3086" t="s">
        <v>1948</v>
      </c>
      <c r="C3086" t="s">
        <v>2259</v>
      </c>
      <c r="D3086" s="9">
        <v>45434</v>
      </c>
      <c r="E3086" t="s">
        <v>2330</v>
      </c>
      <c r="G3086" t="s">
        <v>2331</v>
      </c>
      <c r="H3086">
        <v>0</v>
      </c>
      <c r="I3086" s="16" t="str">
        <f t="shared" si="48"/>
        <v>Zero Amount</v>
      </c>
      <c r="J3086" t="s">
        <v>39</v>
      </c>
    </row>
    <row r="3087" spans="1:10">
      <c r="A3087" t="s">
        <v>5485</v>
      </c>
      <c r="B3087" t="s">
        <v>857</v>
      </c>
      <c r="C3087" t="s">
        <v>2267</v>
      </c>
      <c r="D3087" s="9">
        <v>45576</v>
      </c>
      <c r="E3087" t="s">
        <v>2327</v>
      </c>
      <c r="F3087" s="20">
        <v>5</v>
      </c>
      <c r="G3087" t="s">
        <v>2331</v>
      </c>
      <c r="H3087">
        <v>502.9</v>
      </c>
      <c r="I3087" s="16" t="str">
        <f t="shared" si="48"/>
        <v>Normal</v>
      </c>
      <c r="J3087">
        <v>4</v>
      </c>
    </row>
    <row r="3088" spans="1:10">
      <c r="A3088" t="s">
        <v>5486</v>
      </c>
      <c r="B3088" t="s">
        <v>1624</v>
      </c>
      <c r="C3088" t="s">
        <v>2249</v>
      </c>
      <c r="D3088" s="9">
        <v>46176</v>
      </c>
      <c r="E3088" t="s">
        <v>2337</v>
      </c>
      <c r="G3088" t="s">
        <v>2331</v>
      </c>
      <c r="H3088">
        <v>1500</v>
      </c>
      <c r="I3088" s="16" t="str">
        <f t="shared" si="48"/>
        <v>Normal</v>
      </c>
      <c r="J3088">
        <v>1</v>
      </c>
    </row>
    <row r="3089" spans="1:10">
      <c r="A3089" t="s">
        <v>5487</v>
      </c>
      <c r="B3089" t="s">
        <v>1544</v>
      </c>
      <c r="C3089" t="s">
        <v>2269</v>
      </c>
      <c r="D3089" s="9">
        <v>45188</v>
      </c>
      <c r="E3089" t="s">
        <v>2337</v>
      </c>
      <c r="F3089" s="20">
        <v>15</v>
      </c>
      <c r="G3089" t="s">
        <v>2339</v>
      </c>
      <c r="H3089">
        <v>499</v>
      </c>
      <c r="I3089" s="16" t="str">
        <f t="shared" si="48"/>
        <v>Normal</v>
      </c>
      <c r="J3089" t="s">
        <v>39</v>
      </c>
    </row>
    <row r="3090" spans="1:10">
      <c r="A3090" t="s">
        <v>5488</v>
      </c>
      <c r="B3090" t="s">
        <v>863</v>
      </c>
      <c r="C3090" t="s">
        <v>2264</v>
      </c>
      <c r="D3090" s="9">
        <v>46048</v>
      </c>
      <c r="E3090" t="s">
        <v>2324</v>
      </c>
      <c r="F3090" s="20">
        <v>75</v>
      </c>
      <c r="G3090" t="s">
        <v>2339</v>
      </c>
      <c r="H3090">
        <v>2500</v>
      </c>
      <c r="I3090" s="16" t="str">
        <f t="shared" si="48"/>
        <v>Normal</v>
      </c>
      <c r="J3090">
        <v>4</v>
      </c>
    </row>
    <row r="3091" spans="1:10">
      <c r="A3091" t="s">
        <v>5489</v>
      </c>
      <c r="B3091" t="s">
        <v>1295</v>
      </c>
      <c r="C3091" t="s">
        <v>2205</v>
      </c>
      <c r="D3091" s="9">
        <v>45651</v>
      </c>
      <c r="E3091" t="s">
        <v>2327</v>
      </c>
      <c r="F3091" s="20">
        <v>20</v>
      </c>
      <c r="G3091" t="s">
        <v>2339</v>
      </c>
      <c r="H3091">
        <v>1500</v>
      </c>
      <c r="I3091" s="16" t="str">
        <f t="shared" si="48"/>
        <v>Normal</v>
      </c>
      <c r="J3091">
        <v>5</v>
      </c>
    </row>
    <row r="3092" spans="1:10">
      <c r="A3092" t="s">
        <v>5490</v>
      </c>
      <c r="B3092" t="s">
        <v>1425</v>
      </c>
      <c r="C3092" t="s">
        <v>2271</v>
      </c>
      <c r="D3092" s="9">
        <v>45533</v>
      </c>
      <c r="E3092" t="s">
        <v>2330</v>
      </c>
      <c r="F3092" s="20">
        <v>100</v>
      </c>
      <c r="G3092" t="s">
        <v>2331</v>
      </c>
      <c r="H3092">
        <v>1200</v>
      </c>
      <c r="I3092" s="16" t="str">
        <f t="shared" si="48"/>
        <v>Normal</v>
      </c>
      <c r="J3092">
        <v>5</v>
      </c>
    </row>
    <row r="3093" spans="1:10">
      <c r="A3093" t="s">
        <v>5491</v>
      </c>
      <c r="B3093" t="s">
        <v>649</v>
      </c>
      <c r="C3093" t="s">
        <v>2273</v>
      </c>
      <c r="D3093" s="9">
        <v>46129</v>
      </c>
      <c r="E3093" t="s">
        <v>2324</v>
      </c>
      <c r="F3093" s="20">
        <v>25</v>
      </c>
      <c r="G3093" t="s">
        <v>2345</v>
      </c>
      <c r="H3093">
        <v>799</v>
      </c>
      <c r="I3093" s="16" t="str">
        <f t="shared" si="48"/>
        <v>Normal</v>
      </c>
      <c r="J3093">
        <v>4</v>
      </c>
    </row>
    <row r="3094" spans="1:10">
      <c r="A3094" t="s">
        <v>5492</v>
      </c>
      <c r="B3094" t="s">
        <v>987</v>
      </c>
      <c r="C3094" t="s">
        <v>2222</v>
      </c>
      <c r="D3094" s="9">
        <v>46192</v>
      </c>
      <c r="E3094" t="s">
        <v>2330</v>
      </c>
      <c r="G3094" t="s">
        <v>2328</v>
      </c>
      <c r="H3094">
        <v>0</v>
      </c>
      <c r="I3094" s="16" t="str">
        <f t="shared" si="48"/>
        <v>Zero Amount</v>
      </c>
      <c r="J3094">
        <v>1</v>
      </c>
    </row>
    <row r="3095" spans="1:10">
      <c r="A3095" t="s">
        <v>5493</v>
      </c>
      <c r="B3095" t="s">
        <v>2010</v>
      </c>
      <c r="C3095" t="s">
        <v>2233</v>
      </c>
      <c r="D3095" s="9">
        <v>45311</v>
      </c>
      <c r="E3095" t="s">
        <v>2324</v>
      </c>
      <c r="G3095" t="s">
        <v>2325</v>
      </c>
      <c r="H3095">
        <v>2500</v>
      </c>
      <c r="I3095" s="16" t="str">
        <f t="shared" si="48"/>
        <v>Normal</v>
      </c>
      <c r="J3095" t="s">
        <v>39</v>
      </c>
    </row>
    <row r="3096" spans="1:10">
      <c r="A3096" t="s">
        <v>5494</v>
      </c>
      <c r="B3096" t="s">
        <v>850</v>
      </c>
      <c r="C3096" t="s">
        <v>2193</v>
      </c>
      <c r="D3096" s="9">
        <v>46018</v>
      </c>
      <c r="E3096" t="s">
        <v>2330</v>
      </c>
      <c r="G3096" t="s">
        <v>2345</v>
      </c>
      <c r="I3096" s="16" t="str">
        <f t="shared" si="48"/>
        <v>Unknown</v>
      </c>
      <c r="J3096" t="s">
        <v>39</v>
      </c>
    </row>
    <row r="3097" spans="1:10">
      <c r="A3097" t="s">
        <v>5495</v>
      </c>
      <c r="B3097" t="s">
        <v>1214</v>
      </c>
      <c r="C3097" t="s">
        <v>2244</v>
      </c>
      <c r="D3097" s="9">
        <v>45341</v>
      </c>
      <c r="E3097" t="s">
        <v>23</v>
      </c>
      <c r="G3097" t="s">
        <v>2331</v>
      </c>
      <c r="H3097">
        <v>1200</v>
      </c>
      <c r="I3097" s="16" t="str">
        <f t="shared" si="48"/>
        <v>Normal</v>
      </c>
      <c r="J3097" t="s">
        <v>39</v>
      </c>
    </row>
    <row r="3098" spans="1:10">
      <c r="A3098" t="s">
        <v>5496</v>
      </c>
      <c r="B3098" t="s">
        <v>1311</v>
      </c>
      <c r="C3098" t="s">
        <v>2249</v>
      </c>
      <c r="D3098" s="9">
        <v>45116</v>
      </c>
      <c r="E3098" t="s">
        <v>2330</v>
      </c>
      <c r="F3098" s="20">
        <v>100</v>
      </c>
      <c r="G3098" t="s">
        <v>2339</v>
      </c>
      <c r="H3098">
        <v>1500</v>
      </c>
      <c r="I3098" s="16" t="str">
        <f t="shared" si="48"/>
        <v>Normal</v>
      </c>
      <c r="J3098">
        <v>4</v>
      </c>
    </row>
    <row r="3099" spans="1:10">
      <c r="A3099" t="s">
        <v>5497</v>
      </c>
      <c r="B3099" t="s">
        <v>1786</v>
      </c>
      <c r="C3099" t="s">
        <v>2241</v>
      </c>
      <c r="D3099" s="9">
        <v>45666</v>
      </c>
      <c r="E3099" t="s">
        <v>2330</v>
      </c>
      <c r="F3099" s="20">
        <v>100</v>
      </c>
      <c r="G3099" t="s">
        <v>2331</v>
      </c>
      <c r="H3099">
        <v>2500</v>
      </c>
      <c r="I3099" s="16" t="str">
        <f t="shared" si="48"/>
        <v>Normal</v>
      </c>
      <c r="J3099" t="s">
        <v>39</v>
      </c>
    </row>
    <row r="3100" spans="1:10">
      <c r="A3100" t="s">
        <v>5498</v>
      </c>
      <c r="B3100" t="s">
        <v>597</v>
      </c>
      <c r="C3100" t="s">
        <v>2187</v>
      </c>
      <c r="D3100" s="9">
        <v>45485</v>
      </c>
      <c r="E3100" t="s">
        <v>2330</v>
      </c>
      <c r="G3100" t="s">
        <v>23</v>
      </c>
      <c r="H3100">
        <v>799</v>
      </c>
      <c r="I3100" s="16" t="str">
        <f t="shared" si="48"/>
        <v>Normal</v>
      </c>
      <c r="J3100">
        <v>4</v>
      </c>
    </row>
    <row r="3101" spans="1:10">
      <c r="A3101" t="s">
        <v>5499</v>
      </c>
      <c r="B3101" t="s">
        <v>660</v>
      </c>
      <c r="C3101" t="s">
        <v>2202</v>
      </c>
      <c r="D3101" s="9">
        <v>45904</v>
      </c>
      <c r="E3101" t="s">
        <v>2327</v>
      </c>
      <c r="F3101" s="20">
        <v>20</v>
      </c>
      <c r="G3101" t="s">
        <v>2325</v>
      </c>
      <c r="H3101">
        <v>999.99</v>
      </c>
      <c r="I3101" s="16" t="str">
        <f t="shared" si="48"/>
        <v>Normal</v>
      </c>
      <c r="J3101">
        <v>4</v>
      </c>
    </row>
    <row r="3102" spans="1:10">
      <c r="A3102" t="s">
        <v>5500</v>
      </c>
      <c r="B3102" t="s">
        <v>574</v>
      </c>
      <c r="C3102" t="s">
        <v>2213</v>
      </c>
      <c r="D3102" s="9">
        <v>45028</v>
      </c>
      <c r="E3102" t="s">
        <v>2330</v>
      </c>
      <c r="G3102" t="s">
        <v>2345</v>
      </c>
      <c r="H3102">
        <v>1500</v>
      </c>
      <c r="I3102" s="16" t="str">
        <f t="shared" si="48"/>
        <v>Normal</v>
      </c>
      <c r="J3102" t="s">
        <v>39</v>
      </c>
    </row>
    <row r="3103" spans="1:10">
      <c r="A3103" t="s">
        <v>5501</v>
      </c>
      <c r="B3103" t="s">
        <v>684</v>
      </c>
      <c r="C3103" t="s">
        <v>2249</v>
      </c>
      <c r="D3103" s="9">
        <v>46040</v>
      </c>
      <c r="E3103" t="s">
        <v>2324</v>
      </c>
      <c r="F3103" s="20">
        <v>75</v>
      </c>
      <c r="G3103" t="s">
        <v>23</v>
      </c>
      <c r="H3103">
        <v>1500</v>
      </c>
      <c r="I3103" s="16" t="str">
        <f t="shared" si="48"/>
        <v>Normal</v>
      </c>
      <c r="J3103">
        <v>4</v>
      </c>
    </row>
    <row r="3104" spans="1:10">
      <c r="A3104" t="s">
        <v>5502</v>
      </c>
      <c r="B3104" t="s">
        <v>1736</v>
      </c>
      <c r="C3104" t="s">
        <v>2261</v>
      </c>
      <c r="D3104" s="9">
        <v>45673</v>
      </c>
      <c r="E3104" t="s">
        <v>23</v>
      </c>
      <c r="G3104" t="s">
        <v>2331</v>
      </c>
      <c r="I3104" s="16" t="str">
        <f t="shared" si="48"/>
        <v>Unknown</v>
      </c>
      <c r="J3104">
        <v>4</v>
      </c>
    </row>
    <row r="3105" spans="1:10">
      <c r="A3105" t="s">
        <v>5503</v>
      </c>
      <c r="B3105" t="s">
        <v>1813</v>
      </c>
      <c r="C3105" t="s">
        <v>2269</v>
      </c>
      <c r="D3105" s="9">
        <v>45975</v>
      </c>
      <c r="E3105" t="s">
        <v>2324</v>
      </c>
      <c r="G3105" t="s">
        <v>2339</v>
      </c>
      <c r="H3105">
        <v>499</v>
      </c>
      <c r="I3105" s="16" t="str">
        <f t="shared" si="48"/>
        <v>Normal</v>
      </c>
      <c r="J3105">
        <v>3</v>
      </c>
    </row>
    <row r="3106" spans="1:10">
      <c r="A3106" t="s">
        <v>5504</v>
      </c>
      <c r="B3106" t="s">
        <v>972</v>
      </c>
      <c r="C3106" t="s">
        <v>2259</v>
      </c>
      <c r="D3106" s="9">
        <v>45495</v>
      </c>
      <c r="E3106" t="s">
        <v>2330</v>
      </c>
      <c r="G3106" t="s">
        <v>23</v>
      </c>
      <c r="H3106">
        <v>0</v>
      </c>
      <c r="I3106" s="16" t="str">
        <f t="shared" si="48"/>
        <v>Zero Amount</v>
      </c>
      <c r="J3106" t="s">
        <v>39</v>
      </c>
    </row>
    <row r="3107" spans="1:10">
      <c r="A3107" t="s">
        <v>5505</v>
      </c>
      <c r="B3107" t="s">
        <v>832</v>
      </c>
      <c r="C3107" t="s">
        <v>2231</v>
      </c>
      <c r="D3107" s="9">
        <v>45350</v>
      </c>
      <c r="E3107" t="s">
        <v>2330</v>
      </c>
      <c r="F3107" s="20">
        <v>100</v>
      </c>
      <c r="G3107" t="s">
        <v>2328</v>
      </c>
      <c r="H3107">
        <v>3000</v>
      </c>
      <c r="I3107" s="16" t="str">
        <f t="shared" si="48"/>
        <v>Normal</v>
      </c>
      <c r="J3107">
        <v>1</v>
      </c>
    </row>
    <row r="3108" spans="1:10">
      <c r="A3108" t="s">
        <v>5506</v>
      </c>
      <c r="B3108" t="s">
        <v>581</v>
      </c>
      <c r="C3108" t="s">
        <v>2228</v>
      </c>
      <c r="D3108" s="9">
        <v>46136</v>
      </c>
      <c r="E3108" t="s">
        <v>23</v>
      </c>
      <c r="G3108" t="s">
        <v>2339</v>
      </c>
      <c r="H3108">
        <v>799</v>
      </c>
      <c r="I3108" s="16" t="str">
        <f t="shared" si="48"/>
        <v>Normal</v>
      </c>
      <c r="J3108">
        <v>4</v>
      </c>
    </row>
    <row r="3109" spans="1:10">
      <c r="A3109" t="s">
        <v>5507</v>
      </c>
      <c r="B3109" t="s">
        <v>1369</v>
      </c>
      <c r="C3109" t="s">
        <v>2244</v>
      </c>
      <c r="D3109" s="9">
        <v>45679</v>
      </c>
      <c r="E3109" t="s">
        <v>2327</v>
      </c>
      <c r="F3109" s="20">
        <v>5</v>
      </c>
      <c r="G3109" t="s">
        <v>2345</v>
      </c>
      <c r="H3109">
        <v>1200</v>
      </c>
      <c r="I3109" s="16" t="str">
        <f t="shared" si="48"/>
        <v>Normal</v>
      </c>
      <c r="J3109">
        <v>1</v>
      </c>
    </row>
    <row r="3110" spans="1:10">
      <c r="A3110" t="s">
        <v>5508</v>
      </c>
      <c r="B3110" t="s">
        <v>2014</v>
      </c>
      <c r="C3110" t="s">
        <v>2193</v>
      </c>
      <c r="D3110" s="9">
        <v>45390</v>
      </c>
      <c r="E3110" t="s">
        <v>2337</v>
      </c>
      <c r="F3110" s="20">
        <v>5</v>
      </c>
      <c r="G3110" t="s">
        <v>2339</v>
      </c>
      <c r="I3110" s="16" t="str">
        <f t="shared" si="48"/>
        <v>Unknown</v>
      </c>
      <c r="J3110" t="s">
        <v>39</v>
      </c>
    </row>
    <row r="3111" spans="1:10">
      <c r="A3111" t="s">
        <v>5509</v>
      </c>
      <c r="B3111" t="s">
        <v>2129</v>
      </c>
      <c r="C3111" t="s">
        <v>2209</v>
      </c>
      <c r="D3111" s="9">
        <v>45207</v>
      </c>
      <c r="E3111" t="s">
        <v>2330</v>
      </c>
      <c r="G3111" t="s">
        <v>23</v>
      </c>
      <c r="H3111">
        <v>499</v>
      </c>
      <c r="I3111" s="16" t="str">
        <f t="shared" si="48"/>
        <v>Normal</v>
      </c>
      <c r="J3111">
        <v>5</v>
      </c>
    </row>
    <row r="3112" spans="1:10">
      <c r="A3112" t="s">
        <v>5510</v>
      </c>
      <c r="B3112" t="s">
        <v>857</v>
      </c>
      <c r="C3112" t="s">
        <v>2273</v>
      </c>
      <c r="D3112" s="9">
        <v>45279</v>
      </c>
      <c r="E3112" t="s">
        <v>2324</v>
      </c>
      <c r="F3112" s="20">
        <v>10</v>
      </c>
      <c r="G3112" t="s">
        <v>2325</v>
      </c>
      <c r="H3112">
        <v>799</v>
      </c>
      <c r="I3112" s="16" t="str">
        <f t="shared" si="48"/>
        <v>Normal</v>
      </c>
      <c r="J3112">
        <v>5</v>
      </c>
    </row>
    <row r="3113" spans="1:10">
      <c r="A3113" t="s">
        <v>5511</v>
      </c>
      <c r="B3113" t="s">
        <v>347</v>
      </c>
      <c r="C3113" t="s">
        <v>2209</v>
      </c>
      <c r="D3113" s="9">
        <v>45793</v>
      </c>
      <c r="E3113" t="s">
        <v>23</v>
      </c>
      <c r="G3113" t="s">
        <v>2331</v>
      </c>
      <c r="H3113">
        <v>499</v>
      </c>
      <c r="I3113" s="16" t="str">
        <f t="shared" si="48"/>
        <v>Normal</v>
      </c>
      <c r="J3113">
        <v>1</v>
      </c>
    </row>
    <row r="3114" spans="1:10">
      <c r="A3114" t="s">
        <v>5512</v>
      </c>
      <c r="B3114" t="s">
        <v>1107</v>
      </c>
      <c r="C3114" t="s">
        <v>2244</v>
      </c>
      <c r="D3114" s="9">
        <v>45775</v>
      </c>
      <c r="E3114" t="s">
        <v>2327</v>
      </c>
      <c r="F3114" s="20">
        <v>5</v>
      </c>
      <c r="G3114" t="s">
        <v>2345</v>
      </c>
      <c r="H3114">
        <v>1200</v>
      </c>
      <c r="I3114" s="16" t="str">
        <f t="shared" si="48"/>
        <v>Normal</v>
      </c>
      <c r="J3114" t="s">
        <v>39</v>
      </c>
    </row>
    <row r="3115" spans="1:10">
      <c r="A3115" t="s">
        <v>5513</v>
      </c>
      <c r="B3115" t="s">
        <v>274</v>
      </c>
      <c r="C3115" t="s">
        <v>2249</v>
      </c>
      <c r="D3115" s="9">
        <v>46022</v>
      </c>
      <c r="E3115" t="s">
        <v>2330</v>
      </c>
      <c r="F3115" s="20">
        <v>100</v>
      </c>
      <c r="G3115" t="s">
        <v>23</v>
      </c>
      <c r="H3115">
        <v>1500</v>
      </c>
      <c r="I3115" s="16" t="str">
        <f t="shared" si="48"/>
        <v>Normal</v>
      </c>
      <c r="J3115">
        <v>5</v>
      </c>
    </row>
    <row r="3116" spans="1:10">
      <c r="A3116" t="s">
        <v>5514</v>
      </c>
      <c r="B3116" t="s">
        <v>968</v>
      </c>
      <c r="C3116" t="s">
        <v>2267</v>
      </c>
      <c r="D3116" s="9">
        <v>45921</v>
      </c>
      <c r="E3116" t="s">
        <v>2324</v>
      </c>
      <c r="F3116" s="20">
        <v>55</v>
      </c>
      <c r="G3116" t="s">
        <v>2328</v>
      </c>
      <c r="H3116">
        <v>999.99</v>
      </c>
      <c r="I3116" s="16" t="str">
        <f t="shared" si="48"/>
        <v>Normal</v>
      </c>
      <c r="J3116" t="s">
        <v>39</v>
      </c>
    </row>
    <row r="3117" spans="1:10">
      <c r="A3117" t="s">
        <v>5515</v>
      </c>
      <c r="B3117" t="s">
        <v>806</v>
      </c>
      <c r="C3117" t="s">
        <v>2251</v>
      </c>
      <c r="D3117" s="9">
        <v>45028</v>
      </c>
      <c r="E3117" t="s">
        <v>2324</v>
      </c>
      <c r="F3117" s="20">
        <v>10</v>
      </c>
      <c r="G3117" t="s">
        <v>2331</v>
      </c>
      <c r="H3117">
        <v>1500</v>
      </c>
      <c r="I3117" s="16" t="str">
        <f t="shared" si="48"/>
        <v>Normal</v>
      </c>
      <c r="J3117" t="s">
        <v>39</v>
      </c>
    </row>
    <row r="3118" spans="1:10">
      <c r="A3118" t="s">
        <v>5516</v>
      </c>
      <c r="B3118" t="s">
        <v>1330</v>
      </c>
      <c r="C3118" t="s">
        <v>2225</v>
      </c>
      <c r="D3118" s="9">
        <v>46130</v>
      </c>
      <c r="E3118" t="s">
        <v>2330</v>
      </c>
      <c r="F3118" s="20">
        <v>100</v>
      </c>
      <c r="G3118" t="s">
        <v>2331</v>
      </c>
      <c r="I3118" s="16" t="str">
        <f t="shared" si="48"/>
        <v>Unknown</v>
      </c>
      <c r="J3118" t="s">
        <v>39</v>
      </c>
    </row>
    <row r="3119" spans="1:10">
      <c r="A3119" t="s">
        <v>5517</v>
      </c>
      <c r="B3119" t="s">
        <v>167</v>
      </c>
      <c r="C3119" t="s">
        <v>2241</v>
      </c>
      <c r="D3119" s="9">
        <v>45766</v>
      </c>
      <c r="E3119" t="s">
        <v>2330</v>
      </c>
      <c r="G3119" t="s">
        <v>2339</v>
      </c>
      <c r="H3119">
        <v>2500</v>
      </c>
      <c r="I3119" s="16" t="str">
        <f t="shared" si="48"/>
        <v>Normal</v>
      </c>
      <c r="J3119">
        <v>5</v>
      </c>
    </row>
    <row r="3120" spans="1:10">
      <c r="A3120" t="s">
        <v>5518</v>
      </c>
      <c r="B3120" t="s">
        <v>5519</v>
      </c>
      <c r="C3120" t="s">
        <v>2233</v>
      </c>
      <c r="D3120" s="9">
        <v>46038</v>
      </c>
      <c r="E3120" t="s">
        <v>2330</v>
      </c>
      <c r="F3120" s="20">
        <v>100</v>
      </c>
      <c r="G3120" t="s">
        <v>2328</v>
      </c>
      <c r="H3120">
        <v>2500</v>
      </c>
      <c r="I3120" s="16" t="str">
        <f t="shared" si="48"/>
        <v>Normal</v>
      </c>
      <c r="J3120" t="s">
        <v>39</v>
      </c>
    </row>
    <row r="3121" spans="1:10">
      <c r="A3121" t="s">
        <v>5520</v>
      </c>
      <c r="B3121" t="s">
        <v>67</v>
      </c>
      <c r="C3121" t="s">
        <v>2235</v>
      </c>
      <c r="D3121" s="9">
        <v>45403</v>
      </c>
      <c r="E3121" t="s">
        <v>2327</v>
      </c>
      <c r="F3121" s="20">
        <v>5</v>
      </c>
      <c r="G3121" t="s">
        <v>2325</v>
      </c>
      <c r="H3121">
        <v>3000</v>
      </c>
      <c r="I3121" s="16" t="str">
        <f t="shared" si="48"/>
        <v>Normal</v>
      </c>
      <c r="J3121">
        <v>3</v>
      </c>
    </row>
    <row r="3122" spans="1:10">
      <c r="A3122" t="s">
        <v>5521</v>
      </c>
      <c r="B3122" t="s">
        <v>28</v>
      </c>
      <c r="C3122" t="s">
        <v>2257</v>
      </c>
      <c r="D3122" s="9">
        <v>46149</v>
      </c>
      <c r="E3122" t="s">
        <v>2330</v>
      </c>
      <c r="G3122" t="s">
        <v>2345</v>
      </c>
      <c r="I3122" s="16" t="str">
        <f t="shared" si="48"/>
        <v>Unknown</v>
      </c>
      <c r="J3122" t="s">
        <v>39</v>
      </c>
    </row>
    <row r="3123" spans="1:10">
      <c r="A3123" t="s">
        <v>5522</v>
      </c>
      <c r="B3123" t="s">
        <v>762</v>
      </c>
      <c r="C3123" t="s">
        <v>2235</v>
      </c>
      <c r="D3123" s="9">
        <v>46137</v>
      </c>
      <c r="E3123" t="s">
        <v>2330</v>
      </c>
      <c r="F3123" s="20">
        <v>100</v>
      </c>
      <c r="G3123" t="s">
        <v>2328</v>
      </c>
      <c r="H3123">
        <v>3000</v>
      </c>
      <c r="I3123" s="16" t="str">
        <f t="shared" si="48"/>
        <v>Normal</v>
      </c>
      <c r="J3123">
        <v>4</v>
      </c>
    </row>
    <row r="3124" spans="1:10">
      <c r="A3124" t="s">
        <v>5523</v>
      </c>
      <c r="B3124" t="s">
        <v>2113</v>
      </c>
      <c r="C3124" t="s">
        <v>2205</v>
      </c>
      <c r="D3124" s="9">
        <v>45422</v>
      </c>
      <c r="E3124" t="s">
        <v>2330</v>
      </c>
      <c r="F3124" s="20">
        <v>100</v>
      </c>
      <c r="G3124" t="s">
        <v>2328</v>
      </c>
      <c r="H3124">
        <v>1500</v>
      </c>
      <c r="I3124" s="16" t="str">
        <f t="shared" si="48"/>
        <v>Normal</v>
      </c>
      <c r="J3124">
        <v>4</v>
      </c>
    </row>
    <row r="3125" spans="1:10">
      <c r="A3125" t="s">
        <v>5524</v>
      </c>
      <c r="B3125" t="s">
        <v>1480</v>
      </c>
      <c r="C3125" t="s">
        <v>2216</v>
      </c>
      <c r="D3125" s="9">
        <v>46085</v>
      </c>
      <c r="E3125" t="s">
        <v>2337</v>
      </c>
      <c r="F3125" s="20">
        <v>20</v>
      </c>
      <c r="G3125" t="s">
        <v>23</v>
      </c>
      <c r="H3125">
        <v>1200</v>
      </c>
      <c r="I3125" s="16" t="str">
        <f t="shared" si="48"/>
        <v>Normal</v>
      </c>
      <c r="J3125">
        <v>4</v>
      </c>
    </row>
    <row r="3126" spans="1:10">
      <c r="A3126" t="s">
        <v>5525</v>
      </c>
      <c r="B3126" t="s">
        <v>1158</v>
      </c>
      <c r="C3126" t="s">
        <v>2187</v>
      </c>
      <c r="D3126" s="9">
        <v>46163</v>
      </c>
      <c r="E3126" t="s">
        <v>2330</v>
      </c>
      <c r="F3126" s="20">
        <v>100</v>
      </c>
      <c r="G3126" t="s">
        <v>2345</v>
      </c>
      <c r="H3126">
        <v>799</v>
      </c>
      <c r="I3126" s="16" t="str">
        <f t="shared" si="48"/>
        <v>Normal</v>
      </c>
      <c r="J3126" t="s">
        <v>39</v>
      </c>
    </row>
    <row r="3127" spans="1:10">
      <c r="A3127" t="s">
        <v>5526</v>
      </c>
      <c r="B3127" t="s">
        <v>965</v>
      </c>
      <c r="C3127" t="s">
        <v>2198</v>
      </c>
      <c r="D3127" s="9">
        <v>46077</v>
      </c>
      <c r="E3127" t="s">
        <v>2337</v>
      </c>
      <c r="F3127" s="20">
        <v>0</v>
      </c>
      <c r="G3127" t="s">
        <v>23</v>
      </c>
      <c r="I3127" s="16" t="str">
        <f t="shared" si="48"/>
        <v>Unknown</v>
      </c>
      <c r="J3127">
        <v>4</v>
      </c>
    </row>
    <row r="3128" spans="1:10">
      <c r="A3128" t="s">
        <v>5527</v>
      </c>
      <c r="B3128" t="s">
        <v>40</v>
      </c>
      <c r="C3128" t="s">
        <v>2187</v>
      </c>
      <c r="D3128" s="9">
        <v>45610</v>
      </c>
      <c r="E3128" t="s">
        <v>2330</v>
      </c>
      <c r="G3128" t="s">
        <v>2331</v>
      </c>
      <c r="H3128">
        <v>416.27</v>
      </c>
      <c r="I3128" s="16" t="str">
        <f t="shared" si="48"/>
        <v>Normal</v>
      </c>
      <c r="J3128">
        <v>2</v>
      </c>
    </row>
    <row r="3129" spans="1:10">
      <c r="A3129" t="s">
        <v>5528</v>
      </c>
      <c r="B3129" t="s">
        <v>2045</v>
      </c>
      <c r="C3129" t="s">
        <v>2187</v>
      </c>
      <c r="D3129" s="9">
        <v>45247</v>
      </c>
      <c r="E3129" t="s">
        <v>2324</v>
      </c>
      <c r="F3129" s="20">
        <v>75</v>
      </c>
      <c r="G3129" t="s">
        <v>2345</v>
      </c>
      <c r="H3129">
        <v>799</v>
      </c>
      <c r="I3129" s="16" t="str">
        <f t="shared" si="48"/>
        <v>Normal</v>
      </c>
      <c r="J3129" t="s">
        <v>39</v>
      </c>
    </row>
    <row r="3130" spans="1:10">
      <c r="A3130" t="s">
        <v>5529</v>
      </c>
      <c r="B3130" t="s">
        <v>562</v>
      </c>
      <c r="C3130" t="s">
        <v>2247</v>
      </c>
      <c r="D3130" s="9">
        <v>46126</v>
      </c>
      <c r="E3130" t="s">
        <v>2327</v>
      </c>
      <c r="G3130" t="s">
        <v>2345</v>
      </c>
      <c r="I3130" s="16" t="str">
        <f t="shared" si="48"/>
        <v>Unknown</v>
      </c>
      <c r="J3130" t="s">
        <v>39</v>
      </c>
    </row>
    <row r="3131" spans="1:10">
      <c r="A3131" t="s">
        <v>5530</v>
      </c>
      <c r="B3131" t="s">
        <v>390</v>
      </c>
      <c r="C3131" t="s">
        <v>2202</v>
      </c>
      <c r="D3131" s="9">
        <v>45098</v>
      </c>
      <c r="E3131" t="s">
        <v>2330</v>
      </c>
      <c r="F3131" s="20">
        <v>100</v>
      </c>
      <c r="G3131" t="s">
        <v>2328</v>
      </c>
      <c r="H3131">
        <v>999.99</v>
      </c>
      <c r="I3131" s="16" t="str">
        <f t="shared" si="48"/>
        <v>Normal</v>
      </c>
      <c r="J3131">
        <v>3</v>
      </c>
    </row>
    <row r="3132" spans="1:10">
      <c r="A3132" t="s">
        <v>5531</v>
      </c>
      <c r="B3132" t="s">
        <v>2113</v>
      </c>
      <c r="C3132" t="s">
        <v>2257</v>
      </c>
      <c r="D3132" s="9">
        <v>45373</v>
      </c>
      <c r="E3132" t="s">
        <v>2324</v>
      </c>
      <c r="F3132" s="20">
        <v>75</v>
      </c>
      <c r="G3132" t="s">
        <v>2339</v>
      </c>
      <c r="I3132" s="16" t="str">
        <f t="shared" si="48"/>
        <v>Unknown</v>
      </c>
      <c r="J3132">
        <v>1</v>
      </c>
    </row>
    <row r="3133" spans="1:10">
      <c r="A3133" t="s">
        <v>5532</v>
      </c>
      <c r="B3133" t="s">
        <v>1251</v>
      </c>
      <c r="C3133" t="s">
        <v>2228</v>
      </c>
      <c r="D3133" s="9">
        <v>45707</v>
      </c>
      <c r="E3133" t="s">
        <v>2330</v>
      </c>
      <c r="F3133" s="20">
        <v>100</v>
      </c>
      <c r="G3133" t="s">
        <v>2345</v>
      </c>
      <c r="H3133">
        <v>799</v>
      </c>
      <c r="I3133" s="16" t="str">
        <f t="shared" si="48"/>
        <v>Normal</v>
      </c>
      <c r="J3133" t="s">
        <v>39</v>
      </c>
    </row>
    <row r="3134" spans="1:10">
      <c r="A3134" t="s">
        <v>5533</v>
      </c>
      <c r="B3134" t="s">
        <v>1229</v>
      </c>
      <c r="C3134" t="s">
        <v>2241</v>
      </c>
      <c r="D3134" s="9">
        <v>45439</v>
      </c>
      <c r="E3134" t="s">
        <v>2330</v>
      </c>
      <c r="F3134" s="20">
        <v>100</v>
      </c>
      <c r="G3134" t="s">
        <v>2345</v>
      </c>
      <c r="H3134">
        <v>2500</v>
      </c>
      <c r="I3134" s="16" t="str">
        <f t="shared" si="48"/>
        <v>Normal</v>
      </c>
      <c r="J3134">
        <v>5</v>
      </c>
    </row>
    <row r="3135" spans="1:10">
      <c r="A3135" t="s">
        <v>5534</v>
      </c>
      <c r="B3135" t="s">
        <v>900</v>
      </c>
      <c r="C3135" t="s">
        <v>2228</v>
      </c>
      <c r="D3135" s="9">
        <v>46109</v>
      </c>
      <c r="E3135" t="s">
        <v>2330</v>
      </c>
      <c r="F3135" s="20">
        <v>100</v>
      </c>
      <c r="G3135" t="s">
        <v>2328</v>
      </c>
      <c r="H3135">
        <v>799</v>
      </c>
      <c r="I3135" s="16" t="str">
        <f t="shared" si="48"/>
        <v>Normal</v>
      </c>
      <c r="J3135">
        <v>2</v>
      </c>
    </row>
    <row r="3136" spans="1:10">
      <c r="A3136" t="s">
        <v>5535</v>
      </c>
      <c r="B3136" t="s">
        <v>682</v>
      </c>
      <c r="C3136" t="s">
        <v>2225</v>
      </c>
      <c r="D3136" s="9">
        <v>45769</v>
      </c>
      <c r="E3136" t="s">
        <v>2330</v>
      </c>
      <c r="F3136" s="20">
        <v>100</v>
      </c>
      <c r="G3136" t="s">
        <v>2331</v>
      </c>
      <c r="I3136" s="16" t="str">
        <f t="shared" si="48"/>
        <v>Unknown</v>
      </c>
      <c r="J3136">
        <v>4</v>
      </c>
    </row>
    <row r="3137" spans="1:10">
      <c r="A3137" t="s">
        <v>5536</v>
      </c>
      <c r="B3137" t="s">
        <v>360</v>
      </c>
      <c r="C3137" t="s">
        <v>2202</v>
      </c>
      <c r="D3137" s="9">
        <v>46208</v>
      </c>
      <c r="E3137" t="s">
        <v>2327</v>
      </c>
      <c r="F3137" s="20">
        <v>15</v>
      </c>
      <c r="G3137" t="s">
        <v>2328</v>
      </c>
      <c r="I3137" s="16" t="str">
        <f t="shared" si="48"/>
        <v>Unknown</v>
      </c>
      <c r="J3137">
        <v>3</v>
      </c>
    </row>
    <row r="3138" spans="1:10">
      <c r="A3138" t="s">
        <v>5537</v>
      </c>
      <c r="B3138" t="s">
        <v>704</v>
      </c>
      <c r="C3138" t="s">
        <v>2235</v>
      </c>
      <c r="D3138" s="9">
        <v>45162</v>
      </c>
      <c r="E3138" t="s">
        <v>2327</v>
      </c>
      <c r="F3138" s="20">
        <v>20</v>
      </c>
      <c r="G3138" t="s">
        <v>23</v>
      </c>
      <c r="H3138">
        <v>2509.81</v>
      </c>
      <c r="I3138" s="16" t="str">
        <f t="shared" si="48"/>
        <v>Normal</v>
      </c>
      <c r="J3138" t="s">
        <v>39</v>
      </c>
    </row>
    <row r="3139" spans="1:10">
      <c r="A3139" t="s">
        <v>5538</v>
      </c>
      <c r="B3139" t="s">
        <v>5539</v>
      </c>
      <c r="C3139" t="s">
        <v>2244</v>
      </c>
      <c r="D3139" s="9">
        <v>45547</v>
      </c>
      <c r="E3139" t="s">
        <v>2330</v>
      </c>
      <c r="F3139" s="20">
        <v>100</v>
      </c>
      <c r="G3139" t="s">
        <v>2331</v>
      </c>
      <c r="H3139">
        <v>1200</v>
      </c>
      <c r="I3139" s="16" t="str">
        <f t="shared" ref="I3139:I3202" si="49">IF(H3139="", "Unknown", IF(H3139=0, "Zero Amount", IF(H3139&lt;1, "Review", IF(H3139&gt;1, "Normal"))))</f>
        <v>Normal</v>
      </c>
      <c r="J3139">
        <v>1</v>
      </c>
    </row>
    <row r="3140" spans="1:10">
      <c r="A3140" t="s">
        <v>5540</v>
      </c>
      <c r="B3140" t="s">
        <v>1978</v>
      </c>
      <c r="C3140" t="s">
        <v>2271</v>
      </c>
      <c r="D3140" s="9">
        <v>45255</v>
      </c>
      <c r="E3140" t="s">
        <v>2330</v>
      </c>
      <c r="F3140" s="20">
        <v>100</v>
      </c>
      <c r="G3140" t="s">
        <v>2328</v>
      </c>
      <c r="H3140">
        <v>1200</v>
      </c>
      <c r="I3140" s="16" t="str">
        <f t="shared" si="49"/>
        <v>Normal</v>
      </c>
      <c r="J3140">
        <v>4</v>
      </c>
    </row>
    <row r="3141" spans="1:10">
      <c r="A3141" t="s">
        <v>5541</v>
      </c>
      <c r="B3141" t="s">
        <v>288</v>
      </c>
      <c r="C3141" t="s">
        <v>2264</v>
      </c>
      <c r="D3141" s="9">
        <v>45881</v>
      </c>
      <c r="E3141" t="s">
        <v>2327</v>
      </c>
      <c r="F3141" s="20">
        <v>5</v>
      </c>
      <c r="G3141" t="s">
        <v>2325</v>
      </c>
      <c r="H3141">
        <v>2500</v>
      </c>
      <c r="I3141" s="16" t="str">
        <f t="shared" si="49"/>
        <v>Normal</v>
      </c>
      <c r="J3141">
        <v>4</v>
      </c>
    </row>
    <row r="3142" spans="1:10">
      <c r="A3142" t="s">
        <v>5542</v>
      </c>
      <c r="B3142" t="s">
        <v>1380</v>
      </c>
      <c r="C3142" t="s">
        <v>2257</v>
      </c>
      <c r="D3142" s="9">
        <v>45787</v>
      </c>
      <c r="E3142" t="s">
        <v>2330</v>
      </c>
      <c r="G3142" t="s">
        <v>2339</v>
      </c>
      <c r="I3142" s="16" t="str">
        <f t="shared" si="49"/>
        <v>Unknown</v>
      </c>
      <c r="J3142">
        <v>3</v>
      </c>
    </row>
    <row r="3143" spans="1:10">
      <c r="A3143" t="s">
        <v>5543</v>
      </c>
      <c r="B3143" t="s">
        <v>213</v>
      </c>
      <c r="C3143" t="s">
        <v>2225</v>
      </c>
      <c r="D3143" s="9">
        <v>45982</v>
      </c>
      <c r="E3143" t="s">
        <v>2324</v>
      </c>
      <c r="F3143" s="20">
        <v>60</v>
      </c>
      <c r="G3143" t="s">
        <v>23</v>
      </c>
      <c r="I3143" s="16" t="str">
        <f t="shared" si="49"/>
        <v>Unknown</v>
      </c>
      <c r="J3143">
        <v>4</v>
      </c>
    </row>
    <row r="3144" spans="1:10">
      <c r="A3144" t="s">
        <v>5544</v>
      </c>
      <c r="B3144" t="s">
        <v>1838</v>
      </c>
      <c r="C3144" t="s">
        <v>2249</v>
      </c>
      <c r="D3144" s="9">
        <v>46140</v>
      </c>
      <c r="E3144" t="s">
        <v>2324</v>
      </c>
      <c r="F3144" s="20">
        <v>10</v>
      </c>
      <c r="G3144" t="s">
        <v>2325</v>
      </c>
      <c r="H3144">
        <v>1500</v>
      </c>
      <c r="I3144" s="16" t="str">
        <f t="shared" si="49"/>
        <v>Normal</v>
      </c>
      <c r="J3144">
        <v>1</v>
      </c>
    </row>
    <row r="3145" spans="1:10">
      <c r="A3145" t="s">
        <v>5545</v>
      </c>
      <c r="B3145" t="s">
        <v>103</v>
      </c>
      <c r="C3145" t="s">
        <v>2257</v>
      </c>
      <c r="D3145" s="9">
        <v>45629</v>
      </c>
      <c r="E3145" t="s">
        <v>2324</v>
      </c>
      <c r="F3145" s="20">
        <v>55</v>
      </c>
      <c r="G3145" t="s">
        <v>23</v>
      </c>
      <c r="I3145" s="16" t="str">
        <f t="shared" si="49"/>
        <v>Unknown</v>
      </c>
      <c r="J3145">
        <v>4</v>
      </c>
    </row>
    <row r="3146" spans="1:10">
      <c r="A3146" t="s">
        <v>5546</v>
      </c>
      <c r="B3146" t="s">
        <v>4747</v>
      </c>
      <c r="C3146" t="s">
        <v>2225</v>
      </c>
      <c r="D3146" s="9">
        <v>45959</v>
      </c>
      <c r="E3146" t="s">
        <v>2324</v>
      </c>
      <c r="F3146" s="20">
        <v>10</v>
      </c>
      <c r="G3146" t="s">
        <v>2331</v>
      </c>
      <c r="I3146" s="16" t="str">
        <f t="shared" si="49"/>
        <v>Unknown</v>
      </c>
      <c r="J3146">
        <v>4</v>
      </c>
    </row>
    <row r="3147" spans="1:10">
      <c r="A3147" t="s">
        <v>5547</v>
      </c>
      <c r="B3147" t="s">
        <v>1967</v>
      </c>
      <c r="C3147" t="s">
        <v>2247</v>
      </c>
      <c r="D3147" s="9">
        <v>45806</v>
      </c>
      <c r="E3147" t="s">
        <v>2330</v>
      </c>
      <c r="F3147" s="20">
        <v>100</v>
      </c>
      <c r="G3147" t="s">
        <v>2339</v>
      </c>
      <c r="I3147" s="16" t="str">
        <f t="shared" si="49"/>
        <v>Unknown</v>
      </c>
      <c r="J3147" t="s">
        <v>39</v>
      </c>
    </row>
    <row r="3148" spans="1:10">
      <c r="A3148" t="s">
        <v>5548</v>
      </c>
      <c r="B3148" t="s">
        <v>704</v>
      </c>
      <c r="C3148" t="s">
        <v>2202</v>
      </c>
      <c r="D3148" s="9">
        <v>45526</v>
      </c>
      <c r="E3148" t="s">
        <v>2330</v>
      </c>
      <c r="F3148" s="20">
        <v>100</v>
      </c>
      <c r="G3148" t="s">
        <v>2328</v>
      </c>
      <c r="H3148">
        <v>999.99</v>
      </c>
      <c r="I3148" s="16" t="str">
        <f t="shared" si="49"/>
        <v>Normal</v>
      </c>
      <c r="J3148">
        <v>4</v>
      </c>
    </row>
    <row r="3149" spans="1:10">
      <c r="A3149" t="s">
        <v>5549</v>
      </c>
      <c r="B3149" t="s">
        <v>264</v>
      </c>
      <c r="C3149" t="s">
        <v>2187</v>
      </c>
      <c r="D3149" s="9">
        <v>45309</v>
      </c>
      <c r="E3149" t="s">
        <v>2330</v>
      </c>
      <c r="F3149" s="20">
        <v>100</v>
      </c>
      <c r="G3149" t="s">
        <v>2331</v>
      </c>
      <c r="H3149">
        <v>799</v>
      </c>
      <c r="I3149" s="16" t="str">
        <f t="shared" si="49"/>
        <v>Normal</v>
      </c>
      <c r="J3149">
        <v>2</v>
      </c>
    </row>
    <row r="3150" spans="1:10">
      <c r="A3150" t="s">
        <v>5550</v>
      </c>
      <c r="B3150" t="s">
        <v>516</v>
      </c>
      <c r="C3150" t="s">
        <v>2253</v>
      </c>
      <c r="D3150" s="9">
        <v>46012</v>
      </c>
      <c r="E3150" t="s">
        <v>2330</v>
      </c>
      <c r="F3150" s="20">
        <v>100</v>
      </c>
      <c r="G3150" t="s">
        <v>23</v>
      </c>
      <c r="H3150">
        <v>1200</v>
      </c>
      <c r="I3150" s="16" t="str">
        <f t="shared" si="49"/>
        <v>Normal</v>
      </c>
      <c r="J3150" t="s">
        <v>39</v>
      </c>
    </row>
    <row r="3151" spans="1:10">
      <c r="A3151" t="s">
        <v>5551</v>
      </c>
      <c r="B3151" t="s">
        <v>1069</v>
      </c>
      <c r="C3151" t="s">
        <v>2231</v>
      </c>
      <c r="D3151" s="9">
        <v>45175</v>
      </c>
      <c r="E3151" t="s">
        <v>2324</v>
      </c>
      <c r="F3151" s="20">
        <v>75</v>
      </c>
      <c r="G3151" t="s">
        <v>23</v>
      </c>
      <c r="H3151">
        <v>3000</v>
      </c>
      <c r="I3151" s="16" t="str">
        <f t="shared" si="49"/>
        <v>Normal</v>
      </c>
      <c r="J3151">
        <v>1</v>
      </c>
    </row>
    <row r="3152" spans="1:10">
      <c r="A3152" t="s">
        <v>5552</v>
      </c>
      <c r="B3152" t="s">
        <v>2129</v>
      </c>
      <c r="C3152" t="s">
        <v>2271</v>
      </c>
      <c r="D3152" s="9">
        <v>46153</v>
      </c>
      <c r="E3152" t="s">
        <v>2327</v>
      </c>
      <c r="F3152" s="20">
        <v>20</v>
      </c>
      <c r="G3152" t="s">
        <v>2331</v>
      </c>
      <c r="H3152">
        <v>1200</v>
      </c>
      <c r="I3152" s="16" t="str">
        <f t="shared" si="49"/>
        <v>Normal</v>
      </c>
      <c r="J3152" t="s">
        <v>39</v>
      </c>
    </row>
    <row r="3153" spans="1:10">
      <c r="A3153" t="s">
        <v>5553</v>
      </c>
      <c r="B3153" t="s">
        <v>1472</v>
      </c>
      <c r="C3153" t="s">
        <v>2273</v>
      </c>
      <c r="D3153" s="9">
        <v>45400</v>
      </c>
      <c r="E3153" t="s">
        <v>2330</v>
      </c>
      <c r="F3153" s="20">
        <v>100</v>
      </c>
      <c r="G3153" t="s">
        <v>23</v>
      </c>
      <c r="H3153">
        <v>799</v>
      </c>
      <c r="I3153" s="16" t="str">
        <f t="shared" si="49"/>
        <v>Normal</v>
      </c>
      <c r="J3153">
        <v>1</v>
      </c>
    </row>
    <row r="3154" spans="1:10">
      <c r="A3154" t="s">
        <v>5554</v>
      </c>
      <c r="B3154" t="s">
        <v>2003</v>
      </c>
      <c r="C3154" t="s">
        <v>2271</v>
      </c>
      <c r="D3154" s="9">
        <v>46076</v>
      </c>
      <c r="E3154" t="s">
        <v>2324</v>
      </c>
      <c r="G3154" t="s">
        <v>2328</v>
      </c>
      <c r="H3154">
        <v>744.49</v>
      </c>
      <c r="I3154" s="16" t="str">
        <f t="shared" si="49"/>
        <v>Normal</v>
      </c>
      <c r="J3154" t="s">
        <v>39</v>
      </c>
    </row>
    <row r="3155" spans="1:10">
      <c r="A3155" t="s">
        <v>5555</v>
      </c>
      <c r="B3155" t="s">
        <v>1898</v>
      </c>
      <c r="C3155" t="s">
        <v>2251</v>
      </c>
      <c r="D3155" s="9">
        <v>45233</v>
      </c>
      <c r="E3155" t="s">
        <v>2330</v>
      </c>
      <c r="G3155" t="s">
        <v>23</v>
      </c>
      <c r="I3155" s="16" t="str">
        <f t="shared" si="49"/>
        <v>Unknown</v>
      </c>
      <c r="J3155">
        <v>1</v>
      </c>
    </row>
    <row r="3156" spans="1:10">
      <c r="A3156" t="s">
        <v>5556</v>
      </c>
      <c r="B3156" t="s">
        <v>5557</v>
      </c>
      <c r="C3156" t="s">
        <v>2257</v>
      </c>
      <c r="D3156" s="9">
        <v>45908</v>
      </c>
      <c r="E3156" t="s">
        <v>2330</v>
      </c>
      <c r="F3156" s="20">
        <v>100</v>
      </c>
      <c r="G3156" t="s">
        <v>2345</v>
      </c>
      <c r="I3156" s="16" t="str">
        <f t="shared" si="49"/>
        <v>Unknown</v>
      </c>
      <c r="J3156">
        <v>4</v>
      </c>
    </row>
    <row r="3157" spans="1:10">
      <c r="A3157" t="s">
        <v>5558</v>
      </c>
      <c r="B3157" t="s">
        <v>1744</v>
      </c>
      <c r="C3157" t="s">
        <v>2216</v>
      </c>
      <c r="D3157" s="9">
        <v>46132</v>
      </c>
      <c r="E3157" t="s">
        <v>2330</v>
      </c>
      <c r="G3157" t="s">
        <v>2345</v>
      </c>
      <c r="H3157">
        <v>1200</v>
      </c>
      <c r="I3157" s="16" t="str">
        <f t="shared" si="49"/>
        <v>Normal</v>
      </c>
      <c r="J3157">
        <v>4</v>
      </c>
    </row>
    <row r="3158" spans="1:10">
      <c r="A3158" t="s">
        <v>5559</v>
      </c>
      <c r="B3158" t="s">
        <v>1054</v>
      </c>
      <c r="C3158" t="s">
        <v>2225</v>
      </c>
      <c r="D3158" s="9">
        <v>45028</v>
      </c>
      <c r="E3158" t="s">
        <v>2330</v>
      </c>
      <c r="G3158" t="s">
        <v>2345</v>
      </c>
      <c r="I3158" s="16" t="str">
        <f t="shared" si="49"/>
        <v>Unknown</v>
      </c>
      <c r="J3158">
        <v>2</v>
      </c>
    </row>
    <row r="3159" spans="1:10">
      <c r="A3159" t="s">
        <v>5560</v>
      </c>
      <c r="B3159" t="s">
        <v>1683</v>
      </c>
      <c r="C3159" t="s">
        <v>2231</v>
      </c>
      <c r="D3159" s="9">
        <v>45583</v>
      </c>
      <c r="E3159" t="s">
        <v>2327</v>
      </c>
      <c r="F3159" s="20">
        <v>20</v>
      </c>
      <c r="G3159" t="s">
        <v>2331</v>
      </c>
      <c r="H3159">
        <v>3000</v>
      </c>
      <c r="I3159" s="16" t="str">
        <f t="shared" si="49"/>
        <v>Normal</v>
      </c>
      <c r="J3159" t="s">
        <v>39</v>
      </c>
    </row>
    <row r="3160" spans="1:10">
      <c r="A3160" t="s">
        <v>5561</v>
      </c>
      <c r="B3160" t="s">
        <v>1083</v>
      </c>
      <c r="C3160" t="s">
        <v>2251</v>
      </c>
      <c r="D3160" s="9">
        <v>45834</v>
      </c>
      <c r="E3160" t="s">
        <v>2330</v>
      </c>
      <c r="G3160" t="s">
        <v>2331</v>
      </c>
      <c r="H3160">
        <v>1500</v>
      </c>
      <c r="I3160" s="16" t="str">
        <f t="shared" si="49"/>
        <v>Normal</v>
      </c>
      <c r="J3160">
        <v>5</v>
      </c>
    </row>
    <row r="3161" spans="1:10">
      <c r="A3161" t="s">
        <v>5562</v>
      </c>
      <c r="B3161" t="s">
        <v>1460</v>
      </c>
      <c r="C3161" t="s">
        <v>2187</v>
      </c>
      <c r="D3161" s="9">
        <v>45931</v>
      </c>
      <c r="E3161" t="s">
        <v>2330</v>
      </c>
      <c r="G3161" t="s">
        <v>2325</v>
      </c>
      <c r="H3161">
        <v>799</v>
      </c>
      <c r="I3161" s="16" t="str">
        <f t="shared" si="49"/>
        <v>Normal</v>
      </c>
      <c r="J3161">
        <v>1</v>
      </c>
    </row>
    <row r="3162" spans="1:10">
      <c r="A3162" t="s">
        <v>5563</v>
      </c>
      <c r="B3162" t="s">
        <v>1911</v>
      </c>
      <c r="C3162" t="s">
        <v>2225</v>
      </c>
      <c r="D3162" s="9">
        <v>45109</v>
      </c>
      <c r="E3162" t="s">
        <v>2330</v>
      </c>
      <c r="F3162" s="20">
        <v>100</v>
      </c>
      <c r="G3162" t="s">
        <v>2328</v>
      </c>
      <c r="I3162" s="16" t="str">
        <f t="shared" si="49"/>
        <v>Unknown</v>
      </c>
      <c r="J3162">
        <v>5</v>
      </c>
    </row>
    <row r="3163" spans="1:10">
      <c r="A3163" t="s">
        <v>5564</v>
      </c>
      <c r="B3163" t="s">
        <v>1365</v>
      </c>
      <c r="C3163" t="s">
        <v>2241</v>
      </c>
      <c r="D3163" s="9">
        <v>45226</v>
      </c>
      <c r="E3163" t="s">
        <v>23</v>
      </c>
      <c r="G3163" t="s">
        <v>23</v>
      </c>
      <c r="H3163">
        <v>2500</v>
      </c>
      <c r="I3163" s="16" t="str">
        <f t="shared" si="49"/>
        <v>Normal</v>
      </c>
      <c r="J3163">
        <v>5</v>
      </c>
    </row>
    <row r="3164" spans="1:10">
      <c r="A3164" t="s">
        <v>5565</v>
      </c>
      <c r="B3164" t="s">
        <v>1245</v>
      </c>
      <c r="C3164" t="s">
        <v>2233</v>
      </c>
      <c r="D3164" s="9">
        <v>45439</v>
      </c>
      <c r="E3164" t="s">
        <v>2324</v>
      </c>
      <c r="F3164" s="20">
        <v>55</v>
      </c>
      <c r="G3164" t="s">
        <v>2325</v>
      </c>
      <c r="H3164">
        <v>2500</v>
      </c>
      <c r="I3164" s="16" t="str">
        <f t="shared" si="49"/>
        <v>Normal</v>
      </c>
      <c r="J3164">
        <v>5</v>
      </c>
    </row>
    <row r="3165" spans="1:10">
      <c r="A3165" t="s">
        <v>5566</v>
      </c>
      <c r="B3165" t="s">
        <v>1161</v>
      </c>
      <c r="C3165" t="s">
        <v>2253</v>
      </c>
      <c r="D3165" s="9">
        <v>45210</v>
      </c>
      <c r="E3165" t="s">
        <v>23</v>
      </c>
      <c r="G3165" t="s">
        <v>23</v>
      </c>
      <c r="H3165">
        <v>1200</v>
      </c>
      <c r="I3165" s="16" t="str">
        <f t="shared" si="49"/>
        <v>Normal</v>
      </c>
      <c r="J3165">
        <v>1</v>
      </c>
    </row>
    <row r="3166" spans="1:10">
      <c r="A3166" t="s">
        <v>5567</v>
      </c>
      <c r="B3166" t="s">
        <v>397</v>
      </c>
      <c r="C3166" t="s">
        <v>2264</v>
      </c>
      <c r="D3166" s="9">
        <v>45786</v>
      </c>
      <c r="E3166" t="s">
        <v>23</v>
      </c>
      <c r="G3166" t="s">
        <v>2331</v>
      </c>
      <c r="H3166">
        <v>2500</v>
      </c>
      <c r="I3166" s="16" t="str">
        <f t="shared" si="49"/>
        <v>Normal</v>
      </c>
      <c r="J3166">
        <v>5</v>
      </c>
    </row>
    <row r="3167" spans="1:10">
      <c r="A3167" t="s">
        <v>5568</v>
      </c>
      <c r="B3167" t="s">
        <v>745</v>
      </c>
      <c r="C3167" t="s">
        <v>2225</v>
      </c>
      <c r="D3167" s="9">
        <v>45614</v>
      </c>
      <c r="E3167" t="s">
        <v>2330</v>
      </c>
      <c r="F3167" s="20">
        <v>100</v>
      </c>
      <c r="G3167" t="s">
        <v>2325</v>
      </c>
      <c r="I3167" s="16" t="str">
        <f t="shared" si="49"/>
        <v>Unknown</v>
      </c>
      <c r="J3167" t="s">
        <v>39</v>
      </c>
    </row>
    <row r="3168" spans="1:10">
      <c r="A3168" t="s">
        <v>5569</v>
      </c>
      <c r="B3168" t="s">
        <v>1452</v>
      </c>
      <c r="C3168" t="s">
        <v>2247</v>
      </c>
      <c r="D3168" s="9">
        <v>45821</v>
      </c>
      <c r="E3168" t="s">
        <v>2327</v>
      </c>
      <c r="F3168" s="20">
        <v>5</v>
      </c>
      <c r="G3168" t="s">
        <v>2331</v>
      </c>
      <c r="I3168" s="16" t="str">
        <f t="shared" si="49"/>
        <v>Unknown</v>
      </c>
      <c r="J3168">
        <v>1</v>
      </c>
    </row>
    <row r="3169" spans="1:10">
      <c r="A3169" t="s">
        <v>5570</v>
      </c>
      <c r="B3169" t="s">
        <v>1075</v>
      </c>
      <c r="C3169" t="s">
        <v>2187</v>
      </c>
      <c r="D3169" s="9">
        <v>45425</v>
      </c>
      <c r="E3169" t="s">
        <v>2330</v>
      </c>
      <c r="F3169" s="20">
        <v>100</v>
      </c>
      <c r="G3169" t="s">
        <v>2331</v>
      </c>
      <c r="H3169">
        <v>799</v>
      </c>
      <c r="I3169" s="16" t="str">
        <f t="shared" si="49"/>
        <v>Normal</v>
      </c>
      <c r="J3169">
        <v>4</v>
      </c>
    </row>
    <row r="3170" spans="1:10">
      <c r="A3170" t="s">
        <v>5571</v>
      </c>
      <c r="B3170" t="s">
        <v>516</v>
      </c>
      <c r="C3170" t="s">
        <v>2244</v>
      </c>
      <c r="D3170" s="9">
        <v>45027</v>
      </c>
      <c r="E3170" t="s">
        <v>2330</v>
      </c>
      <c r="F3170" s="20">
        <v>100</v>
      </c>
      <c r="G3170" t="s">
        <v>2339</v>
      </c>
      <c r="H3170">
        <v>1200</v>
      </c>
      <c r="I3170" s="16" t="str">
        <f t="shared" si="49"/>
        <v>Normal</v>
      </c>
      <c r="J3170" t="s">
        <v>39</v>
      </c>
    </row>
    <row r="3171" spans="1:10">
      <c r="A3171" t="s">
        <v>5572</v>
      </c>
      <c r="B3171" t="s">
        <v>1468</v>
      </c>
      <c r="C3171" t="s">
        <v>2225</v>
      </c>
      <c r="D3171" s="9">
        <v>45912</v>
      </c>
      <c r="E3171" t="s">
        <v>2327</v>
      </c>
      <c r="F3171" s="20">
        <v>20</v>
      </c>
      <c r="G3171" t="s">
        <v>2331</v>
      </c>
      <c r="I3171" s="16" t="str">
        <f t="shared" si="49"/>
        <v>Unknown</v>
      </c>
      <c r="J3171">
        <v>1</v>
      </c>
    </row>
    <row r="3172" spans="1:10">
      <c r="A3172" t="s">
        <v>5573</v>
      </c>
      <c r="B3172" t="s">
        <v>473</v>
      </c>
      <c r="C3172" t="s">
        <v>2222</v>
      </c>
      <c r="D3172" s="9">
        <v>45595</v>
      </c>
      <c r="E3172" t="s">
        <v>23</v>
      </c>
      <c r="G3172" t="s">
        <v>2345</v>
      </c>
      <c r="H3172">
        <v>0</v>
      </c>
      <c r="I3172" s="16" t="str">
        <f t="shared" si="49"/>
        <v>Zero Amount</v>
      </c>
      <c r="J3172" t="s">
        <v>39</v>
      </c>
    </row>
    <row r="3173" spans="1:10">
      <c r="A3173" t="s">
        <v>5574</v>
      </c>
      <c r="B3173" t="s">
        <v>729</v>
      </c>
      <c r="C3173" t="s">
        <v>2205</v>
      </c>
      <c r="D3173" s="9">
        <v>45175</v>
      </c>
      <c r="E3173" t="s">
        <v>2330</v>
      </c>
      <c r="F3173" s="20">
        <v>100</v>
      </c>
      <c r="G3173" t="s">
        <v>2331</v>
      </c>
      <c r="H3173">
        <v>1500</v>
      </c>
      <c r="I3173" s="16" t="str">
        <f t="shared" si="49"/>
        <v>Normal</v>
      </c>
      <c r="J3173">
        <v>2</v>
      </c>
    </row>
    <row r="3174" spans="1:10">
      <c r="A3174" t="s">
        <v>5575</v>
      </c>
      <c r="B3174" t="s">
        <v>1114</v>
      </c>
      <c r="C3174" t="s">
        <v>2233</v>
      </c>
      <c r="D3174" s="9">
        <v>46170</v>
      </c>
      <c r="E3174" t="s">
        <v>2324</v>
      </c>
      <c r="F3174" s="20">
        <v>10</v>
      </c>
      <c r="G3174" t="s">
        <v>2331</v>
      </c>
      <c r="H3174">
        <v>2500</v>
      </c>
      <c r="I3174" s="16" t="str">
        <f t="shared" si="49"/>
        <v>Normal</v>
      </c>
      <c r="J3174">
        <v>4</v>
      </c>
    </row>
    <row r="3175" spans="1:10">
      <c r="A3175" t="s">
        <v>5576</v>
      </c>
      <c r="B3175" t="s">
        <v>1191</v>
      </c>
      <c r="C3175" t="s">
        <v>2228</v>
      </c>
      <c r="D3175" s="9">
        <v>46095</v>
      </c>
      <c r="E3175" t="s">
        <v>23</v>
      </c>
      <c r="G3175" t="s">
        <v>2339</v>
      </c>
      <c r="H3175">
        <v>799</v>
      </c>
      <c r="I3175" s="16" t="str">
        <f t="shared" si="49"/>
        <v>Normal</v>
      </c>
      <c r="J3175" t="s">
        <v>39</v>
      </c>
    </row>
    <row r="3176" spans="1:10">
      <c r="A3176" t="s">
        <v>5577</v>
      </c>
      <c r="B3176" t="s">
        <v>181</v>
      </c>
      <c r="C3176" t="s">
        <v>2193</v>
      </c>
      <c r="D3176" s="9">
        <v>45472</v>
      </c>
      <c r="E3176" t="s">
        <v>2324</v>
      </c>
      <c r="F3176" s="20">
        <v>55</v>
      </c>
      <c r="G3176" t="s">
        <v>2328</v>
      </c>
      <c r="H3176">
        <v>0</v>
      </c>
      <c r="I3176" s="16" t="str">
        <f t="shared" si="49"/>
        <v>Zero Amount</v>
      </c>
      <c r="J3176">
        <v>2</v>
      </c>
    </row>
    <row r="3177" spans="1:10">
      <c r="A3177" t="s">
        <v>5578</v>
      </c>
      <c r="B3177" t="s">
        <v>1173</v>
      </c>
      <c r="C3177" t="s">
        <v>2218</v>
      </c>
      <c r="D3177" s="9">
        <v>45396</v>
      </c>
      <c r="E3177" t="s">
        <v>2330</v>
      </c>
      <c r="G3177" t="s">
        <v>2331</v>
      </c>
      <c r="H3177">
        <v>1500</v>
      </c>
      <c r="I3177" s="16" t="str">
        <f t="shared" si="49"/>
        <v>Normal</v>
      </c>
      <c r="J3177">
        <v>5</v>
      </c>
    </row>
    <row r="3178" spans="1:10">
      <c r="A3178" t="s">
        <v>5579</v>
      </c>
      <c r="B3178" t="s">
        <v>626</v>
      </c>
      <c r="C3178" t="s">
        <v>2202</v>
      </c>
      <c r="D3178" s="9">
        <v>46180</v>
      </c>
      <c r="E3178" t="s">
        <v>2330</v>
      </c>
      <c r="F3178" s="20">
        <v>100</v>
      </c>
      <c r="G3178" t="s">
        <v>2339</v>
      </c>
      <c r="I3178" s="16" t="str">
        <f t="shared" si="49"/>
        <v>Unknown</v>
      </c>
      <c r="J3178">
        <v>4</v>
      </c>
    </row>
    <row r="3179" spans="1:10">
      <c r="A3179" t="s">
        <v>5580</v>
      </c>
      <c r="B3179" t="s">
        <v>1773</v>
      </c>
      <c r="C3179" t="s">
        <v>2253</v>
      </c>
      <c r="D3179" s="9">
        <v>45516</v>
      </c>
      <c r="E3179" t="s">
        <v>2330</v>
      </c>
      <c r="F3179" s="20">
        <v>100</v>
      </c>
      <c r="G3179" t="s">
        <v>23</v>
      </c>
      <c r="H3179">
        <v>1200</v>
      </c>
      <c r="I3179" s="16" t="str">
        <f t="shared" si="49"/>
        <v>Normal</v>
      </c>
      <c r="J3179">
        <v>4</v>
      </c>
    </row>
    <row r="3180" spans="1:10">
      <c r="A3180" t="s">
        <v>5581</v>
      </c>
      <c r="B3180" t="s">
        <v>1511</v>
      </c>
      <c r="C3180" t="s">
        <v>2202</v>
      </c>
      <c r="D3180" s="9">
        <v>46074</v>
      </c>
      <c r="E3180" t="s">
        <v>2327</v>
      </c>
      <c r="F3180" s="20">
        <v>5</v>
      </c>
      <c r="G3180" t="s">
        <v>2345</v>
      </c>
      <c r="H3180">
        <v>999.99</v>
      </c>
      <c r="I3180" s="16" t="str">
        <f t="shared" si="49"/>
        <v>Normal</v>
      </c>
      <c r="J3180">
        <v>5</v>
      </c>
    </row>
    <row r="3181" spans="1:10">
      <c r="A3181" t="s">
        <v>5582</v>
      </c>
      <c r="B3181" t="s">
        <v>1369</v>
      </c>
      <c r="C3181" t="s">
        <v>2231</v>
      </c>
      <c r="D3181" s="9">
        <v>45221</v>
      </c>
      <c r="E3181" t="s">
        <v>2330</v>
      </c>
      <c r="G3181" t="s">
        <v>2331</v>
      </c>
      <c r="H3181">
        <v>3000</v>
      </c>
      <c r="I3181" s="16" t="str">
        <f t="shared" si="49"/>
        <v>Normal</v>
      </c>
      <c r="J3181">
        <v>4</v>
      </c>
    </row>
    <row r="3182" spans="1:10">
      <c r="A3182" t="s">
        <v>5583</v>
      </c>
      <c r="B3182" t="s">
        <v>949</v>
      </c>
      <c r="C3182" t="s">
        <v>2253</v>
      </c>
      <c r="D3182" s="9">
        <v>45609</v>
      </c>
      <c r="E3182" t="s">
        <v>2330</v>
      </c>
      <c r="G3182" t="s">
        <v>2331</v>
      </c>
      <c r="I3182" s="16" t="str">
        <f t="shared" si="49"/>
        <v>Unknown</v>
      </c>
      <c r="J3182">
        <v>3</v>
      </c>
    </row>
    <row r="3183" spans="1:10">
      <c r="A3183" t="s">
        <v>5584</v>
      </c>
      <c r="B3183" t="s">
        <v>2139</v>
      </c>
      <c r="C3183" t="s">
        <v>2225</v>
      </c>
      <c r="D3183" s="9">
        <v>45739</v>
      </c>
      <c r="E3183" t="s">
        <v>2327</v>
      </c>
      <c r="F3183" s="20">
        <v>20</v>
      </c>
      <c r="G3183" t="s">
        <v>2328</v>
      </c>
      <c r="I3183" s="16" t="str">
        <f t="shared" si="49"/>
        <v>Unknown</v>
      </c>
      <c r="J3183">
        <v>1</v>
      </c>
    </row>
    <row r="3184" spans="1:10">
      <c r="A3184" t="s">
        <v>5585</v>
      </c>
      <c r="B3184" t="s">
        <v>48</v>
      </c>
      <c r="C3184" t="s">
        <v>2237</v>
      </c>
      <c r="D3184" s="9">
        <v>46144</v>
      </c>
      <c r="E3184" t="s">
        <v>23</v>
      </c>
      <c r="G3184" t="s">
        <v>2345</v>
      </c>
      <c r="H3184">
        <v>1045.75</v>
      </c>
      <c r="I3184" s="16" t="str">
        <f t="shared" si="49"/>
        <v>Normal</v>
      </c>
      <c r="J3184">
        <v>5</v>
      </c>
    </row>
    <row r="3185" spans="1:10">
      <c r="A3185" t="s">
        <v>5586</v>
      </c>
      <c r="B3185" t="s">
        <v>832</v>
      </c>
      <c r="C3185" t="s">
        <v>2216</v>
      </c>
      <c r="D3185" s="9">
        <v>45855</v>
      </c>
      <c r="E3185" t="s">
        <v>2327</v>
      </c>
      <c r="F3185" s="20">
        <v>20</v>
      </c>
      <c r="G3185" t="s">
        <v>2325</v>
      </c>
      <c r="H3185">
        <v>650.04999999999995</v>
      </c>
      <c r="I3185" s="16" t="str">
        <f t="shared" si="49"/>
        <v>Normal</v>
      </c>
      <c r="J3185">
        <v>4</v>
      </c>
    </row>
    <row r="3186" spans="1:10">
      <c r="A3186" t="s">
        <v>5587</v>
      </c>
      <c r="B3186" t="s">
        <v>2126</v>
      </c>
      <c r="C3186" t="s">
        <v>2259</v>
      </c>
      <c r="D3186" s="9">
        <v>45968</v>
      </c>
      <c r="E3186" t="s">
        <v>2330</v>
      </c>
      <c r="F3186" s="20">
        <v>100</v>
      </c>
      <c r="G3186" t="s">
        <v>2328</v>
      </c>
      <c r="H3186">
        <v>0</v>
      </c>
      <c r="I3186" s="16" t="str">
        <f t="shared" si="49"/>
        <v>Zero Amount</v>
      </c>
      <c r="J3186">
        <v>2</v>
      </c>
    </row>
    <row r="3187" spans="1:10">
      <c r="A3187" t="s">
        <v>5588</v>
      </c>
      <c r="B3187" t="s">
        <v>177</v>
      </c>
      <c r="C3187" t="s">
        <v>2187</v>
      </c>
      <c r="D3187" s="9">
        <v>45929</v>
      </c>
      <c r="E3187" t="s">
        <v>2327</v>
      </c>
      <c r="F3187" s="20">
        <v>5</v>
      </c>
      <c r="G3187" t="s">
        <v>2339</v>
      </c>
      <c r="H3187">
        <v>799</v>
      </c>
      <c r="I3187" s="16" t="str">
        <f t="shared" si="49"/>
        <v>Normal</v>
      </c>
      <c r="J3187">
        <v>4</v>
      </c>
    </row>
    <row r="3188" spans="1:10">
      <c r="A3188" t="s">
        <v>5589</v>
      </c>
      <c r="B3188" t="s">
        <v>1582</v>
      </c>
      <c r="C3188" t="s">
        <v>2271</v>
      </c>
      <c r="D3188" s="9">
        <v>45344</v>
      </c>
      <c r="E3188" t="s">
        <v>2330</v>
      </c>
      <c r="F3188" s="20">
        <v>100</v>
      </c>
      <c r="G3188" t="s">
        <v>2339</v>
      </c>
      <c r="H3188">
        <v>1200</v>
      </c>
      <c r="I3188" s="16" t="str">
        <f t="shared" si="49"/>
        <v>Normal</v>
      </c>
      <c r="J3188" t="s">
        <v>39</v>
      </c>
    </row>
    <row r="3189" spans="1:10">
      <c r="A3189" t="s">
        <v>5590</v>
      </c>
      <c r="B3189" t="s">
        <v>589</v>
      </c>
      <c r="C3189" t="s">
        <v>2193</v>
      </c>
      <c r="D3189" s="9">
        <v>45210</v>
      </c>
      <c r="E3189" t="s">
        <v>23</v>
      </c>
      <c r="G3189" t="s">
        <v>2345</v>
      </c>
      <c r="H3189">
        <v>0</v>
      </c>
      <c r="I3189" s="16" t="str">
        <f t="shared" si="49"/>
        <v>Zero Amount</v>
      </c>
      <c r="J3189">
        <v>3</v>
      </c>
    </row>
    <row r="3190" spans="1:10">
      <c r="A3190" t="s">
        <v>5591</v>
      </c>
      <c r="B3190" t="s">
        <v>1496</v>
      </c>
      <c r="C3190" t="s">
        <v>2202</v>
      </c>
      <c r="D3190" s="9">
        <v>46191</v>
      </c>
      <c r="E3190" t="s">
        <v>2330</v>
      </c>
      <c r="F3190" s="20">
        <v>100</v>
      </c>
      <c r="G3190" t="s">
        <v>23</v>
      </c>
      <c r="I3190" s="16" t="str">
        <f t="shared" si="49"/>
        <v>Unknown</v>
      </c>
      <c r="J3190">
        <v>4</v>
      </c>
    </row>
    <row r="3191" spans="1:10">
      <c r="A3191" t="s">
        <v>5592</v>
      </c>
      <c r="B3191" t="s">
        <v>129</v>
      </c>
      <c r="C3191" t="s">
        <v>2273</v>
      </c>
      <c r="D3191" s="9">
        <v>45759</v>
      </c>
      <c r="E3191" t="s">
        <v>2324</v>
      </c>
      <c r="F3191" s="20">
        <v>40</v>
      </c>
      <c r="G3191" t="s">
        <v>2345</v>
      </c>
      <c r="H3191">
        <v>799</v>
      </c>
      <c r="I3191" s="16" t="str">
        <f t="shared" si="49"/>
        <v>Normal</v>
      </c>
      <c r="J3191" t="s">
        <v>39</v>
      </c>
    </row>
    <row r="3192" spans="1:10">
      <c r="A3192" t="s">
        <v>5593</v>
      </c>
      <c r="B3192" t="s">
        <v>799</v>
      </c>
      <c r="C3192" t="s">
        <v>2247</v>
      </c>
      <c r="D3192" s="9">
        <v>45754</v>
      </c>
      <c r="E3192" t="s">
        <v>2330</v>
      </c>
      <c r="G3192" t="s">
        <v>23</v>
      </c>
      <c r="I3192" s="16" t="str">
        <f t="shared" si="49"/>
        <v>Unknown</v>
      </c>
      <c r="J3192">
        <v>2</v>
      </c>
    </row>
    <row r="3193" spans="1:10">
      <c r="A3193" t="s">
        <v>5594</v>
      </c>
      <c r="B3193" t="s">
        <v>1624</v>
      </c>
      <c r="C3193" t="s">
        <v>2249</v>
      </c>
      <c r="D3193" s="9">
        <v>45495</v>
      </c>
      <c r="E3193" t="s">
        <v>2327</v>
      </c>
      <c r="F3193" s="20">
        <v>0</v>
      </c>
      <c r="G3193" t="s">
        <v>2331</v>
      </c>
      <c r="H3193">
        <v>1500</v>
      </c>
      <c r="I3193" s="16" t="str">
        <f t="shared" si="49"/>
        <v>Normal</v>
      </c>
      <c r="J3193">
        <v>4</v>
      </c>
    </row>
    <row r="3194" spans="1:10">
      <c r="A3194" t="s">
        <v>5595</v>
      </c>
      <c r="B3194" t="s">
        <v>2042</v>
      </c>
      <c r="C3194" t="s">
        <v>2251</v>
      </c>
      <c r="D3194" s="9">
        <v>46050</v>
      </c>
      <c r="E3194" t="s">
        <v>2330</v>
      </c>
      <c r="F3194" s="20">
        <v>100</v>
      </c>
      <c r="G3194" t="s">
        <v>2331</v>
      </c>
      <c r="I3194" s="16" t="str">
        <f t="shared" si="49"/>
        <v>Unknown</v>
      </c>
      <c r="J3194">
        <v>1</v>
      </c>
    </row>
    <row r="3195" spans="1:10">
      <c r="A3195" t="s">
        <v>5596</v>
      </c>
      <c r="B3195" t="s">
        <v>1233</v>
      </c>
      <c r="C3195" t="s">
        <v>2209</v>
      </c>
      <c r="D3195" s="9">
        <v>45826</v>
      </c>
      <c r="E3195" t="s">
        <v>2337</v>
      </c>
      <c r="G3195" t="s">
        <v>2331</v>
      </c>
      <c r="H3195">
        <v>499</v>
      </c>
      <c r="I3195" s="16" t="str">
        <f t="shared" si="49"/>
        <v>Normal</v>
      </c>
      <c r="J3195" t="s">
        <v>39</v>
      </c>
    </row>
    <row r="3196" spans="1:10">
      <c r="A3196" t="s">
        <v>5597</v>
      </c>
      <c r="B3196" t="s">
        <v>861</v>
      </c>
      <c r="C3196" t="s">
        <v>2187</v>
      </c>
      <c r="D3196" s="9">
        <v>46015</v>
      </c>
      <c r="E3196" t="s">
        <v>2324</v>
      </c>
      <c r="F3196" s="20">
        <v>25</v>
      </c>
      <c r="G3196" t="s">
        <v>2345</v>
      </c>
      <c r="H3196">
        <v>799</v>
      </c>
      <c r="I3196" s="16" t="str">
        <f t="shared" si="49"/>
        <v>Normal</v>
      </c>
      <c r="J3196" t="s">
        <v>39</v>
      </c>
    </row>
    <row r="3197" spans="1:10">
      <c r="A3197" t="s">
        <v>5598</v>
      </c>
      <c r="B3197" t="s">
        <v>246</v>
      </c>
      <c r="C3197" t="s">
        <v>2271</v>
      </c>
      <c r="D3197" s="9">
        <v>46153</v>
      </c>
      <c r="E3197" t="s">
        <v>2327</v>
      </c>
      <c r="F3197" s="20">
        <v>5</v>
      </c>
      <c r="G3197" t="s">
        <v>23</v>
      </c>
      <c r="H3197">
        <v>1029.28</v>
      </c>
      <c r="I3197" s="16" t="str">
        <f t="shared" si="49"/>
        <v>Normal</v>
      </c>
      <c r="J3197">
        <v>5</v>
      </c>
    </row>
    <row r="3198" spans="1:10">
      <c r="A3198" t="s">
        <v>5599</v>
      </c>
      <c r="B3198" t="s">
        <v>1658</v>
      </c>
      <c r="C3198" t="s">
        <v>2259</v>
      </c>
      <c r="D3198" s="9">
        <v>45560</v>
      </c>
      <c r="E3198" t="s">
        <v>2327</v>
      </c>
      <c r="F3198" s="20">
        <v>20</v>
      </c>
      <c r="G3198" t="s">
        <v>2331</v>
      </c>
      <c r="H3198">
        <v>0</v>
      </c>
      <c r="I3198" s="16" t="str">
        <f t="shared" si="49"/>
        <v>Zero Amount</v>
      </c>
      <c r="J3198" t="s">
        <v>39</v>
      </c>
    </row>
    <row r="3199" spans="1:10">
      <c r="A3199" t="s">
        <v>5600</v>
      </c>
      <c r="B3199" t="s">
        <v>1820</v>
      </c>
      <c r="C3199" t="s">
        <v>2259</v>
      </c>
      <c r="D3199" s="9">
        <v>45797</v>
      </c>
      <c r="E3199" t="s">
        <v>23</v>
      </c>
      <c r="G3199" t="s">
        <v>2339</v>
      </c>
      <c r="H3199">
        <v>0</v>
      </c>
      <c r="I3199" s="16" t="str">
        <f t="shared" si="49"/>
        <v>Zero Amount</v>
      </c>
      <c r="J3199" t="s">
        <v>39</v>
      </c>
    </row>
    <row r="3200" spans="1:10">
      <c r="A3200" t="s">
        <v>5601</v>
      </c>
      <c r="B3200" t="s">
        <v>267</v>
      </c>
      <c r="C3200" t="s">
        <v>2231</v>
      </c>
      <c r="D3200" s="9">
        <v>46046</v>
      </c>
      <c r="E3200" t="s">
        <v>2327</v>
      </c>
      <c r="F3200" s="20">
        <v>5</v>
      </c>
      <c r="G3200" t="s">
        <v>2345</v>
      </c>
      <c r="H3200">
        <v>3000</v>
      </c>
      <c r="I3200" s="16" t="str">
        <f t="shared" si="49"/>
        <v>Normal</v>
      </c>
      <c r="J3200">
        <v>5</v>
      </c>
    </row>
    <row r="3201" spans="1:10">
      <c r="A3201" t="s">
        <v>5602</v>
      </c>
      <c r="B3201" t="s">
        <v>331</v>
      </c>
      <c r="C3201" t="s">
        <v>2209</v>
      </c>
      <c r="D3201" s="9">
        <v>45405</v>
      </c>
      <c r="E3201" t="s">
        <v>2330</v>
      </c>
      <c r="F3201" s="20">
        <v>100</v>
      </c>
      <c r="G3201" t="s">
        <v>2328</v>
      </c>
      <c r="H3201">
        <v>499</v>
      </c>
      <c r="I3201" s="16" t="str">
        <f t="shared" si="49"/>
        <v>Normal</v>
      </c>
      <c r="J3201">
        <v>2</v>
      </c>
    </row>
    <row r="3202" spans="1:10">
      <c r="A3202" t="s">
        <v>5603</v>
      </c>
      <c r="B3202" t="s">
        <v>1373</v>
      </c>
      <c r="C3202" t="s">
        <v>2241</v>
      </c>
      <c r="D3202" s="9">
        <v>45891</v>
      </c>
      <c r="E3202" t="s">
        <v>2324</v>
      </c>
      <c r="F3202" s="20">
        <v>25</v>
      </c>
      <c r="G3202" t="s">
        <v>2345</v>
      </c>
      <c r="H3202">
        <v>2500</v>
      </c>
      <c r="I3202" s="16" t="str">
        <f t="shared" si="49"/>
        <v>Normal</v>
      </c>
      <c r="J3202">
        <v>2</v>
      </c>
    </row>
    <row r="3203" spans="1:10">
      <c r="A3203" t="s">
        <v>5604</v>
      </c>
      <c r="B3203" t="s">
        <v>2097</v>
      </c>
      <c r="C3203" t="s">
        <v>2233</v>
      </c>
      <c r="D3203" s="9">
        <v>45400</v>
      </c>
      <c r="E3203" t="s">
        <v>2330</v>
      </c>
      <c r="F3203" s="20">
        <v>100</v>
      </c>
      <c r="G3203" t="s">
        <v>2345</v>
      </c>
      <c r="H3203">
        <v>2500</v>
      </c>
      <c r="I3203" s="16" t="str">
        <f t="shared" ref="I3203:I3266" si="50">IF(H3203="", "Unknown", IF(H3203=0, "Zero Amount", IF(H3203&lt;1, "Review", IF(H3203&gt;1, "Normal"))))</f>
        <v>Normal</v>
      </c>
      <c r="J3203">
        <v>4</v>
      </c>
    </row>
    <row r="3204" spans="1:10">
      <c r="A3204" t="s">
        <v>5605</v>
      </c>
      <c r="B3204" t="s">
        <v>1638</v>
      </c>
      <c r="C3204" t="s">
        <v>2205</v>
      </c>
      <c r="D3204" s="9">
        <v>45373</v>
      </c>
      <c r="E3204" t="s">
        <v>2330</v>
      </c>
      <c r="G3204" t="s">
        <v>23</v>
      </c>
      <c r="H3204">
        <v>1500</v>
      </c>
      <c r="I3204" s="16" t="str">
        <f t="shared" si="50"/>
        <v>Normal</v>
      </c>
      <c r="J3204">
        <v>3</v>
      </c>
    </row>
    <row r="3205" spans="1:10">
      <c r="A3205" t="s">
        <v>5606</v>
      </c>
      <c r="B3205" t="s">
        <v>836</v>
      </c>
      <c r="C3205" t="s">
        <v>2235</v>
      </c>
      <c r="D3205" s="9">
        <v>45654</v>
      </c>
      <c r="E3205" t="s">
        <v>23</v>
      </c>
      <c r="G3205" t="s">
        <v>2345</v>
      </c>
      <c r="H3205">
        <v>3000</v>
      </c>
      <c r="I3205" s="16" t="str">
        <f t="shared" si="50"/>
        <v>Normal</v>
      </c>
      <c r="J3205">
        <v>2</v>
      </c>
    </row>
    <row r="3206" spans="1:10">
      <c r="A3206" t="s">
        <v>5607</v>
      </c>
      <c r="B3206" t="s">
        <v>85</v>
      </c>
      <c r="C3206" t="s">
        <v>2235</v>
      </c>
      <c r="D3206" s="9">
        <v>45557</v>
      </c>
      <c r="E3206" t="s">
        <v>2330</v>
      </c>
      <c r="G3206" t="s">
        <v>23</v>
      </c>
      <c r="H3206">
        <v>3000</v>
      </c>
      <c r="I3206" s="16" t="str">
        <f t="shared" si="50"/>
        <v>Normal</v>
      </c>
      <c r="J3206">
        <v>4</v>
      </c>
    </row>
    <row r="3207" spans="1:10">
      <c r="A3207" t="s">
        <v>5608</v>
      </c>
      <c r="B3207" t="s">
        <v>1705</v>
      </c>
      <c r="C3207" t="s">
        <v>2261</v>
      </c>
      <c r="D3207" s="9">
        <v>46014</v>
      </c>
      <c r="E3207" t="s">
        <v>2337</v>
      </c>
      <c r="F3207" s="20">
        <v>0</v>
      </c>
      <c r="G3207" t="s">
        <v>23</v>
      </c>
      <c r="I3207" s="16" t="str">
        <f t="shared" si="50"/>
        <v>Unknown</v>
      </c>
      <c r="J3207" t="s">
        <v>39</v>
      </c>
    </row>
    <row r="3208" spans="1:10">
      <c r="A3208" t="s">
        <v>5609</v>
      </c>
      <c r="B3208" t="s">
        <v>600</v>
      </c>
      <c r="C3208" t="s">
        <v>2244</v>
      </c>
      <c r="D3208" s="9">
        <v>46059</v>
      </c>
      <c r="E3208" t="s">
        <v>2327</v>
      </c>
      <c r="F3208" s="20">
        <v>20</v>
      </c>
      <c r="G3208" t="s">
        <v>2339</v>
      </c>
      <c r="H3208">
        <v>1041.8699999999999</v>
      </c>
      <c r="I3208" s="16" t="str">
        <f t="shared" si="50"/>
        <v>Normal</v>
      </c>
      <c r="J3208">
        <v>5</v>
      </c>
    </row>
    <row r="3209" spans="1:10">
      <c r="A3209" t="s">
        <v>5610</v>
      </c>
      <c r="B3209" t="s">
        <v>1898</v>
      </c>
      <c r="C3209" t="s">
        <v>2264</v>
      </c>
      <c r="D3209" s="9">
        <v>45189</v>
      </c>
      <c r="E3209" t="s">
        <v>2337</v>
      </c>
      <c r="F3209" s="20">
        <v>0</v>
      </c>
      <c r="G3209" t="s">
        <v>23</v>
      </c>
      <c r="H3209">
        <v>2500</v>
      </c>
      <c r="I3209" s="16" t="str">
        <f t="shared" si="50"/>
        <v>Normal</v>
      </c>
      <c r="J3209">
        <v>4</v>
      </c>
    </row>
    <row r="3210" spans="1:10">
      <c r="A3210" t="s">
        <v>5611</v>
      </c>
      <c r="B3210" t="s">
        <v>141</v>
      </c>
      <c r="C3210" t="s">
        <v>2187</v>
      </c>
      <c r="D3210" s="9">
        <v>45179</v>
      </c>
      <c r="E3210" t="s">
        <v>2330</v>
      </c>
      <c r="F3210" s="20">
        <v>100</v>
      </c>
      <c r="G3210" t="s">
        <v>2328</v>
      </c>
      <c r="H3210">
        <v>799</v>
      </c>
      <c r="I3210" s="16" t="str">
        <f t="shared" si="50"/>
        <v>Normal</v>
      </c>
      <c r="J3210">
        <v>5</v>
      </c>
    </row>
    <row r="3211" spans="1:10">
      <c r="A3211" t="s">
        <v>5612</v>
      </c>
      <c r="B3211" t="s">
        <v>5613</v>
      </c>
      <c r="C3211" t="s">
        <v>2225</v>
      </c>
      <c r="D3211" s="9">
        <v>45981</v>
      </c>
      <c r="E3211" t="s">
        <v>2337</v>
      </c>
      <c r="G3211" t="s">
        <v>2325</v>
      </c>
      <c r="I3211" s="16" t="str">
        <f t="shared" si="50"/>
        <v>Unknown</v>
      </c>
      <c r="J3211">
        <v>5</v>
      </c>
    </row>
    <row r="3212" spans="1:10">
      <c r="A3212" t="s">
        <v>5614</v>
      </c>
      <c r="B3212" t="s">
        <v>2678</v>
      </c>
      <c r="C3212" t="s">
        <v>2257</v>
      </c>
      <c r="D3212" s="9">
        <v>45364</v>
      </c>
      <c r="E3212" t="s">
        <v>2337</v>
      </c>
      <c r="F3212" s="20">
        <v>20</v>
      </c>
      <c r="G3212" t="s">
        <v>2331</v>
      </c>
      <c r="I3212" s="16" t="str">
        <f t="shared" si="50"/>
        <v>Unknown</v>
      </c>
      <c r="J3212">
        <v>2</v>
      </c>
    </row>
    <row r="3213" spans="1:10">
      <c r="A3213" t="s">
        <v>5615</v>
      </c>
      <c r="B3213" t="s">
        <v>274</v>
      </c>
      <c r="C3213" t="s">
        <v>2205</v>
      </c>
      <c r="D3213" s="9">
        <v>45640</v>
      </c>
      <c r="E3213" t="s">
        <v>2330</v>
      </c>
      <c r="F3213" s="20">
        <v>100</v>
      </c>
      <c r="G3213" t="s">
        <v>2345</v>
      </c>
      <c r="H3213">
        <v>1500</v>
      </c>
      <c r="I3213" s="16" t="str">
        <f t="shared" si="50"/>
        <v>Normal</v>
      </c>
      <c r="J3213" t="s">
        <v>39</v>
      </c>
    </row>
    <row r="3214" spans="1:10">
      <c r="A3214" t="s">
        <v>5616</v>
      </c>
      <c r="B3214" t="s">
        <v>527</v>
      </c>
      <c r="C3214" t="s">
        <v>2244</v>
      </c>
      <c r="D3214" s="9">
        <v>45745</v>
      </c>
      <c r="E3214" t="s">
        <v>2324</v>
      </c>
      <c r="F3214" s="20">
        <v>25</v>
      </c>
      <c r="G3214" t="s">
        <v>2345</v>
      </c>
      <c r="H3214">
        <v>1200</v>
      </c>
      <c r="I3214" s="16" t="str">
        <f t="shared" si="50"/>
        <v>Normal</v>
      </c>
      <c r="J3214">
        <v>3</v>
      </c>
    </row>
    <row r="3215" spans="1:10">
      <c r="A3215" t="s">
        <v>5617</v>
      </c>
      <c r="B3215" t="s">
        <v>347</v>
      </c>
      <c r="C3215" t="s">
        <v>2267</v>
      </c>
      <c r="D3215" s="9">
        <v>45827</v>
      </c>
      <c r="E3215" t="s">
        <v>2330</v>
      </c>
      <c r="F3215" s="20">
        <v>100</v>
      </c>
      <c r="G3215" t="s">
        <v>2331</v>
      </c>
      <c r="H3215">
        <v>999.99</v>
      </c>
      <c r="I3215" s="16" t="str">
        <f t="shared" si="50"/>
        <v>Normal</v>
      </c>
      <c r="J3215" t="s">
        <v>39</v>
      </c>
    </row>
    <row r="3216" spans="1:10">
      <c r="A3216" t="s">
        <v>5618</v>
      </c>
      <c r="B3216" t="s">
        <v>2057</v>
      </c>
      <c r="C3216" t="s">
        <v>2253</v>
      </c>
      <c r="D3216" s="9">
        <v>45270</v>
      </c>
      <c r="E3216" t="s">
        <v>2330</v>
      </c>
      <c r="F3216" s="20">
        <v>100</v>
      </c>
      <c r="G3216" t="s">
        <v>2331</v>
      </c>
      <c r="H3216">
        <v>1200</v>
      </c>
      <c r="I3216" s="16" t="str">
        <f t="shared" si="50"/>
        <v>Normal</v>
      </c>
      <c r="J3216">
        <v>5</v>
      </c>
    </row>
    <row r="3217" spans="1:10">
      <c r="A3217" t="s">
        <v>5619</v>
      </c>
      <c r="B3217" t="s">
        <v>1748</v>
      </c>
      <c r="C3217" t="s">
        <v>2187</v>
      </c>
      <c r="D3217" s="9">
        <v>45953</v>
      </c>
      <c r="E3217" t="s">
        <v>2337</v>
      </c>
      <c r="F3217" s="20">
        <v>20</v>
      </c>
      <c r="G3217" t="s">
        <v>2345</v>
      </c>
      <c r="H3217">
        <v>799</v>
      </c>
      <c r="I3217" s="16" t="str">
        <f t="shared" si="50"/>
        <v>Normal</v>
      </c>
      <c r="J3217" t="s">
        <v>39</v>
      </c>
    </row>
    <row r="3218" spans="1:10">
      <c r="A3218" t="s">
        <v>5620</v>
      </c>
      <c r="B3218" t="s">
        <v>1779</v>
      </c>
      <c r="C3218" t="s">
        <v>2235</v>
      </c>
      <c r="D3218" s="9">
        <v>45874</v>
      </c>
      <c r="E3218" t="s">
        <v>2324</v>
      </c>
      <c r="F3218" s="20">
        <v>75</v>
      </c>
      <c r="G3218" t="s">
        <v>2345</v>
      </c>
      <c r="H3218">
        <v>1540.48</v>
      </c>
      <c r="I3218" s="16" t="str">
        <f t="shared" si="50"/>
        <v>Normal</v>
      </c>
      <c r="J3218" t="s">
        <v>39</v>
      </c>
    </row>
    <row r="3219" spans="1:10">
      <c r="A3219" t="s">
        <v>5621</v>
      </c>
      <c r="B3219" t="s">
        <v>256</v>
      </c>
      <c r="C3219" t="s">
        <v>2222</v>
      </c>
      <c r="D3219" s="9">
        <v>45712</v>
      </c>
      <c r="E3219" t="s">
        <v>2330</v>
      </c>
      <c r="F3219" s="20">
        <v>100</v>
      </c>
      <c r="G3219" t="s">
        <v>2331</v>
      </c>
      <c r="H3219">
        <v>0</v>
      </c>
      <c r="I3219" s="16" t="str">
        <f t="shared" si="50"/>
        <v>Zero Amount</v>
      </c>
      <c r="J3219">
        <v>4</v>
      </c>
    </row>
    <row r="3220" spans="1:10">
      <c r="A3220" t="s">
        <v>5622</v>
      </c>
      <c r="B3220" t="s">
        <v>1650</v>
      </c>
      <c r="C3220" t="s">
        <v>2249</v>
      </c>
      <c r="D3220" s="9">
        <v>46015</v>
      </c>
      <c r="E3220" t="s">
        <v>23</v>
      </c>
      <c r="G3220" t="s">
        <v>2345</v>
      </c>
      <c r="H3220">
        <v>1500</v>
      </c>
      <c r="I3220" s="16" t="str">
        <f t="shared" si="50"/>
        <v>Normal</v>
      </c>
      <c r="J3220" t="s">
        <v>39</v>
      </c>
    </row>
    <row r="3221" spans="1:10">
      <c r="A3221" t="s">
        <v>5623</v>
      </c>
      <c r="B3221" t="s">
        <v>1540</v>
      </c>
      <c r="C3221" t="s">
        <v>2198</v>
      </c>
      <c r="D3221" s="9">
        <v>45509</v>
      </c>
      <c r="E3221" t="s">
        <v>2330</v>
      </c>
      <c r="F3221" s="20">
        <v>100</v>
      </c>
      <c r="G3221" t="s">
        <v>2331</v>
      </c>
      <c r="I3221" s="16" t="str">
        <f t="shared" si="50"/>
        <v>Unknown</v>
      </c>
      <c r="J3221">
        <v>3</v>
      </c>
    </row>
    <row r="3222" spans="1:10">
      <c r="A3222" t="s">
        <v>5624</v>
      </c>
      <c r="B3222" t="s">
        <v>174</v>
      </c>
      <c r="C3222" t="s">
        <v>2273</v>
      </c>
      <c r="D3222" s="9">
        <v>45666</v>
      </c>
      <c r="E3222" t="s">
        <v>2330</v>
      </c>
      <c r="F3222" s="20">
        <v>100</v>
      </c>
      <c r="G3222" t="s">
        <v>2345</v>
      </c>
      <c r="H3222">
        <v>799</v>
      </c>
      <c r="I3222" s="16" t="str">
        <f t="shared" si="50"/>
        <v>Normal</v>
      </c>
      <c r="J3222" t="s">
        <v>39</v>
      </c>
    </row>
    <row r="3223" spans="1:10">
      <c r="A3223" t="s">
        <v>5625</v>
      </c>
      <c r="B3223" t="s">
        <v>5626</v>
      </c>
      <c r="C3223" t="s">
        <v>2237</v>
      </c>
      <c r="D3223" s="9">
        <v>46112</v>
      </c>
      <c r="E3223" t="s">
        <v>2324</v>
      </c>
      <c r="F3223" s="20">
        <v>10</v>
      </c>
      <c r="G3223" t="s">
        <v>2345</v>
      </c>
      <c r="H3223">
        <v>1500</v>
      </c>
      <c r="I3223" s="16" t="str">
        <f t="shared" si="50"/>
        <v>Normal</v>
      </c>
      <c r="J3223" t="s">
        <v>39</v>
      </c>
    </row>
    <row r="3224" spans="1:10">
      <c r="A3224" t="s">
        <v>5627</v>
      </c>
      <c r="B3224" t="s">
        <v>585</v>
      </c>
      <c r="C3224" t="s">
        <v>2228</v>
      </c>
      <c r="D3224" s="9">
        <v>45517</v>
      </c>
      <c r="E3224" t="s">
        <v>2330</v>
      </c>
      <c r="G3224" t="s">
        <v>2325</v>
      </c>
      <c r="H3224">
        <v>799</v>
      </c>
      <c r="I3224" s="16" t="str">
        <f t="shared" si="50"/>
        <v>Normal</v>
      </c>
      <c r="J3224">
        <v>4</v>
      </c>
    </row>
    <row r="3225" spans="1:10">
      <c r="A3225" t="s">
        <v>5628</v>
      </c>
      <c r="B3225" t="s">
        <v>684</v>
      </c>
      <c r="C3225" t="s">
        <v>2193</v>
      </c>
      <c r="D3225" s="9">
        <v>45757</v>
      </c>
      <c r="E3225" t="s">
        <v>2330</v>
      </c>
      <c r="F3225" s="20">
        <v>100</v>
      </c>
      <c r="G3225" t="s">
        <v>23</v>
      </c>
      <c r="I3225" s="16" t="str">
        <f t="shared" si="50"/>
        <v>Unknown</v>
      </c>
      <c r="J3225" t="s">
        <v>39</v>
      </c>
    </row>
    <row r="3226" spans="1:10">
      <c r="A3226" t="s">
        <v>5629</v>
      </c>
      <c r="B3226" t="s">
        <v>1369</v>
      </c>
      <c r="C3226" t="s">
        <v>2271</v>
      </c>
      <c r="D3226" s="9">
        <v>45745</v>
      </c>
      <c r="E3226" t="s">
        <v>23</v>
      </c>
      <c r="G3226" t="s">
        <v>2331</v>
      </c>
      <c r="H3226">
        <v>1200</v>
      </c>
      <c r="I3226" s="16" t="str">
        <f t="shared" si="50"/>
        <v>Normal</v>
      </c>
      <c r="J3226">
        <v>2</v>
      </c>
    </row>
    <row r="3227" spans="1:10">
      <c r="A3227" t="s">
        <v>5630</v>
      </c>
      <c r="B3227" t="s">
        <v>882</v>
      </c>
      <c r="C3227" t="s">
        <v>2269</v>
      </c>
      <c r="D3227" s="9">
        <v>45967</v>
      </c>
      <c r="E3227" t="s">
        <v>2337</v>
      </c>
      <c r="F3227" s="20">
        <v>15</v>
      </c>
      <c r="G3227" t="s">
        <v>23</v>
      </c>
      <c r="H3227">
        <v>499</v>
      </c>
      <c r="I3227" s="16" t="str">
        <f t="shared" si="50"/>
        <v>Normal</v>
      </c>
      <c r="J3227">
        <v>4</v>
      </c>
    </row>
    <row r="3228" spans="1:10">
      <c r="A3228" t="s">
        <v>5631</v>
      </c>
      <c r="B3228" t="s">
        <v>1173</v>
      </c>
      <c r="C3228" t="s">
        <v>2218</v>
      </c>
      <c r="D3228" s="9">
        <v>46143</v>
      </c>
      <c r="E3228" t="s">
        <v>2324</v>
      </c>
      <c r="F3228" s="20">
        <v>25</v>
      </c>
      <c r="G3228" t="s">
        <v>2345</v>
      </c>
      <c r="H3228">
        <v>1500</v>
      </c>
      <c r="I3228" s="16" t="str">
        <f t="shared" si="50"/>
        <v>Normal</v>
      </c>
      <c r="J3228">
        <v>4</v>
      </c>
    </row>
    <row r="3229" spans="1:10">
      <c r="A3229" t="s">
        <v>5632</v>
      </c>
      <c r="B3229" t="s">
        <v>649</v>
      </c>
      <c r="C3229" t="s">
        <v>2193</v>
      </c>
      <c r="D3229" s="9">
        <v>45994</v>
      </c>
      <c r="E3229" t="s">
        <v>2324</v>
      </c>
      <c r="F3229" s="20">
        <v>55</v>
      </c>
      <c r="G3229" t="s">
        <v>2325</v>
      </c>
      <c r="H3229">
        <v>0</v>
      </c>
      <c r="I3229" s="16" t="str">
        <f t="shared" si="50"/>
        <v>Zero Amount</v>
      </c>
      <c r="J3229">
        <v>2</v>
      </c>
    </row>
    <row r="3230" spans="1:10">
      <c r="A3230" t="s">
        <v>5633</v>
      </c>
      <c r="B3230" t="s">
        <v>2642</v>
      </c>
      <c r="C3230" t="s">
        <v>2222</v>
      </c>
      <c r="D3230" s="9">
        <v>45226</v>
      </c>
      <c r="E3230" t="s">
        <v>2324</v>
      </c>
      <c r="F3230" s="20">
        <v>10</v>
      </c>
      <c r="G3230" t="s">
        <v>2325</v>
      </c>
      <c r="H3230">
        <v>0</v>
      </c>
      <c r="I3230" s="16" t="str">
        <f t="shared" si="50"/>
        <v>Zero Amount</v>
      </c>
      <c r="J3230">
        <v>1</v>
      </c>
    </row>
    <row r="3231" spans="1:10">
      <c r="A3231" t="s">
        <v>5634</v>
      </c>
      <c r="B3231" t="s">
        <v>1654</v>
      </c>
      <c r="C3231" t="s">
        <v>2264</v>
      </c>
      <c r="D3231" s="9">
        <v>45787</v>
      </c>
      <c r="E3231" t="s">
        <v>2337</v>
      </c>
      <c r="G3231" t="s">
        <v>2331</v>
      </c>
      <c r="H3231">
        <v>2500</v>
      </c>
      <c r="I3231" s="16" t="str">
        <f t="shared" si="50"/>
        <v>Normal</v>
      </c>
      <c r="J3231">
        <v>4</v>
      </c>
    </row>
    <row r="3232" spans="1:10">
      <c r="A3232" t="s">
        <v>5635</v>
      </c>
      <c r="B3232" t="s">
        <v>1411</v>
      </c>
      <c r="C3232" t="s">
        <v>2261</v>
      </c>
      <c r="D3232" s="9">
        <v>45493</v>
      </c>
      <c r="E3232" t="s">
        <v>2324</v>
      </c>
      <c r="F3232" s="20">
        <v>40</v>
      </c>
      <c r="G3232" t="s">
        <v>23</v>
      </c>
      <c r="I3232" s="16" t="str">
        <f t="shared" si="50"/>
        <v>Unknown</v>
      </c>
      <c r="J3232">
        <v>5</v>
      </c>
    </row>
    <row r="3233" spans="1:10">
      <c r="A3233" t="s">
        <v>5636</v>
      </c>
      <c r="B3233" t="s">
        <v>1145</v>
      </c>
      <c r="C3233" t="s">
        <v>2249</v>
      </c>
      <c r="D3233" s="9">
        <v>45835</v>
      </c>
      <c r="E3233" t="s">
        <v>2330</v>
      </c>
      <c r="F3233" s="20">
        <v>100</v>
      </c>
      <c r="G3233" t="s">
        <v>2328</v>
      </c>
      <c r="H3233">
        <v>1500</v>
      </c>
      <c r="I3233" s="16" t="str">
        <f t="shared" si="50"/>
        <v>Normal</v>
      </c>
      <c r="J3233">
        <v>3</v>
      </c>
    </row>
    <row r="3234" spans="1:10">
      <c r="A3234" t="s">
        <v>5637</v>
      </c>
      <c r="B3234" t="s">
        <v>1911</v>
      </c>
      <c r="C3234" t="s">
        <v>2241</v>
      </c>
      <c r="D3234" s="9">
        <v>46088</v>
      </c>
      <c r="E3234" t="s">
        <v>2330</v>
      </c>
      <c r="G3234" t="s">
        <v>2345</v>
      </c>
      <c r="H3234">
        <v>2500</v>
      </c>
      <c r="I3234" s="16" t="str">
        <f t="shared" si="50"/>
        <v>Normal</v>
      </c>
      <c r="J3234">
        <v>2</v>
      </c>
    </row>
    <row r="3235" spans="1:10">
      <c r="A3235" t="s">
        <v>5638</v>
      </c>
      <c r="B3235" t="s">
        <v>1907</v>
      </c>
      <c r="C3235" t="s">
        <v>2193</v>
      </c>
      <c r="D3235" s="9">
        <v>45560</v>
      </c>
      <c r="E3235" t="s">
        <v>2324</v>
      </c>
      <c r="F3235" s="20">
        <v>60</v>
      </c>
      <c r="G3235" t="s">
        <v>2345</v>
      </c>
      <c r="H3235">
        <v>0</v>
      </c>
      <c r="I3235" s="16" t="str">
        <f t="shared" si="50"/>
        <v>Zero Amount</v>
      </c>
      <c r="J3235">
        <v>4</v>
      </c>
    </row>
    <row r="3236" spans="1:10">
      <c r="A3236" t="s">
        <v>5639</v>
      </c>
      <c r="B3236" t="s">
        <v>1339</v>
      </c>
      <c r="C3236" t="s">
        <v>2235</v>
      </c>
      <c r="D3236" s="9">
        <v>45529</v>
      </c>
      <c r="E3236" t="s">
        <v>2330</v>
      </c>
      <c r="G3236" t="s">
        <v>2328</v>
      </c>
      <c r="H3236">
        <v>3000</v>
      </c>
      <c r="I3236" s="16" t="str">
        <f t="shared" si="50"/>
        <v>Normal</v>
      </c>
      <c r="J3236">
        <v>3</v>
      </c>
    </row>
    <row r="3237" spans="1:10">
      <c r="A3237" t="s">
        <v>5640</v>
      </c>
      <c r="B3237" t="s">
        <v>806</v>
      </c>
      <c r="C3237" t="s">
        <v>2209</v>
      </c>
      <c r="D3237" s="9">
        <v>45913</v>
      </c>
      <c r="E3237" t="s">
        <v>2324</v>
      </c>
      <c r="G3237" t="s">
        <v>23</v>
      </c>
      <c r="H3237">
        <v>-499</v>
      </c>
      <c r="I3237" s="16" t="str">
        <f t="shared" si="50"/>
        <v>Review</v>
      </c>
      <c r="J3237">
        <v>1</v>
      </c>
    </row>
    <row r="3238" spans="1:10">
      <c r="A3238" t="s">
        <v>5641</v>
      </c>
      <c r="B3238" t="s">
        <v>34</v>
      </c>
      <c r="C3238" t="s">
        <v>2202</v>
      </c>
      <c r="D3238" s="9">
        <v>45478</v>
      </c>
      <c r="E3238" t="s">
        <v>2324</v>
      </c>
      <c r="F3238" s="20">
        <v>10</v>
      </c>
      <c r="G3238" t="s">
        <v>2331</v>
      </c>
      <c r="H3238">
        <v>999.99</v>
      </c>
      <c r="I3238" s="16" t="str">
        <f t="shared" si="50"/>
        <v>Normal</v>
      </c>
      <c r="J3238" t="s">
        <v>39</v>
      </c>
    </row>
    <row r="3239" spans="1:10">
      <c r="A3239" t="s">
        <v>5642</v>
      </c>
      <c r="B3239" t="s">
        <v>299</v>
      </c>
      <c r="C3239" t="s">
        <v>2244</v>
      </c>
      <c r="D3239" s="9">
        <v>45961</v>
      </c>
      <c r="E3239" t="s">
        <v>2337</v>
      </c>
      <c r="F3239" s="20">
        <v>20</v>
      </c>
      <c r="G3239" t="s">
        <v>2331</v>
      </c>
      <c r="H3239">
        <v>1200</v>
      </c>
      <c r="I3239" s="16" t="str">
        <f t="shared" si="50"/>
        <v>Normal</v>
      </c>
      <c r="J3239">
        <v>5</v>
      </c>
    </row>
    <row r="3240" spans="1:10">
      <c r="A3240" t="s">
        <v>5643</v>
      </c>
      <c r="B3240" t="s">
        <v>1233</v>
      </c>
      <c r="C3240" t="s">
        <v>2216</v>
      </c>
      <c r="D3240" s="9">
        <v>46032</v>
      </c>
      <c r="E3240" t="s">
        <v>2324</v>
      </c>
      <c r="F3240" s="20">
        <v>25</v>
      </c>
      <c r="G3240" t="s">
        <v>2328</v>
      </c>
      <c r="H3240">
        <v>1200</v>
      </c>
      <c r="I3240" s="16" t="str">
        <f t="shared" si="50"/>
        <v>Normal</v>
      </c>
      <c r="J3240">
        <v>3</v>
      </c>
    </row>
    <row r="3241" spans="1:10">
      <c r="A3241" t="s">
        <v>5644</v>
      </c>
      <c r="B3241" t="s">
        <v>469</v>
      </c>
      <c r="C3241" t="s">
        <v>2241</v>
      </c>
      <c r="D3241" s="9">
        <v>45726</v>
      </c>
      <c r="E3241" t="s">
        <v>2330</v>
      </c>
      <c r="F3241" s="20">
        <v>100</v>
      </c>
      <c r="G3241" t="s">
        <v>23</v>
      </c>
      <c r="H3241">
        <v>-2500</v>
      </c>
      <c r="I3241" s="16" t="str">
        <f t="shared" si="50"/>
        <v>Review</v>
      </c>
      <c r="J3241" t="s">
        <v>39</v>
      </c>
    </row>
    <row r="3242" spans="1:10">
      <c r="A3242" t="s">
        <v>5645</v>
      </c>
      <c r="B3242" t="s">
        <v>765</v>
      </c>
      <c r="C3242" t="s">
        <v>2251</v>
      </c>
      <c r="D3242" s="9">
        <v>45670</v>
      </c>
      <c r="E3242" t="s">
        <v>2330</v>
      </c>
      <c r="F3242" s="20">
        <v>100</v>
      </c>
      <c r="G3242" t="s">
        <v>2339</v>
      </c>
      <c r="H3242">
        <v>1500</v>
      </c>
      <c r="I3242" s="16" t="str">
        <f t="shared" si="50"/>
        <v>Normal</v>
      </c>
      <c r="J3242" t="s">
        <v>39</v>
      </c>
    </row>
    <row r="3243" spans="1:10">
      <c r="A3243" t="s">
        <v>5646</v>
      </c>
      <c r="B3243" t="s">
        <v>1561</v>
      </c>
      <c r="C3243" t="s">
        <v>2218</v>
      </c>
      <c r="D3243" s="9">
        <v>46128</v>
      </c>
      <c r="E3243" t="s">
        <v>2324</v>
      </c>
      <c r="F3243" s="20">
        <v>60</v>
      </c>
      <c r="G3243" t="s">
        <v>2339</v>
      </c>
      <c r="I3243" s="16" t="str">
        <f t="shared" si="50"/>
        <v>Unknown</v>
      </c>
      <c r="J3243">
        <v>5</v>
      </c>
    </row>
    <row r="3244" spans="1:10">
      <c r="A3244" t="s">
        <v>5647</v>
      </c>
      <c r="B3244" t="s">
        <v>56</v>
      </c>
      <c r="C3244" t="s">
        <v>2225</v>
      </c>
      <c r="D3244" s="9">
        <v>45989</v>
      </c>
      <c r="E3244" t="s">
        <v>2330</v>
      </c>
      <c r="G3244" t="s">
        <v>23</v>
      </c>
      <c r="I3244" s="16" t="str">
        <f t="shared" si="50"/>
        <v>Unknown</v>
      </c>
      <c r="J3244">
        <v>5</v>
      </c>
    </row>
    <row r="3245" spans="1:10">
      <c r="A3245" t="s">
        <v>5648</v>
      </c>
      <c r="B3245" t="s">
        <v>2030</v>
      </c>
      <c r="C3245" t="s">
        <v>2269</v>
      </c>
      <c r="D3245" s="9">
        <v>45786</v>
      </c>
      <c r="E3245" t="s">
        <v>2327</v>
      </c>
      <c r="F3245" s="20">
        <v>0</v>
      </c>
      <c r="G3245" t="s">
        <v>2345</v>
      </c>
      <c r="H3245">
        <v>499</v>
      </c>
      <c r="I3245" s="16" t="str">
        <f t="shared" si="50"/>
        <v>Normal</v>
      </c>
      <c r="J3245">
        <v>2</v>
      </c>
    </row>
    <row r="3246" spans="1:10">
      <c r="A3246" t="s">
        <v>5649</v>
      </c>
      <c r="B3246" t="s">
        <v>5650</v>
      </c>
      <c r="C3246" t="s">
        <v>2218</v>
      </c>
      <c r="D3246" s="9">
        <v>45950</v>
      </c>
      <c r="E3246" t="s">
        <v>2330</v>
      </c>
      <c r="G3246" t="s">
        <v>2339</v>
      </c>
      <c r="H3246">
        <v>1500</v>
      </c>
      <c r="I3246" s="16" t="str">
        <f t="shared" si="50"/>
        <v>Normal</v>
      </c>
      <c r="J3246">
        <v>4</v>
      </c>
    </row>
    <row r="3247" spans="1:10">
      <c r="A3247" t="s">
        <v>5651</v>
      </c>
      <c r="B3247" t="s">
        <v>2151</v>
      </c>
      <c r="C3247" t="s">
        <v>2216</v>
      </c>
      <c r="D3247" s="9">
        <v>45831</v>
      </c>
      <c r="E3247" t="s">
        <v>2324</v>
      </c>
      <c r="F3247" s="20">
        <v>55</v>
      </c>
      <c r="G3247" t="s">
        <v>23</v>
      </c>
      <c r="H3247">
        <v>1200</v>
      </c>
      <c r="I3247" s="16" t="str">
        <f t="shared" si="50"/>
        <v>Normal</v>
      </c>
      <c r="J3247">
        <v>5</v>
      </c>
    </row>
    <row r="3248" spans="1:10">
      <c r="A3248" t="s">
        <v>5652</v>
      </c>
      <c r="B3248" t="s">
        <v>701</v>
      </c>
      <c r="C3248" t="s">
        <v>2198</v>
      </c>
      <c r="D3248" s="9">
        <v>45126</v>
      </c>
      <c r="E3248" t="s">
        <v>2337</v>
      </c>
      <c r="F3248" s="20">
        <v>0</v>
      </c>
      <c r="G3248" t="s">
        <v>2331</v>
      </c>
      <c r="I3248" s="16" t="str">
        <f t="shared" si="50"/>
        <v>Unknown</v>
      </c>
      <c r="J3248">
        <v>5</v>
      </c>
    </row>
    <row r="3249" spans="1:10">
      <c r="A3249" t="s">
        <v>5653</v>
      </c>
      <c r="B3249" t="s">
        <v>1984</v>
      </c>
      <c r="C3249" t="s">
        <v>2193</v>
      </c>
      <c r="D3249" s="9">
        <v>45719</v>
      </c>
      <c r="E3249" t="s">
        <v>2324</v>
      </c>
      <c r="G3249" t="s">
        <v>2339</v>
      </c>
      <c r="H3249">
        <v>0</v>
      </c>
      <c r="I3249" s="16" t="str">
        <f t="shared" si="50"/>
        <v>Zero Amount</v>
      </c>
      <c r="J3249" t="s">
        <v>39</v>
      </c>
    </row>
    <row r="3250" spans="1:10">
      <c r="A3250" t="s">
        <v>5654</v>
      </c>
      <c r="B3250" t="s">
        <v>1578</v>
      </c>
      <c r="C3250" t="s">
        <v>2235</v>
      </c>
      <c r="D3250" s="9">
        <v>45124</v>
      </c>
      <c r="E3250" t="s">
        <v>23</v>
      </c>
      <c r="G3250" t="s">
        <v>23</v>
      </c>
      <c r="H3250">
        <v>-3000</v>
      </c>
      <c r="I3250" s="16" t="str">
        <f t="shared" si="50"/>
        <v>Review</v>
      </c>
      <c r="J3250">
        <v>4</v>
      </c>
    </row>
    <row r="3251" spans="1:10">
      <c r="A3251" t="s">
        <v>5655</v>
      </c>
      <c r="B3251" t="s">
        <v>1744</v>
      </c>
      <c r="C3251" t="s">
        <v>2225</v>
      </c>
      <c r="D3251" s="9">
        <v>46134</v>
      </c>
      <c r="E3251" t="s">
        <v>2330</v>
      </c>
      <c r="G3251" t="s">
        <v>23</v>
      </c>
      <c r="I3251" s="16" t="str">
        <f t="shared" si="50"/>
        <v>Unknown</v>
      </c>
      <c r="J3251">
        <v>3</v>
      </c>
    </row>
    <row r="3252" spans="1:10">
      <c r="A3252" t="s">
        <v>5656</v>
      </c>
      <c r="B3252" t="s">
        <v>1122</v>
      </c>
      <c r="C3252" t="s">
        <v>2198</v>
      </c>
      <c r="D3252" s="9">
        <v>45206</v>
      </c>
      <c r="E3252" t="s">
        <v>2330</v>
      </c>
      <c r="G3252" t="s">
        <v>2339</v>
      </c>
      <c r="I3252" s="16" t="str">
        <f t="shared" si="50"/>
        <v>Unknown</v>
      </c>
      <c r="J3252" t="s">
        <v>39</v>
      </c>
    </row>
    <row r="3253" spans="1:10">
      <c r="A3253" t="s">
        <v>5657</v>
      </c>
      <c r="B3253" t="s">
        <v>2143</v>
      </c>
      <c r="C3253" t="s">
        <v>2257</v>
      </c>
      <c r="D3253" s="9">
        <v>46107</v>
      </c>
      <c r="E3253" t="s">
        <v>2337</v>
      </c>
      <c r="F3253" s="20">
        <v>0</v>
      </c>
      <c r="G3253" t="s">
        <v>2328</v>
      </c>
      <c r="I3253" s="16" t="str">
        <f t="shared" si="50"/>
        <v>Unknown</v>
      </c>
      <c r="J3253">
        <v>3</v>
      </c>
    </row>
    <row r="3254" spans="1:10">
      <c r="A3254" t="s">
        <v>5658</v>
      </c>
      <c r="B3254" t="s">
        <v>707</v>
      </c>
      <c r="C3254" t="s">
        <v>2257</v>
      </c>
      <c r="D3254" s="9">
        <v>45976</v>
      </c>
      <c r="E3254" t="s">
        <v>2324</v>
      </c>
      <c r="F3254" s="20">
        <v>75</v>
      </c>
      <c r="G3254" t="s">
        <v>2325</v>
      </c>
      <c r="I3254" s="16" t="str">
        <f t="shared" si="50"/>
        <v>Unknown</v>
      </c>
      <c r="J3254" t="s">
        <v>39</v>
      </c>
    </row>
    <row r="3255" spans="1:10">
      <c r="A3255" t="s">
        <v>5659</v>
      </c>
      <c r="B3255" t="s">
        <v>961</v>
      </c>
      <c r="C3255" t="s">
        <v>2231</v>
      </c>
      <c r="D3255" s="9">
        <v>45897</v>
      </c>
      <c r="E3255" t="s">
        <v>2330</v>
      </c>
      <c r="F3255" s="20">
        <v>100</v>
      </c>
      <c r="G3255" t="s">
        <v>2345</v>
      </c>
      <c r="H3255">
        <v>3000</v>
      </c>
      <c r="I3255" s="16" t="str">
        <f t="shared" si="50"/>
        <v>Normal</v>
      </c>
      <c r="J3255" t="s">
        <v>39</v>
      </c>
    </row>
    <row r="3256" spans="1:10">
      <c r="A3256" t="s">
        <v>5660</v>
      </c>
      <c r="B3256" t="s">
        <v>1956</v>
      </c>
      <c r="C3256" t="s">
        <v>2222</v>
      </c>
      <c r="D3256" s="9">
        <v>46174</v>
      </c>
      <c r="E3256" t="s">
        <v>23</v>
      </c>
      <c r="G3256" t="s">
        <v>2331</v>
      </c>
      <c r="H3256">
        <v>0</v>
      </c>
      <c r="I3256" s="16" t="str">
        <f t="shared" si="50"/>
        <v>Zero Amount</v>
      </c>
      <c r="J3256">
        <v>4</v>
      </c>
    </row>
    <row r="3257" spans="1:10">
      <c r="A3257" t="s">
        <v>5661</v>
      </c>
      <c r="B3257" t="s">
        <v>1517</v>
      </c>
      <c r="C3257" t="s">
        <v>2202</v>
      </c>
      <c r="D3257" s="9">
        <v>45375</v>
      </c>
      <c r="E3257" t="s">
        <v>2324</v>
      </c>
      <c r="F3257" s="20">
        <v>55</v>
      </c>
      <c r="G3257" t="s">
        <v>2339</v>
      </c>
      <c r="H3257">
        <v>999.99</v>
      </c>
      <c r="I3257" s="16" t="str">
        <f t="shared" si="50"/>
        <v>Normal</v>
      </c>
      <c r="J3257">
        <v>5</v>
      </c>
    </row>
    <row r="3258" spans="1:10">
      <c r="A3258" t="s">
        <v>5662</v>
      </c>
      <c r="B3258" t="s">
        <v>3809</v>
      </c>
      <c r="C3258" t="s">
        <v>2257</v>
      </c>
      <c r="D3258" s="9">
        <v>45994</v>
      </c>
      <c r="E3258" t="s">
        <v>2330</v>
      </c>
      <c r="F3258" s="20">
        <v>100</v>
      </c>
      <c r="G3258" t="s">
        <v>2328</v>
      </c>
      <c r="I3258" s="16" t="str">
        <f t="shared" si="50"/>
        <v>Unknown</v>
      </c>
      <c r="J3258">
        <v>5</v>
      </c>
    </row>
    <row r="3259" spans="1:10">
      <c r="A3259" t="s">
        <v>5663</v>
      </c>
      <c r="B3259" t="s">
        <v>1266</v>
      </c>
      <c r="C3259" t="s">
        <v>2249</v>
      </c>
      <c r="D3259" s="9">
        <v>45329</v>
      </c>
      <c r="E3259" t="s">
        <v>2330</v>
      </c>
      <c r="F3259" s="20">
        <v>100</v>
      </c>
      <c r="G3259" t="s">
        <v>2331</v>
      </c>
      <c r="H3259">
        <v>1500</v>
      </c>
      <c r="I3259" s="16" t="str">
        <f t="shared" si="50"/>
        <v>Normal</v>
      </c>
      <c r="J3259">
        <v>3</v>
      </c>
    </row>
    <row r="3260" spans="1:10">
      <c r="A3260" t="s">
        <v>5664</v>
      </c>
      <c r="B3260" t="s">
        <v>1418</v>
      </c>
      <c r="C3260" t="s">
        <v>2193</v>
      </c>
      <c r="D3260" s="9">
        <v>46165</v>
      </c>
      <c r="E3260" t="s">
        <v>2327</v>
      </c>
      <c r="F3260" s="20">
        <v>20</v>
      </c>
      <c r="G3260" t="s">
        <v>2345</v>
      </c>
      <c r="H3260">
        <v>0</v>
      </c>
      <c r="I3260" s="16" t="str">
        <f t="shared" si="50"/>
        <v>Zero Amount</v>
      </c>
      <c r="J3260">
        <v>2</v>
      </c>
    </row>
    <row r="3261" spans="1:10">
      <c r="A3261" t="s">
        <v>5665</v>
      </c>
      <c r="B3261" t="s">
        <v>821</v>
      </c>
      <c r="C3261" t="s">
        <v>2267</v>
      </c>
      <c r="D3261" s="9">
        <v>45370</v>
      </c>
      <c r="E3261" t="s">
        <v>2327</v>
      </c>
      <c r="F3261" s="20">
        <v>20</v>
      </c>
      <c r="G3261" t="s">
        <v>2339</v>
      </c>
      <c r="H3261">
        <v>999.99</v>
      </c>
      <c r="I3261" s="16" t="str">
        <f t="shared" si="50"/>
        <v>Normal</v>
      </c>
      <c r="J3261" t="s">
        <v>39</v>
      </c>
    </row>
    <row r="3262" spans="1:10">
      <c r="A3262" t="s">
        <v>5666</v>
      </c>
      <c r="B3262" t="s">
        <v>1083</v>
      </c>
      <c r="C3262" t="s">
        <v>2222</v>
      </c>
      <c r="D3262" s="9">
        <v>45586</v>
      </c>
      <c r="E3262" t="s">
        <v>2324</v>
      </c>
      <c r="F3262" s="20">
        <v>55</v>
      </c>
      <c r="G3262" t="s">
        <v>2331</v>
      </c>
      <c r="H3262">
        <v>0</v>
      </c>
      <c r="I3262" s="16" t="str">
        <f t="shared" si="50"/>
        <v>Zero Amount</v>
      </c>
      <c r="J3262">
        <v>1</v>
      </c>
    </row>
    <row r="3263" spans="1:10">
      <c r="A3263" t="s">
        <v>5667</v>
      </c>
      <c r="B3263" t="s">
        <v>516</v>
      </c>
      <c r="C3263" t="s">
        <v>2251</v>
      </c>
      <c r="D3263" s="9">
        <v>45150</v>
      </c>
      <c r="E3263" t="s">
        <v>2330</v>
      </c>
      <c r="F3263" s="20">
        <v>100</v>
      </c>
      <c r="G3263" t="s">
        <v>23</v>
      </c>
      <c r="H3263">
        <v>1500</v>
      </c>
      <c r="I3263" s="16" t="str">
        <f t="shared" si="50"/>
        <v>Normal</v>
      </c>
      <c r="J3263">
        <v>5</v>
      </c>
    </row>
    <row r="3264" spans="1:10">
      <c r="A3264" t="s">
        <v>5668</v>
      </c>
      <c r="B3264" t="s">
        <v>2018</v>
      </c>
      <c r="C3264" t="s">
        <v>2269</v>
      </c>
      <c r="D3264" s="9">
        <v>45600</v>
      </c>
      <c r="E3264" t="s">
        <v>23</v>
      </c>
      <c r="G3264" t="s">
        <v>2345</v>
      </c>
      <c r="H3264">
        <v>499</v>
      </c>
      <c r="I3264" s="16" t="str">
        <f t="shared" si="50"/>
        <v>Normal</v>
      </c>
      <c r="J3264">
        <v>5</v>
      </c>
    </row>
    <row r="3265" spans="1:10">
      <c r="A3265" t="s">
        <v>5669</v>
      </c>
      <c r="B3265" t="s">
        <v>1476</v>
      </c>
      <c r="C3265" t="s">
        <v>2233</v>
      </c>
      <c r="D3265" s="9">
        <v>46184</v>
      </c>
      <c r="E3265" t="s">
        <v>2324</v>
      </c>
      <c r="F3265" s="20">
        <v>75</v>
      </c>
      <c r="G3265" t="s">
        <v>2331</v>
      </c>
      <c r="H3265">
        <v>2500</v>
      </c>
      <c r="I3265" s="16" t="str">
        <f t="shared" si="50"/>
        <v>Normal</v>
      </c>
      <c r="J3265">
        <v>2</v>
      </c>
    </row>
    <row r="3266" spans="1:10">
      <c r="A3266" t="s">
        <v>5670</v>
      </c>
      <c r="B3266" t="s">
        <v>1902</v>
      </c>
      <c r="C3266" t="s">
        <v>2231</v>
      </c>
      <c r="D3266" s="9">
        <v>45386</v>
      </c>
      <c r="E3266" t="s">
        <v>2330</v>
      </c>
      <c r="F3266" s="20">
        <v>100</v>
      </c>
      <c r="G3266" t="s">
        <v>2345</v>
      </c>
      <c r="H3266">
        <v>3000</v>
      </c>
      <c r="I3266" s="16" t="str">
        <f t="shared" si="50"/>
        <v>Normal</v>
      </c>
      <c r="J3266">
        <v>3</v>
      </c>
    </row>
    <row r="3267" spans="1:10">
      <c r="A3267" t="s">
        <v>5671</v>
      </c>
      <c r="B3267" t="s">
        <v>331</v>
      </c>
      <c r="C3267" t="s">
        <v>2241</v>
      </c>
      <c r="D3267" s="9">
        <v>45967</v>
      </c>
      <c r="E3267" t="s">
        <v>2327</v>
      </c>
      <c r="G3267" t="s">
        <v>2339</v>
      </c>
      <c r="H3267">
        <v>1372.74</v>
      </c>
      <c r="I3267" s="16" t="str">
        <f t="shared" ref="I3267:I3330" si="51">IF(H3267="", "Unknown", IF(H3267=0, "Zero Amount", IF(H3267&lt;1, "Review", IF(H3267&gt;1, "Normal"))))</f>
        <v>Normal</v>
      </c>
      <c r="J3267">
        <v>5</v>
      </c>
    </row>
    <row r="3268" spans="1:10">
      <c r="A3268" t="s">
        <v>5672</v>
      </c>
      <c r="B3268" t="s">
        <v>316</v>
      </c>
      <c r="C3268" t="s">
        <v>2209</v>
      </c>
      <c r="D3268" s="9">
        <v>45327</v>
      </c>
      <c r="E3268" t="s">
        <v>2337</v>
      </c>
      <c r="F3268" s="20">
        <v>20</v>
      </c>
      <c r="G3268" t="s">
        <v>2331</v>
      </c>
      <c r="H3268">
        <v>499</v>
      </c>
      <c r="I3268" s="16" t="str">
        <f t="shared" si="51"/>
        <v>Normal</v>
      </c>
      <c r="J3268">
        <v>4</v>
      </c>
    </row>
    <row r="3269" spans="1:10">
      <c r="A3269" t="s">
        <v>5673</v>
      </c>
      <c r="B3269" t="s">
        <v>1040</v>
      </c>
      <c r="C3269" t="s">
        <v>2231</v>
      </c>
      <c r="D3269" s="9">
        <v>45942</v>
      </c>
      <c r="E3269" t="s">
        <v>2330</v>
      </c>
      <c r="G3269" t="s">
        <v>2339</v>
      </c>
      <c r="H3269">
        <v>3000</v>
      </c>
      <c r="I3269" s="16" t="str">
        <f t="shared" si="51"/>
        <v>Normal</v>
      </c>
      <c r="J3269" t="s">
        <v>39</v>
      </c>
    </row>
    <row r="3270" spans="1:10">
      <c r="A3270" t="s">
        <v>5674</v>
      </c>
      <c r="B3270" t="s">
        <v>1974</v>
      </c>
      <c r="C3270" t="s">
        <v>2222</v>
      </c>
      <c r="D3270" s="9">
        <v>45902</v>
      </c>
      <c r="E3270" t="s">
        <v>2330</v>
      </c>
      <c r="F3270" s="20">
        <v>100</v>
      </c>
      <c r="G3270" t="s">
        <v>2325</v>
      </c>
      <c r="H3270">
        <v>0</v>
      </c>
      <c r="I3270" s="16" t="str">
        <f t="shared" si="51"/>
        <v>Zero Amount</v>
      </c>
      <c r="J3270">
        <v>3</v>
      </c>
    </row>
    <row r="3271" spans="1:10">
      <c r="A3271" t="s">
        <v>5675</v>
      </c>
      <c r="B3271" t="s">
        <v>331</v>
      </c>
      <c r="C3271" t="s">
        <v>2253</v>
      </c>
      <c r="D3271" s="9">
        <v>45450</v>
      </c>
      <c r="E3271" t="s">
        <v>2327</v>
      </c>
      <c r="G3271" t="s">
        <v>23</v>
      </c>
      <c r="H3271">
        <v>1200</v>
      </c>
      <c r="I3271" s="16" t="str">
        <f t="shared" si="51"/>
        <v>Normal</v>
      </c>
      <c r="J3271">
        <v>5</v>
      </c>
    </row>
    <row r="3272" spans="1:10">
      <c r="A3272" t="s">
        <v>5676</v>
      </c>
      <c r="B3272" t="s">
        <v>374</v>
      </c>
      <c r="C3272" t="s">
        <v>2264</v>
      </c>
      <c r="D3272" s="9">
        <v>45537</v>
      </c>
      <c r="E3272" t="s">
        <v>2327</v>
      </c>
      <c r="F3272" s="20">
        <v>5</v>
      </c>
      <c r="G3272" t="s">
        <v>2325</v>
      </c>
      <c r="H3272">
        <v>1940.13</v>
      </c>
      <c r="I3272" s="16" t="str">
        <f t="shared" si="51"/>
        <v>Normal</v>
      </c>
      <c r="J3272" t="s">
        <v>39</v>
      </c>
    </row>
    <row r="3273" spans="1:10">
      <c r="A3273" t="s">
        <v>5677</v>
      </c>
      <c r="B3273" t="s">
        <v>1610</v>
      </c>
      <c r="C3273" t="s">
        <v>2231</v>
      </c>
      <c r="D3273" s="9">
        <v>45479</v>
      </c>
      <c r="E3273" t="s">
        <v>2337</v>
      </c>
      <c r="F3273" s="20">
        <v>15</v>
      </c>
      <c r="G3273" t="s">
        <v>23</v>
      </c>
      <c r="H3273">
        <v>3000</v>
      </c>
      <c r="I3273" s="16" t="str">
        <f t="shared" si="51"/>
        <v>Normal</v>
      </c>
      <c r="J3273" t="s">
        <v>39</v>
      </c>
    </row>
    <row r="3274" spans="1:10">
      <c r="A3274" t="s">
        <v>5678</v>
      </c>
      <c r="B3274" t="s">
        <v>2022</v>
      </c>
      <c r="C3274" t="s">
        <v>2231</v>
      </c>
      <c r="D3274" s="9">
        <v>45991</v>
      </c>
      <c r="E3274" t="s">
        <v>2337</v>
      </c>
      <c r="G3274" t="s">
        <v>2339</v>
      </c>
      <c r="H3274">
        <v>3000</v>
      </c>
      <c r="I3274" s="16" t="str">
        <f t="shared" si="51"/>
        <v>Normal</v>
      </c>
      <c r="J3274">
        <v>3</v>
      </c>
    </row>
    <row r="3275" spans="1:10">
      <c r="A3275" t="s">
        <v>5679</v>
      </c>
      <c r="B3275" t="s">
        <v>1960</v>
      </c>
      <c r="C3275" t="s">
        <v>2235</v>
      </c>
      <c r="D3275" s="9">
        <v>46023</v>
      </c>
      <c r="E3275" t="s">
        <v>2337</v>
      </c>
      <c r="F3275" s="20">
        <v>0</v>
      </c>
      <c r="G3275" t="s">
        <v>23</v>
      </c>
      <c r="H3275">
        <v>3000</v>
      </c>
      <c r="I3275" s="16" t="str">
        <f t="shared" si="51"/>
        <v>Normal</v>
      </c>
      <c r="J3275">
        <v>1</v>
      </c>
    </row>
    <row r="3276" spans="1:10">
      <c r="A3276" t="s">
        <v>5680</v>
      </c>
      <c r="B3276" t="s">
        <v>1674</v>
      </c>
      <c r="C3276" t="s">
        <v>2244</v>
      </c>
      <c r="D3276" s="9">
        <v>46036</v>
      </c>
      <c r="E3276" t="s">
        <v>2330</v>
      </c>
      <c r="G3276" t="s">
        <v>2345</v>
      </c>
      <c r="H3276">
        <v>1200</v>
      </c>
      <c r="I3276" s="16" t="str">
        <f t="shared" si="51"/>
        <v>Normal</v>
      </c>
      <c r="J3276">
        <v>5</v>
      </c>
    </row>
    <row r="3277" spans="1:10">
      <c r="A3277" t="s">
        <v>5681</v>
      </c>
      <c r="B3277" t="s">
        <v>1517</v>
      </c>
      <c r="C3277" t="s">
        <v>2209</v>
      </c>
      <c r="D3277" s="9">
        <v>45463</v>
      </c>
      <c r="E3277" t="s">
        <v>2330</v>
      </c>
      <c r="F3277" s="20">
        <v>100</v>
      </c>
      <c r="G3277" t="s">
        <v>2331</v>
      </c>
      <c r="H3277">
        <v>499</v>
      </c>
      <c r="I3277" s="16" t="str">
        <f t="shared" si="51"/>
        <v>Normal</v>
      </c>
      <c r="J3277">
        <v>1</v>
      </c>
    </row>
    <row r="3278" spans="1:10">
      <c r="A3278" t="s">
        <v>5682</v>
      </c>
      <c r="B3278" t="s">
        <v>1383</v>
      </c>
      <c r="C3278" t="s">
        <v>2237</v>
      </c>
      <c r="D3278" s="9">
        <v>45773</v>
      </c>
      <c r="E3278" t="s">
        <v>2324</v>
      </c>
      <c r="F3278" s="20">
        <v>55</v>
      </c>
      <c r="G3278" t="s">
        <v>2339</v>
      </c>
      <c r="H3278">
        <v>1500</v>
      </c>
      <c r="I3278" s="16" t="str">
        <f t="shared" si="51"/>
        <v>Normal</v>
      </c>
      <c r="J3278" t="s">
        <v>39</v>
      </c>
    </row>
    <row r="3279" spans="1:10">
      <c r="A3279" t="s">
        <v>5683</v>
      </c>
      <c r="B3279" t="s">
        <v>1686</v>
      </c>
      <c r="C3279" t="s">
        <v>2237</v>
      </c>
      <c r="D3279" s="9">
        <v>45908</v>
      </c>
      <c r="E3279" t="s">
        <v>2330</v>
      </c>
      <c r="F3279" s="20">
        <v>100</v>
      </c>
      <c r="G3279" t="s">
        <v>2325</v>
      </c>
      <c r="H3279">
        <v>1500</v>
      </c>
      <c r="I3279" s="16" t="str">
        <f t="shared" si="51"/>
        <v>Normal</v>
      </c>
      <c r="J3279" t="s">
        <v>39</v>
      </c>
    </row>
    <row r="3280" spans="1:10">
      <c r="A3280" t="s">
        <v>5684</v>
      </c>
      <c r="B3280" t="s">
        <v>1282</v>
      </c>
      <c r="C3280" t="s">
        <v>2241</v>
      </c>
      <c r="D3280" s="9">
        <v>46014</v>
      </c>
      <c r="E3280" t="s">
        <v>23</v>
      </c>
      <c r="G3280" t="s">
        <v>2339</v>
      </c>
      <c r="H3280">
        <v>2500</v>
      </c>
      <c r="I3280" s="16" t="str">
        <f t="shared" si="51"/>
        <v>Normal</v>
      </c>
      <c r="J3280">
        <v>1</v>
      </c>
    </row>
    <row r="3281" spans="1:10">
      <c r="A3281" t="s">
        <v>5685</v>
      </c>
      <c r="B3281" t="s">
        <v>1717</v>
      </c>
      <c r="C3281" t="s">
        <v>2216</v>
      </c>
      <c r="D3281" s="9">
        <v>45347</v>
      </c>
      <c r="E3281" t="s">
        <v>2327</v>
      </c>
      <c r="F3281" s="20">
        <v>5</v>
      </c>
      <c r="G3281" t="s">
        <v>23</v>
      </c>
      <c r="I3281" s="16" t="str">
        <f t="shared" si="51"/>
        <v>Unknown</v>
      </c>
      <c r="J3281">
        <v>5</v>
      </c>
    </row>
    <row r="3282" spans="1:10">
      <c r="A3282" t="s">
        <v>5686</v>
      </c>
      <c r="B3282" t="s">
        <v>125</v>
      </c>
      <c r="C3282" t="s">
        <v>2222</v>
      </c>
      <c r="D3282" s="9">
        <v>46006</v>
      </c>
      <c r="E3282" t="s">
        <v>2327</v>
      </c>
      <c r="F3282" s="20">
        <v>15</v>
      </c>
      <c r="G3282" t="s">
        <v>2339</v>
      </c>
      <c r="H3282">
        <v>0</v>
      </c>
      <c r="I3282" s="16" t="str">
        <f t="shared" si="51"/>
        <v>Zero Amount</v>
      </c>
      <c r="J3282" t="s">
        <v>39</v>
      </c>
    </row>
    <row r="3283" spans="1:10">
      <c r="A3283" t="s">
        <v>5687</v>
      </c>
      <c r="B3283" t="s">
        <v>1251</v>
      </c>
      <c r="C3283" t="s">
        <v>2225</v>
      </c>
      <c r="D3283" s="9">
        <v>45209</v>
      </c>
      <c r="E3283" t="s">
        <v>2330</v>
      </c>
      <c r="G3283" t="s">
        <v>2325</v>
      </c>
      <c r="I3283" s="16" t="str">
        <f t="shared" si="51"/>
        <v>Unknown</v>
      </c>
      <c r="J3283">
        <v>4</v>
      </c>
    </row>
    <row r="3284" spans="1:10">
      <c r="A3284" t="s">
        <v>5688</v>
      </c>
      <c r="B3284" t="s">
        <v>2132</v>
      </c>
      <c r="C3284" t="s">
        <v>2264</v>
      </c>
      <c r="D3284" s="9">
        <v>45889</v>
      </c>
      <c r="E3284" t="s">
        <v>23</v>
      </c>
      <c r="G3284" t="s">
        <v>2331</v>
      </c>
      <c r="H3284">
        <v>2500</v>
      </c>
      <c r="I3284" s="16" t="str">
        <f t="shared" si="51"/>
        <v>Normal</v>
      </c>
      <c r="J3284" t="s">
        <v>39</v>
      </c>
    </row>
    <row r="3285" spans="1:10">
      <c r="A3285" t="s">
        <v>5689</v>
      </c>
      <c r="B3285" t="s">
        <v>1552</v>
      </c>
      <c r="C3285" t="s">
        <v>2237</v>
      </c>
      <c r="D3285" s="9">
        <v>45798</v>
      </c>
      <c r="E3285" t="s">
        <v>2324</v>
      </c>
      <c r="F3285" s="20">
        <v>40</v>
      </c>
      <c r="G3285" t="s">
        <v>2345</v>
      </c>
      <c r="H3285">
        <v>1175.3499999999999</v>
      </c>
      <c r="I3285" s="16" t="str">
        <f t="shared" si="51"/>
        <v>Normal</v>
      </c>
      <c r="J3285">
        <v>4</v>
      </c>
    </row>
    <row r="3286" spans="1:10">
      <c r="A3286" t="s">
        <v>5690</v>
      </c>
      <c r="B3286" t="s">
        <v>1492</v>
      </c>
      <c r="C3286" t="s">
        <v>2269</v>
      </c>
      <c r="D3286" s="9">
        <v>45440</v>
      </c>
      <c r="E3286" t="s">
        <v>23</v>
      </c>
      <c r="G3286" t="s">
        <v>2331</v>
      </c>
      <c r="H3286">
        <v>499</v>
      </c>
      <c r="I3286" s="16" t="str">
        <f t="shared" si="51"/>
        <v>Normal</v>
      </c>
      <c r="J3286">
        <v>1</v>
      </c>
    </row>
    <row r="3287" spans="1:10">
      <c r="A3287" t="s">
        <v>5691</v>
      </c>
      <c r="B3287" t="s">
        <v>1425</v>
      </c>
      <c r="C3287" t="s">
        <v>2249</v>
      </c>
      <c r="D3287" s="9">
        <v>45642</v>
      </c>
      <c r="E3287" t="s">
        <v>2330</v>
      </c>
      <c r="G3287" t="s">
        <v>2345</v>
      </c>
      <c r="H3287">
        <v>1500</v>
      </c>
      <c r="I3287" s="16" t="str">
        <f t="shared" si="51"/>
        <v>Normal</v>
      </c>
      <c r="J3287">
        <v>2</v>
      </c>
    </row>
    <row r="3288" spans="1:10">
      <c r="A3288" t="s">
        <v>5692</v>
      </c>
      <c r="B3288" t="s">
        <v>1606</v>
      </c>
      <c r="C3288" t="s">
        <v>2237</v>
      </c>
      <c r="D3288" s="9">
        <v>45302</v>
      </c>
      <c r="E3288" t="s">
        <v>2330</v>
      </c>
      <c r="F3288" s="20">
        <v>100</v>
      </c>
      <c r="G3288" t="s">
        <v>2339</v>
      </c>
      <c r="H3288">
        <v>1500</v>
      </c>
      <c r="I3288" s="16" t="str">
        <f t="shared" si="51"/>
        <v>Normal</v>
      </c>
      <c r="J3288">
        <v>1</v>
      </c>
    </row>
    <row r="3289" spans="1:10">
      <c r="A3289" t="s">
        <v>5693</v>
      </c>
      <c r="B3289" t="s">
        <v>299</v>
      </c>
      <c r="C3289" t="s">
        <v>2257</v>
      </c>
      <c r="D3289" s="9">
        <v>45517</v>
      </c>
      <c r="E3289" t="s">
        <v>2330</v>
      </c>
      <c r="G3289" t="s">
        <v>2331</v>
      </c>
      <c r="I3289" s="16" t="str">
        <f t="shared" si="51"/>
        <v>Unknown</v>
      </c>
      <c r="J3289">
        <v>5</v>
      </c>
    </row>
    <row r="3290" spans="1:10">
      <c r="A3290" t="s">
        <v>5694</v>
      </c>
      <c r="B3290" t="s">
        <v>5695</v>
      </c>
      <c r="C3290" t="s">
        <v>2235</v>
      </c>
      <c r="D3290" s="9">
        <v>45388</v>
      </c>
      <c r="E3290" t="s">
        <v>23</v>
      </c>
      <c r="G3290" t="s">
        <v>2328</v>
      </c>
      <c r="H3290">
        <v>3000</v>
      </c>
      <c r="I3290" s="16" t="str">
        <f t="shared" si="51"/>
        <v>Normal</v>
      </c>
      <c r="J3290" t="s">
        <v>39</v>
      </c>
    </row>
    <row r="3291" spans="1:10">
      <c r="A3291" t="s">
        <v>5696</v>
      </c>
      <c r="B3291" t="s">
        <v>634</v>
      </c>
      <c r="C3291" t="s">
        <v>2216</v>
      </c>
      <c r="D3291" s="9">
        <v>45873</v>
      </c>
      <c r="E3291" t="s">
        <v>2330</v>
      </c>
      <c r="G3291" t="s">
        <v>2345</v>
      </c>
      <c r="H3291">
        <v>1200</v>
      </c>
      <c r="I3291" s="16" t="str">
        <f t="shared" si="51"/>
        <v>Normal</v>
      </c>
      <c r="J3291">
        <v>3</v>
      </c>
    </row>
    <row r="3292" spans="1:10">
      <c r="A3292" t="s">
        <v>5697</v>
      </c>
      <c r="B3292" t="s">
        <v>626</v>
      </c>
      <c r="C3292" t="s">
        <v>2233</v>
      </c>
      <c r="D3292" s="9">
        <v>45542</v>
      </c>
      <c r="E3292" t="s">
        <v>2330</v>
      </c>
      <c r="F3292" s="20">
        <v>100</v>
      </c>
      <c r="G3292" t="s">
        <v>2331</v>
      </c>
      <c r="H3292">
        <v>2500</v>
      </c>
      <c r="I3292" s="16" t="str">
        <f t="shared" si="51"/>
        <v>Normal</v>
      </c>
      <c r="J3292">
        <v>5</v>
      </c>
    </row>
    <row r="3293" spans="1:10">
      <c r="A3293" t="s">
        <v>5698</v>
      </c>
      <c r="B3293" t="s">
        <v>795</v>
      </c>
      <c r="C3293" t="s">
        <v>2193</v>
      </c>
      <c r="D3293" s="9">
        <v>45981</v>
      </c>
      <c r="E3293" t="s">
        <v>2327</v>
      </c>
      <c r="F3293" s="20">
        <v>0</v>
      </c>
      <c r="G3293" t="s">
        <v>2325</v>
      </c>
      <c r="H3293">
        <v>0</v>
      </c>
      <c r="I3293" s="16" t="str">
        <f t="shared" si="51"/>
        <v>Zero Amount</v>
      </c>
      <c r="J3293">
        <v>1</v>
      </c>
    </row>
    <row r="3294" spans="1:10">
      <c r="A3294" t="s">
        <v>5699</v>
      </c>
      <c r="B3294" t="s">
        <v>2122</v>
      </c>
      <c r="C3294" t="s">
        <v>2241</v>
      </c>
      <c r="D3294" s="9">
        <v>46079</v>
      </c>
      <c r="E3294" t="s">
        <v>2324</v>
      </c>
      <c r="F3294" s="20">
        <v>25</v>
      </c>
      <c r="G3294" t="s">
        <v>2328</v>
      </c>
      <c r="H3294">
        <v>2500</v>
      </c>
      <c r="I3294" s="16" t="str">
        <f t="shared" si="51"/>
        <v>Normal</v>
      </c>
      <c r="J3294">
        <v>5</v>
      </c>
    </row>
    <row r="3295" spans="1:10">
      <c r="A3295" t="s">
        <v>5700</v>
      </c>
      <c r="B3295" t="s">
        <v>566</v>
      </c>
      <c r="C3295" t="s">
        <v>2244</v>
      </c>
      <c r="D3295" s="9">
        <v>45925</v>
      </c>
      <c r="E3295" t="s">
        <v>2330</v>
      </c>
      <c r="F3295" s="20">
        <v>100</v>
      </c>
      <c r="G3295" t="s">
        <v>2345</v>
      </c>
      <c r="H3295">
        <v>1200</v>
      </c>
      <c r="I3295" s="16" t="str">
        <f t="shared" si="51"/>
        <v>Normal</v>
      </c>
      <c r="J3295">
        <v>3</v>
      </c>
    </row>
    <row r="3296" spans="1:10">
      <c r="A3296" t="s">
        <v>5701</v>
      </c>
      <c r="B3296" t="s">
        <v>1214</v>
      </c>
      <c r="C3296" t="s">
        <v>2271</v>
      </c>
      <c r="D3296" s="9">
        <v>46149</v>
      </c>
      <c r="E3296" t="s">
        <v>2324</v>
      </c>
      <c r="F3296" s="20">
        <v>10</v>
      </c>
      <c r="G3296" t="s">
        <v>2331</v>
      </c>
      <c r="H3296">
        <v>1061.23</v>
      </c>
      <c r="I3296" s="16" t="str">
        <f t="shared" si="51"/>
        <v>Normal</v>
      </c>
      <c r="J3296">
        <v>5</v>
      </c>
    </row>
    <row r="3297" spans="1:10">
      <c r="A3297" t="s">
        <v>5702</v>
      </c>
      <c r="B3297" t="s">
        <v>1373</v>
      </c>
      <c r="C3297" t="s">
        <v>2267</v>
      </c>
      <c r="D3297" s="9">
        <v>45451</v>
      </c>
      <c r="E3297" t="s">
        <v>2330</v>
      </c>
      <c r="F3297" s="20">
        <v>100</v>
      </c>
      <c r="G3297" t="s">
        <v>2325</v>
      </c>
      <c r="H3297">
        <v>999.99</v>
      </c>
      <c r="I3297" s="16" t="str">
        <f t="shared" si="51"/>
        <v>Normal</v>
      </c>
      <c r="J3297">
        <v>5</v>
      </c>
    </row>
    <row r="3298" spans="1:10">
      <c r="A3298" t="s">
        <v>5703</v>
      </c>
      <c r="B3298" t="s">
        <v>1233</v>
      </c>
      <c r="C3298" t="s">
        <v>2231</v>
      </c>
      <c r="D3298" s="9">
        <v>45220</v>
      </c>
      <c r="E3298" t="s">
        <v>2330</v>
      </c>
      <c r="F3298" s="20">
        <v>100</v>
      </c>
      <c r="G3298" t="s">
        <v>23</v>
      </c>
      <c r="H3298">
        <v>3000</v>
      </c>
      <c r="I3298" s="16" t="str">
        <f t="shared" si="51"/>
        <v>Normal</v>
      </c>
      <c r="J3298" t="s">
        <v>39</v>
      </c>
    </row>
    <row r="3299" spans="1:10">
      <c r="A3299" t="s">
        <v>5704</v>
      </c>
      <c r="B3299" t="s">
        <v>1820</v>
      </c>
      <c r="C3299" t="s">
        <v>2209</v>
      </c>
      <c r="D3299" s="9">
        <v>45735</v>
      </c>
      <c r="E3299" t="s">
        <v>23</v>
      </c>
      <c r="G3299" t="s">
        <v>2328</v>
      </c>
      <c r="H3299">
        <v>499</v>
      </c>
      <c r="I3299" s="16" t="str">
        <f t="shared" si="51"/>
        <v>Normal</v>
      </c>
      <c r="J3299" t="s">
        <v>39</v>
      </c>
    </row>
    <row r="3300" spans="1:10">
      <c r="A3300" t="s">
        <v>5705</v>
      </c>
      <c r="B3300" t="s">
        <v>1373</v>
      </c>
      <c r="C3300" t="s">
        <v>2249</v>
      </c>
      <c r="D3300" s="9">
        <v>46094</v>
      </c>
      <c r="E3300" t="s">
        <v>2324</v>
      </c>
      <c r="F3300" s="20">
        <v>55</v>
      </c>
      <c r="G3300" t="s">
        <v>2345</v>
      </c>
      <c r="H3300">
        <v>-1500</v>
      </c>
      <c r="I3300" s="16" t="str">
        <f t="shared" si="51"/>
        <v>Review</v>
      </c>
      <c r="J3300">
        <v>4</v>
      </c>
    </row>
    <row r="3301" spans="1:10">
      <c r="A3301" t="s">
        <v>5706</v>
      </c>
      <c r="B3301" t="s">
        <v>1330</v>
      </c>
      <c r="C3301" t="s">
        <v>2237</v>
      </c>
      <c r="D3301" s="9">
        <v>45865</v>
      </c>
      <c r="E3301" t="s">
        <v>2324</v>
      </c>
      <c r="F3301" s="20">
        <v>60</v>
      </c>
      <c r="G3301" t="s">
        <v>2331</v>
      </c>
      <c r="H3301">
        <v>1500</v>
      </c>
      <c r="I3301" s="16" t="str">
        <f t="shared" si="51"/>
        <v>Normal</v>
      </c>
      <c r="J3301">
        <v>4</v>
      </c>
    </row>
    <row r="3302" spans="1:10">
      <c r="A3302" t="s">
        <v>5707</v>
      </c>
      <c r="B3302" t="s">
        <v>137</v>
      </c>
      <c r="C3302" t="s">
        <v>2271</v>
      </c>
      <c r="D3302" s="9">
        <v>45712</v>
      </c>
      <c r="E3302" t="s">
        <v>2324</v>
      </c>
      <c r="F3302" s="20">
        <v>75</v>
      </c>
      <c r="G3302" t="s">
        <v>2328</v>
      </c>
      <c r="I3302" s="16" t="str">
        <f t="shared" si="51"/>
        <v>Unknown</v>
      </c>
      <c r="J3302">
        <v>1</v>
      </c>
    </row>
    <row r="3303" spans="1:10">
      <c r="A3303" t="s">
        <v>5708</v>
      </c>
      <c r="B3303" t="s">
        <v>531</v>
      </c>
      <c r="C3303" t="s">
        <v>2247</v>
      </c>
      <c r="D3303" s="9">
        <v>45927</v>
      </c>
      <c r="E3303" t="s">
        <v>2324</v>
      </c>
      <c r="F3303" s="20">
        <v>55</v>
      </c>
      <c r="G3303" t="s">
        <v>2331</v>
      </c>
      <c r="I3303" s="16" t="str">
        <f t="shared" si="51"/>
        <v>Unknown</v>
      </c>
      <c r="J3303" t="s">
        <v>39</v>
      </c>
    </row>
    <row r="3304" spans="1:10">
      <c r="A3304" t="s">
        <v>5709</v>
      </c>
      <c r="B3304" t="s">
        <v>1091</v>
      </c>
      <c r="C3304" t="s">
        <v>2271</v>
      </c>
      <c r="D3304" s="9">
        <v>45687</v>
      </c>
      <c r="E3304" t="s">
        <v>2330</v>
      </c>
      <c r="F3304" s="20">
        <v>100</v>
      </c>
      <c r="G3304" t="s">
        <v>2339</v>
      </c>
      <c r="H3304">
        <v>1200</v>
      </c>
      <c r="I3304" s="16" t="str">
        <f t="shared" si="51"/>
        <v>Normal</v>
      </c>
      <c r="J3304">
        <v>4</v>
      </c>
    </row>
    <row r="3305" spans="1:10">
      <c r="A3305" t="s">
        <v>5710</v>
      </c>
      <c r="B3305" t="s">
        <v>1187</v>
      </c>
      <c r="C3305" t="s">
        <v>2205</v>
      </c>
      <c r="D3305" s="9">
        <v>45534</v>
      </c>
      <c r="E3305" t="s">
        <v>2324</v>
      </c>
      <c r="F3305" s="20">
        <v>25</v>
      </c>
      <c r="G3305" t="s">
        <v>2339</v>
      </c>
      <c r="H3305">
        <v>1500</v>
      </c>
      <c r="I3305" s="16" t="str">
        <f t="shared" si="51"/>
        <v>Normal</v>
      </c>
      <c r="J3305" t="s">
        <v>39</v>
      </c>
    </row>
    <row r="3306" spans="1:10">
      <c r="A3306" t="s">
        <v>5711</v>
      </c>
      <c r="B3306" t="s">
        <v>2678</v>
      </c>
      <c r="C3306" t="s">
        <v>2231</v>
      </c>
      <c r="D3306" s="9">
        <v>45860</v>
      </c>
      <c r="E3306" t="s">
        <v>2324</v>
      </c>
      <c r="F3306" s="20">
        <v>10</v>
      </c>
      <c r="G3306" t="s">
        <v>2339</v>
      </c>
      <c r="H3306">
        <v>3000</v>
      </c>
      <c r="I3306" s="16" t="str">
        <f t="shared" si="51"/>
        <v>Normal</v>
      </c>
      <c r="J3306" t="s">
        <v>39</v>
      </c>
    </row>
    <row r="3307" spans="1:10">
      <c r="A3307" t="s">
        <v>5712</v>
      </c>
      <c r="B3307" t="s">
        <v>376</v>
      </c>
      <c r="C3307" t="s">
        <v>2222</v>
      </c>
      <c r="D3307" s="9">
        <v>45315</v>
      </c>
      <c r="E3307" t="s">
        <v>23</v>
      </c>
      <c r="G3307" t="s">
        <v>2331</v>
      </c>
      <c r="H3307">
        <v>0</v>
      </c>
      <c r="I3307" s="16" t="str">
        <f t="shared" si="51"/>
        <v>Zero Amount</v>
      </c>
      <c r="J3307">
        <v>2</v>
      </c>
    </row>
    <row r="3308" spans="1:10">
      <c r="A3308" t="s">
        <v>5713</v>
      </c>
      <c r="B3308" t="s">
        <v>585</v>
      </c>
      <c r="C3308" t="s">
        <v>2193</v>
      </c>
      <c r="D3308" s="9">
        <v>45197</v>
      </c>
      <c r="E3308" t="s">
        <v>2330</v>
      </c>
      <c r="F3308" s="20">
        <v>100</v>
      </c>
      <c r="G3308" t="s">
        <v>2328</v>
      </c>
      <c r="H3308">
        <v>0</v>
      </c>
      <c r="I3308" s="16" t="str">
        <f t="shared" si="51"/>
        <v>Zero Amount</v>
      </c>
      <c r="J3308" t="s">
        <v>39</v>
      </c>
    </row>
    <row r="3309" spans="1:10">
      <c r="A3309" t="s">
        <v>5714</v>
      </c>
      <c r="B3309" t="s">
        <v>1001</v>
      </c>
      <c r="C3309" t="s">
        <v>2235</v>
      </c>
      <c r="D3309" s="9">
        <v>45753</v>
      </c>
      <c r="E3309" t="s">
        <v>2330</v>
      </c>
      <c r="F3309" s="20">
        <v>100</v>
      </c>
      <c r="G3309" t="s">
        <v>2339</v>
      </c>
      <c r="H3309">
        <v>3000</v>
      </c>
      <c r="I3309" s="16" t="str">
        <f t="shared" si="51"/>
        <v>Normal</v>
      </c>
      <c r="J3309">
        <v>5</v>
      </c>
    </row>
    <row r="3310" spans="1:10">
      <c r="A3310" t="s">
        <v>5715</v>
      </c>
      <c r="B3310" t="s">
        <v>1143</v>
      </c>
      <c r="C3310" t="s">
        <v>2193</v>
      </c>
      <c r="D3310" s="9">
        <v>46059</v>
      </c>
      <c r="E3310" t="s">
        <v>2324</v>
      </c>
      <c r="F3310" s="20">
        <v>75</v>
      </c>
      <c r="G3310" t="s">
        <v>2331</v>
      </c>
      <c r="H3310">
        <v>0</v>
      </c>
      <c r="I3310" s="16" t="str">
        <f t="shared" si="51"/>
        <v>Zero Amount</v>
      </c>
      <c r="J3310">
        <v>1</v>
      </c>
    </row>
    <row r="3311" spans="1:10">
      <c r="A3311" t="s">
        <v>5716</v>
      </c>
      <c r="B3311" t="s">
        <v>660</v>
      </c>
      <c r="C3311" t="s">
        <v>2259</v>
      </c>
      <c r="D3311" s="9">
        <v>45452</v>
      </c>
      <c r="E3311" t="s">
        <v>2330</v>
      </c>
      <c r="G3311" t="s">
        <v>2339</v>
      </c>
      <c r="H3311">
        <v>0</v>
      </c>
      <c r="I3311" s="16" t="str">
        <f t="shared" si="51"/>
        <v>Zero Amount</v>
      </c>
      <c r="J3311" t="s">
        <v>39</v>
      </c>
    </row>
    <row r="3312" spans="1:10">
      <c r="A3312" t="s">
        <v>5717</v>
      </c>
      <c r="B3312" t="s">
        <v>2147</v>
      </c>
      <c r="C3312" t="s">
        <v>2213</v>
      </c>
      <c r="D3312" s="9">
        <v>45386</v>
      </c>
      <c r="E3312" t="s">
        <v>2330</v>
      </c>
      <c r="F3312" s="20">
        <v>100</v>
      </c>
      <c r="G3312" t="s">
        <v>2345</v>
      </c>
      <c r="H3312">
        <v>1500</v>
      </c>
      <c r="I3312" s="16" t="str">
        <f t="shared" si="51"/>
        <v>Normal</v>
      </c>
      <c r="J3312">
        <v>2</v>
      </c>
    </row>
    <row r="3313" spans="1:10">
      <c r="A3313" t="s">
        <v>5718</v>
      </c>
      <c r="B3313" t="s">
        <v>2122</v>
      </c>
      <c r="C3313" t="s">
        <v>2218</v>
      </c>
      <c r="D3313" s="9">
        <v>45882</v>
      </c>
      <c r="E3313" t="s">
        <v>2327</v>
      </c>
      <c r="F3313" s="20">
        <v>0</v>
      </c>
      <c r="G3313" t="s">
        <v>2331</v>
      </c>
      <c r="H3313">
        <v>1500</v>
      </c>
      <c r="I3313" s="16" t="str">
        <f t="shared" si="51"/>
        <v>Normal</v>
      </c>
      <c r="J3313">
        <v>5</v>
      </c>
    </row>
    <row r="3314" spans="1:10">
      <c r="A3314" t="s">
        <v>5719</v>
      </c>
      <c r="B3314" t="s">
        <v>645</v>
      </c>
      <c r="C3314" t="s">
        <v>2228</v>
      </c>
      <c r="D3314" s="9">
        <v>45681</v>
      </c>
      <c r="E3314" t="s">
        <v>2324</v>
      </c>
      <c r="F3314" s="20">
        <v>60</v>
      </c>
      <c r="G3314" t="s">
        <v>2345</v>
      </c>
      <c r="H3314">
        <v>799</v>
      </c>
      <c r="I3314" s="16" t="str">
        <f t="shared" si="51"/>
        <v>Normal</v>
      </c>
      <c r="J3314">
        <v>4</v>
      </c>
    </row>
    <row r="3315" spans="1:10">
      <c r="A3315" t="s">
        <v>5720</v>
      </c>
      <c r="B3315" t="s">
        <v>1075</v>
      </c>
      <c r="C3315" t="s">
        <v>2273</v>
      </c>
      <c r="D3315" s="9">
        <v>45532</v>
      </c>
      <c r="E3315" t="s">
        <v>2330</v>
      </c>
      <c r="G3315" t="s">
        <v>2325</v>
      </c>
      <c r="H3315">
        <v>799</v>
      </c>
      <c r="I3315" s="16" t="str">
        <f t="shared" si="51"/>
        <v>Normal</v>
      </c>
      <c r="J3315" t="s">
        <v>39</v>
      </c>
    </row>
    <row r="3316" spans="1:10">
      <c r="A3316" t="s">
        <v>5721</v>
      </c>
      <c r="B3316" t="s">
        <v>2769</v>
      </c>
      <c r="C3316" t="s">
        <v>2225</v>
      </c>
      <c r="D3316" s="9">
        <v>46107</v>
      </c>
      <c r="E3316" t="s">
        <v>2337</v>
      </c>
      <c r="F3316" s="20">
        <v>0</v>
      </c>
      <c r="G3316" t="s">
        <v>2331</v>
      </c>
      <c r="I3316" s="16" t="str">
        <f t="shared" si="51"/>
        <v>Unknown</v>
      </c>
      <c r="J3316" t="s">
        <v>39</v>
      </c>
    </row>
    <row r="3317" spans="1:10">
      <c r="A3317" t="s">
        <v>5722</v>
      </c>
      <c r="B3317" t="s">
        <v>457</v>
      </c>
      <c r="C3317" t="s">
        <v>2213</v>
      </c>
      <c r="D3317" s="9">
        <v>45270</v>
      </c>
      <c r="E3317" t="s">
        <v>2330</v>
      </c>
      <c r="F3317" s="20">
        <v>100</v>
      </c>
      <c r="G3317" t="s">
        <v>2331</v>
      </c>
      <c r="H3317">
        <v>1500</v>
      </c>
      <c r="I3317" s="16" t="str">
        <f t="shared" si="51"/>
        <v>Normal</v>
      </c>
      <c r="J3317">
        <v>2</v>
      </c>
    </row>
    <row r="3318" spans="1:10">
      <c r="A3318" t="s">
        <v>5723</v>
      </c>
      <c r="B3318" t="s">
        <v>1755</v>
      </c>
      <c r="C3318" t="s">
        <v>2198</v>
      </c>
      <c r="D3318" s="9">
        <v>46145</v>
      </c>
      <c r="E3318" t="s">
        <v>2330</v>
      </c>
      <c r="F3318" s="20">
        <v>100</v>
      </c>
      <c r="G3318" t="s">
        <v>2328</v>
      </c>
      <c r="I3318" s="16" t="str">
        <f t="shared" si="51"/>
        <v>Unknown</v>
      </c>
      <c r="J3318">
        <v>4</v>
      </c>
    </row>
    <row r="3319" spans="1:10">
      <c r="A3319" t="s">
        <v>5724</v>
      </c>
      <c r="B3319" t="s">
        <v>688</v>
      </c>
      <c r="C3319" t="s">
        <v>2271</v>
      </c>
      <c r="D3319" s="9">
        <v>45990</v>
      </c>
      <c r="E3319" t="s">
        <v>2337</v>
      </c>
      <c r="G3319" t="s">
        <v>23</v>
      </c>
      <c r="H3319">
        <v>1200</v>
      </c>
      <c r="I3319" s="16" t="str">
        <f t="shared" si="51"/>
        <v>Normal</v>
      </c>
      <c r="J3319">
        <v>4</v>
      </c>
    </row>
    <row r="3320" spans="1:10">
      <c r="A3320" t="s">
        <v>5725</v>
      </c>
      <c r="B3320" t="s">
        <v>914</v>
      </c>
      <c r="C3320" t="s">
        <v>2222</v>
      </c>
      <c r="D3320" s="9">
        <v>46070</v>
      </c>
      <c r="E3320" t="s">
        <v>2324</v>
      </c>
      <c r="G3320" t="s">
        <v>2339</v>
      </c>
      <c r="H3320">
        <v>0</v>
      </c>
      <c r="I3320" s="16" t="str">
        <f t="shared" si="51"/>
        <v>Zero Amount</v>
      </c>
      <c r="J3320" t="s">
        <v>39</v>
      </c>
    </row>
    <row r="3321" spans="1:10">
      <c r="A3321" t="s">
        <v>5726</v>
      </c>
      <c r="B3321" t="s">
        <v>357</v>
      </c>
      <c r="C3321" t="s">
        <v>2271</v>
      </c>
      <c r="D3321" s="9">
        <v>45420</v>
      </c>
      <c r="E3321" t="s">
        <v>2330</v>
      </c>
      <c r="F3321" s="20">
        <v>100</v>
      </c>
      <c r="G3321" t="s">
        <v>2325</v>
      </c>
      <c r="H3321">
        <v>1200</v>
      </c>
      <c r="I3321" s="16" t="str">
        <f t="shared" si="51"/>
        <v>Normal</v>
      </c>
      <c r="J3321">
        <v>5</v>
      </c>
    </row>
    <row r="3322" spans="1:10">
      <c r="A3322" t="s">
        <v>5727</v>
      </c>
      <c r="B3322" t="s">
        <v>192</v>
      </c>
      <c r="C3322" t="s">
        <v>2198</v>
      </c>
      <c r="D3322" s="9">
        <v>45811</v>
      </c>
      <c r="E3322" t="s">
        <v>2330</v>
      </c>
      <c r="G3322" t="s">
        <v>2345</v>
      </c>
      <c r="I3322" s="16" t="str">
        <f t="shared" si="51"/>
        <v>Unknown</v>
      </c>
      <c r="J3322">
        <v>5</v>
      </c>
    </row>
    <row r="3323" spans="1:10">
      <c r="A3323" t="s">
        <v>5728</v>
      </c>
      <c r="B3323" t="s">
        <v>2057</v>
      </c>
      <c r="C3323" t="s">
        <v>2244</v>
      </c>
      <c r="D3323" s="9">
        <v>45188</v>
      </c>
      <c r="E3323" t="s">
        <v>2324</v>
      </c>
      <c r="F3323" s="20">
        <v>60</v>
      </c>
      <c r="G3323" t="s">
        <v>2345</v>
      </c>
      <c r="H3323">
        <v>1200</v>
      </c>
      <c r="I3323" s="16" t="str">
        <f t="shared" si="51"/>
        <v>Normal</v>
      </c>
      <c r="J3323">
        <v>4</v>
      </c>
    </row>
    <row r="3324" spans="1:10">
      <c r="A3324" t="s">
        <v>5729</v>
      </c>
      <c r="B3324" t="s">
        <v>1357</v>
      </c>
      <c r="C3324" t="s">
        <v>2209</v>
      </c>
      <c r="D3324" s="9">
        <v>46193</v>
      </c>
      <c r="E3324" t="s">
        <v>2324</v>
      </c>
      <c r="G3324" t="s">
        <v>2345</v>
      </c>
      <c r="H3324">
        <v>499</v>
      </c>
      <c r="I3324" s="16" t="str">
        <f t="shared" si="51"/>
        <v>Normal</v>
      </c>
      <c r="J3324">
        <v>4</v>
      </c>
    </row>
    <row r="3325" spans="1:10">
      <c r="A3325" t="s">
        <v>5730</v>
      </c>
      <c r="B3325" t="s">
        <v>1902</v>
      </c>
      <c r="C3325" t="s">
        <v>2205</v>
      </c>
      <c r="D3325" s="9">
        <v>45583</v>
      </c>
      <c r="E3325" t="s">
        <v>2330</v>
      </c>
      <c r="F3325" s="20">
        <v>100</v>
      </c>
      <c r="G3325" t="s">
        <v>2325</v>
      </c>
      <c r="H3325">
        <v>1500</v>
      </c>
      <c r="I3325" s="16" t="str">
        <f t="shared" si="51"/>
        <v>Normal</v>
      </c>
      <c r="J3325">
        <v>1</v>
      </c>
    </row>
    <row r="3326" spans="1:10">
      <c r="A3326" t="s">
        <v>5731</v>
      </c>
      <c r="B3326" t="s">
        <v>383</v>
      </c>
      <c r="C3326" t="s">
        <v>2235</v>
      </c>
      <c r="D3326" s="9">
        <v>45142</v>
      </c>
      <c r="E3326" t="s">
        <v>2330</v>
      </c>
      <c r="F3326" s="20">
        <v>100</v>
      </c>
      <c r="G3326" t="s">
        <v>2328</v>
      </c>
      <c r="H3326">
        <v>3000</v>
      </c>
      <c r="I3326" s="16" t="str">
        <f t="shared" si="51"/>
        <v>Normal</v>
      </c>
      <c r="J3326">
        <v>4</v>
      </c>
    </row>
    <row r="3327" spans="1:10">
      <c r="A3327" t="s">
        <v>5732</v>
      </c>
      <c r="B3327" t="s">
        <v>5733</v>
      </c>
      <c r="C3327" t="s">
        <v>2193</v>
      </c>
      <c r="D3327" s="9">
        <v>45932</v>
      </c>
      <c r="E3327" t="s">
        <v>2324</v>
      </c>
      <c r="F3327" s="20">
        <v>55</v>
      </c>
      <c r="G3327" t="s">
        <v>2325</v>
      </c>
      <c r="H3327">
        <v>0</v>
      </c>
      <c r="I3327" s="16" t="str">
        <f t="shared" si="51"/>
        <v>Zero Amount</v>
      </c>
      <c r="J3327" t="s">
        <v>39</v>
      </c>
    </row>
    <row r="3328" spans="1:10">
      <c r="A3328" t="s">
        <v>5734</v>
      </c>
      <c r="B3328" t="s">
        <v>2030</v>
      </c>
      <c r="C3328" t="s">
        <v>2271</v>
      </c>
      <c r="D3328" s="9">
        <v>45829</v>
      </c>
      <c r="E3328" t="s">
        <v>2324</v>
      </c>
      <c r="F3328" s="20">
        <v>60</v>
      </c>
      <c r="G3328" t="s">
        <v>23</v>
      </c>
      <c r="H3328">
        <v>720.1</v>
      </c>
      <c r="I3328" s="16" t="str">
        <f t="shared" si="51"/>
        <v>Normal</v>
      </c>
      <c r="J3328" t="s">
        <v>39</v>
      </c>
    </row>
    <row r="3329" spans="1:10">
      <c r="A3329" t="s">
        <v>5735</v>
      </c>
      <c r="B3329" t="s">
        <v>1107</v>
      </c>
      <c r="C3329" t="s">
        <v>2193</v>
      </c>
      <c r="D3329" s="9">
        <v>45398</v>
      </c>
      <c r="E3329" t="s">
        <v>2330</v>
      </c>
      <c r="F3329" s="20">
        <v>100</v>
      </c>
      <c r="G3329" t="s">
        <v>2325</v>
      </c>
      <c r="H3329">
        <v>0</v>
      </c>
      <c r="I3329" s="16" t="str">
        <f t="shared" si="51"/>
        <v>Zero Amount</v>
      </c>
      <c r="J3329" t="s">
        <v>39</v>
      </c>
    </row>
    <row r="3330" spans="1:10">
      <c r="A3330" t="s">
        <v>5736</v>
      </c>
      <c r="B3330" t="s">
        <v>622</v>
      </c>
      <c r="C3330" t="s">
        <v>2187</v>
      </c>
      <c r="D3330" s="9">
        <v>45639</v>
      </c>
      <c r="E3330" t="s">
        <v>2330</v>
      </c>
      <c r="G3330" t="s">
        <v>2328</v>
      </c>
      <c r="H3330">
        <v>-799</v>
      </c>
      <c r="I3330" s="16" t="str">
        <f t="shared" si="51"/>
        <v>Review</v>
      </c>
      <c r="J3330">
        <v>2</v>
      </c>
    </row>
    <row r="3331" spans="1:10">
      <c r="A3331" t="s">
        <v>5737</v>
      </c>
      <c r="B3331" t="s">
        <v>145</v>
      </c>
      <c r="C3331" t="s">
        <v>2237</v>
      </c>
      <c r="D3331" s="9">
        <v>46011</v>
      </c>
      <c r="E3331" t="s">
        <v>2330</v>
      </c>
      <c r="G3331" t="s">
        <v>2328</v>
      </c>
      <c r="H3331">
        <v>942.52</v>
      </c>
      <c r="I3331" s="16" t="str">
        <f t="shared" ref="I3331:I3394" si="52">IF(H3331="", "Unknown", IF(H3331=0, "Zero Amount", IF(H3331&lt;1, "Review", IF(H3331&gt;1, "Normal"))))</f>
        <v>Normal</v>
      </c>
      <c r="J3331">
        <v>5</v>
      </c>
    </row>
    <row r="3332" spans="1:10">
      <c r="A3332" t="s">
        <v>5738</v>
      </c>
      <c r="B3332" t="s">
        <v>1303</v>
      </c>
      <c r="C3332" t="s">
        <v>2193</v>
      </c>
      <c r="D3332" s="9">
        <v>46175</v>
      </c>
      <c r="E3332" t="s">
        <v>23</v>
      </c>
      <c r="G3332" t="s">
        <v>2339</v>
      </c>
      <c r="H3332">
        <v>0</v>
      </c>
      <c r="I3332" s="16" t="str">
        <f t="shared" si="52"/>
        <v>Zero Amount</v>
      </c>
      <c r="J3332">
        <v>5</v>
      </c>
    </row>
    <row r="3333" spans="1:10">
      <c r="A3333" t="s">
        <v>5739</v>
      </c>
      <c r="B3333" t="s">
        <v>1347</v>
      </c>
      <c r="C3333" t="s">
        <v>2257</v>
      </c>
      <c r="D3333" s="9">
        <v>45366</v>
      </c>
      <c r="E3333" t="s">
        <v>23</v>
      </c>
      <c r="G3333" t="s">
        <v>2328</v>
      </c>
      <c r="I3333" s="16" t="str">
        <f t="shared" si="52"/>
        <v>Unknown</v>
      </c>
      <c r="J3333" t="s">
        <v>39</v>
      </c>
    </row>
    <row r="3334" spans="1:10">
      <c r="A3334" t="s">
        <v>5740</v>
      </c>
      <c r="B3334" t="s">
        <v>803</v>
      </c>
      <c r="C3334" t="s">
        <v>2202</v>
      </c>
      <c r="D3334" s="9">
        <v>45345</v>
      </c>
      <c r="E3334" t="s">
        <v>2330</v>
      </c>
      <c r="F3334" s="20">
        <v>100</v>
      </c>
      <c r="G3334" t="s">
        <v>2331</v>
      </c>
      <c r="H3334">
        <v>999.99</v>
      </c>
      <c r="I3334" s="16" t="str">
        <f t="shared" si="52"/>
        <v>Normal</v>
      </c>
      <c r="J3334">
        <v>1</v>
      </c>
    </row>
    <row r="3335" spans="1:10">
      <c r="A3335" t="s">
        <v>5741</v>
      </c>
      <c r="B3335" t="s">
        <v>380</v>
      </c>
      <c r="C3335" t="s">
        <v>2251</v>
      </c>
      <c r="D3335" s="9">
        <v>45808</v>
      </c>
      <c r="E3335" t="s">
        <v>2330</v>
      </c>
      <c r="F3335" s="20">
        <v>100</v>
      </c>
      <c r="G3335" t="s">
        <v>23</v>
      </c>
      <c r="H3335">
        <v>1500</v>
      </c>
      <c r="I3335" s="16" t="str">
        <f t="shared" si="52"/>
        <v>Normal</v>
      </c>
      <c r="J3335">
        <v>3</v>
      </c>
    </row>
    <row r="3336" spans="1:10">
      <c r="A3336" t="s">
        <v>5742</v>
      </c>
      <c r="B3336" t="s">
        <v>159</v>
      </c>
      <c r="C3336" t="s">
        <v>2213</v>
      </c>
      <c r="D3336" s="9">
        <v>45334</v>
      </c>
      <c r="E3336" t="s">
        <v>2337</v>
      </c>
      <c r="F3336" s="20">
        <v>5</v>
      </c>
      <c r="G3336" t="s">
        <v>23</v>
      </c>
      <c r="H3336">
        <v>-1500</v>
      </c>
      <c r="I3336" s="16" t="str">
        <f t="shared" si="52"/>
        <v>Review</v>
      </c>
      <c r="J3336" t="s">
        <v>39</v>
      </c>
    </row>
    <row r="3337" spans="1:10">
      <c r="A3337" t="s">
        <v>5743</v>
      </c>
      <c r="B3337" t="s">
        <v>125</v>
      </c>
      <c r="C3337" t="s">
        <v>2187</v>
      </c>
      <c r="D3337" s="9">
        <v>45023</v>
      </c>
      <c r="E3337" t="s">
        <v>2330</v>
      </c>
      <c r="G3337" t="s">
        <v>2328</v>
      </c>
      <c r="H3337">
        <v>799</v>
      </c>
      <c r="I3337" s="16" t="str">
        <f t="shared" si="52"/>
        <v>Normal</v>
      </c>
      <c r="J3337">
        <v>4</v>
      </c>
    </row>
    <row r="3338" spans="1:10">
      <c r="A3338" t="s">
        <v>5744</v>
      </c>
      <c r="B3338" t="s">
        <v>1483</v>
      </c>
      <c r="C3338" t="s">
        <v>2253</v>
      </c>
      <c r="D3338" s="9">
        <v>45365</v>
      </c>
      <c r="E3338" t="s">
        <v>2330</v>
      </c>
      <c r="F3338" s="20">
        <v>100</v>
      </c>
      <c r="G3338" t="s">
        <v>2325</v>
      </c>
      <c r="H3338">
        <v>1046.6300000000001</v>
      </c>
      <c r="I3338" s="16" t="str">
        <f t="shared" si="52"/>
        <v>Normal</v>
      </c>
      <c r="J3338" t="s">
        <v>39</v>
      </c>
    </row>
    <row r="3339" spans="1:10">
      <c r="A3339" t="s">
        <v>5745</v>
      </c>
      <c r="B3339" t="s">
        <v>840</v>
      </c>
      <c r="C3339" t="s">
        <v>2257</v>
      </c>
      <c r="D3339" s="9">
        <v>45120</v>
      </c>
      <c r="E3339" t="s">
        <v>2330</v>
      </c>
      <c r="F3339" s="20">
        <v>100</v>
      </c>
      <c r="G3339" t="s">
        <v>2331</v>
      </c>
      <c r="I3339" s="16" t="str">
        <f t="shared" si="52"/>
        <v>Unknown</v>
      </c>
      <c r="J3339" t="s">
        <v>39</v>
      </c>
    </row>
    <row r="3340" spans="1:10">
      <c r="A3340" t="s">
        <v>5746</v>
      </c>
      <c r="B3340" t="s">
        <v>1937</v>
      </c>
      <c r="C3340" t="s">
        <v>2267</v>
      </c>
      <c r="D3340" s="9">
        <v>45768</v>
      </c>
      <c r="E3340" t="s">
        <v>2330</v>
      </c>
      <c r="F3340" s="20">
        <v>100</v>
      </c>
      <c r="G3340" t="s">
        <v>2331</v>
      </c>
      <c r="H3340">
        <v>999.99</v>
      </c>
      <c r="I3340" s="16" t="str">
        <f t="shared" si="52"/>
        <v>Normal</v>
      </c>
      <c r="J3340">
        <v>4</v>
      </c>
    </row>
    <row r="3341" spans="1:10">
      <c r="A3341" t="s">
        <v>5747</v>
      </c>
      <c r="B3341" t="s">
        <v>1043</v>
      </c>
      <c r="C3341" t="s">
        <v>2251</v>
      </c>
      <c r="D3341" s="9">
        <v>46016</v>
      </c>
      <c r="E3341" t="s">
        <v>2337</v>
      </c>
      <c r="F3341" s="20">
        <v>5</v>
      </c>
      <c r="G3341" t="s">
        <v>2345</v>
      </c>
      <c r="H3341">
        <v>1500</v>
      </c>
      <c r="I3341" s="16" t="str">
        <f t="shared" si="52"/>
        <v>Normal</v>
      </c>
      <c r="J3341">
        <v>1</v>
      </c>
    </row>
    <row r="3342" spans="1:10">
      <c r="A3342" t="s">
        <v>5748</v>
      </c>
      <c r="B3342" t="s">
        <v>828</v>
      </c>
      <c r="C3342" t="s">
        <v>2269</v>
      </c>
      <c r="D3342" s="9">
        <v>45552</v>
      </c>
      <c r="E3342" t="s">
        <v>2337</v>
      </c>
      <c r="F3342" s="20">
        <v>15</v>
      </c>
      <c r="G3342" t="s">
        <v>2345</v>
      </c>
      <c r="H3342">
        <v>499</v>
      </c>
      <c r="I3342" s="16" t="str">
        <f t="shared" si="52"/>
        <v>Normal</v>
      </c>
      <c r="J3342">
        <v>5</v>
      </c>
    </row>
    <row r="3343" spans="1:10">
      <c r="A3343" t="s">
        <v>5749</v>
      </c>
      <c r="B3343" t="s">
        <v>1087</v>
      </c>
      <c r="C3343" t="s">
        <v>2271</v>
      </c>
      <c r="D3343" s="9">
        <v>45702</v>
      </c>
      <c r="E3343" t="s">
        <v>2330</v>
      </c>
      <c r="F3343" s="20">
        <v>100</v>
      </c>
      <c r="G3343" t="s">
        <v>2339</v>
      </c>
      <c r="H3343">
        <v>1200</v>
      </c>
      <c r="I3343" s="16" t="str">
        <f t="shared" si="52"/>
        <v>Normal</v>
      </c>
      <c r="J3343">
        <v>4</v>
      </c>
    </row>
    <row r="3344" spans="1:10">
      <c r="A3344" t="s">
        <v>5750</v>
      </c>
      <c r="B3344" t="s">
        <v>932</v>
      </c>
      <c r="C3344" t="s">
        <v>2235</v>
      </c>
      <c r="D3344" s="9">
        <v>45750</v>
      </c>
      <c r="E3344" t="s">
        <v>2330</v>
      </c>
      <c r="F3344" s="20">
        <v>100</v>
      </c>
      <c r="G3344" t="s">
        <v>2339</v>
      </c>
      <c r="H3344">
        <v>3000</v>
      </c>
      <c r="I3344" s="16" t="str">
        <f t="shared" si="52"/>
        <v>Normal</v>
      </c>
      <c r="J3344">
        <v>4</v>
      </c>
    </row>
    <row r="3345" spans="1:10">
      <c r="A3345" t="s">
        <v>5751</v>
      </c>
      <c r="B3345" t="s">
        <v>1945</v>
      </c>
      <c r="C3345" t="s">
        <v>2269</v>
      </c>
      <c r="D3345" s="9">
        <v>45549</v>
      </c>
      <c r="E3345" t="s">
        <v>2327</v>
      </c>
      <c r="F3345" s="20">
        <v>15</v>
      </c>
      <c r="G3345" t="s">
        <v>2345</v>
      </c>
      <c r="H3345">
        <v>403.55</v>
      </c>
      <c r="I3345" s="16" t="str">
        <f t="shared" si="52"/>
        <v>Normal</v>
      </c>
      <c r="J3345">
        <v>5</v>
      </c>
    </row>
    <row r="3346" spans="1:10">
      <c r="A3346" t="s">
        <v>5752</v>
      </c>
      <c r="B3346" t="s">
        <v>1339</v>
      </c>
      <c r="C3346" t="s">
        <v>2225</v>
      </c>
      <c r="D3346" s="9">
        <v>46027</v>
      </c>
      <c r="E3346" t="s">
        <v>2330</v>
      </c>
      <c r="F3346" s="20">
        <v>100</v>
      </c>
      <c r="G3346" t="s">
        <v>2328</v>
      </c>
      <c r="I3346" s="16" t="str">
        <f t="shared" si="52"/>
        <v>Unknown</v>
      </c>
      <c r="J3346">
        <v>4</v>
      </c>
    </row>
    <row r="3347" spans="1:10">
      <c r="A3347" t="s">
        <v>5753</v>
      </c>
      <c r="B3347" t="s">
        <v>129</v>
      </c>
      <c r="C3347" t="s">
        <v>2213</v>
      </c>
      <c r="D3347" s="9">
        <v>45734</v>
      </c>
      <c r="E3347" t="s">
        <v>2327</v>
      </c>
      <c r="F3347" s="20">
        <v>5</v>
      </c>
      <c r="G3347" t="s">
        <v>2325</v>
      </c>
      <c r="H3347">
        <v>1500</v>
      </c>
      <c r="I3347" s="16" t="str">
        <f t="shared" si="52"/>
        <v>Normal</v>
      </c>
      <c r="J3347">
        <v>4</v>
      </c>
    </row>
    <row r="3348" spans="1:10">
      <c r="A3348" t="s">
        <v>5754</v>
      </c>
      <c r="B3348" t="s">
        <v>2028</v>
      </c>
      <c r="C3348" t="s">
        <v>2257</v>
      </c>
      <c r="D3348" s="9">
        <v>45874</v>
      </c>
      <c r="E3348" t="s">
        <v>2330</v>
      </c>
      <c r="F3348" s="20">
        <v>100</v>
      </c>
      <c r="G3348" t="s">
        <v>2325</v>
      </c>
      <c r="I3348" s="16" t="str">
        <f t="shared" si="52"/>
        <v>Unknown</v>
      </c>
      <c r="J3348">
        <v>4</v>
      </c>
    </row>
    <row r="3349" spans="1:10">
      <c r="A3349" t="s">
        <v>5755</v>
      </c>
      <c r="B3349" t="s">
        <v>570</v>
      </c>
      <c r="C3349" t="s">
        <v>2216</v>
      </c>
      <c r="D3349" s="9">
        <v>46071</v>
      </c>
      <c r="E3349" t="s">
        <v>2330</v>
      </c>
      <c r="F3349" s="20">
        <v>100</v>
      </c>
      <c r="G3349" t="s">
        <v>2325</v>
      </c>
      <c r="H3349">
        <v>1200</v>
      </c>
      <c r="I3349" s="16" t="str">
        <f t="shared" si="52"/>
        <v>Normal</v>
      </c>
      <c r="J3349" t="s">
        <v>39</v>
      </c>
    </row>
    <row r="3350" spans="1:10">
      <c r="A3350" t="s">
        <v>5756</v>
      </c>
      <c r="B3350" t="s">
        <v>1536</v>
      </c>
      <c r="C3350" t="s">
        <v>2218</v>
      </c>
      <c r="D3350" s="9">
        <v>46171</v>
      </c>
      <c r="E3350" t="s">
        <v>2324</v>
      </c>
      <c r="F3350" s="20">
        <v>60</v>
      </c>
      <c r="G3350" t="s">
        <v>2345</v>
      </c>
      <c r="H3350">
        <v>1093.8399999999999</v>
      </c>
      <c r="I3350" s="16" t="str">
        <f t="shared" si="52"/>
        <v>Normal</v>
      </c>
      <c r="J3350">
        <v>2</v>
      </c>
    </row>
    <row r="3351" spans="1:10">
      <c r="A3351" t="s">
        <v>5757</v>
      </c>
      <c r="B3351" t="s">
        <v>1914</v>
      </c>
      <c r="C3351" t="s">
        <v>2233</v>
      </c>
      <c r="D3351" s="9">
        <v>45916</v>
      </c>
      <c r="E3351" t="s">
        <v>23</v>
      </c>
      <c r="G3351" t="s">
        <v>2325</v>
      </c>
      <c r="H3351">
        <v>2500</v>
      </c>
      <c r="I3351" s="16" t="str">
        <f t="shared" si="52"/>
        <v>Normal</v>
      </c>
      <c r="J3351">
        <v>2</v>
      </c>
    </row>
    <row r="3352" spans="1:10">
      <c r="A3352" t="s">
        <v>5758</v>
      </c>
      <c r="B3352" t="s">
        <v>1820</v>
      </c>
      <c r="C3352" t="s">
        <v>2261</v>
      </c>
      <c r="D3352" s="9">
        <v>45872</v>
      </c>
      <c r="E3352" t="s">
        <v>2327</v>
      </c>
      <c r="F3352" s="20">
        <v>0</v>
      </c>
      <c r="G3352" t="s">
        <v>23</v>
      </c>
      <c r="I3352" s="16" t="str">
        <f t="shared" si="52"/>
        <v>Unknown</v>
      </c>
      <c r="J3352">
        <v>4</v>
      </c>
    </row>
    <row r="3353" spans="1:10">
      <c r="A3353" t="s">
        <v>5759</v>
      </c>
      <c r="B3353" t="s">
        <v>1255</v>
      </c>
      <c r="C3353" t="s">
        <v>2228</v>
      </c>
      <c r="D3353" s="9">
        <v>46174</v>
      </c>
      <c r="E3353" t="s">
        <v>23</v>
      </c>
      <c r="G3353" t="s">
        <v>2331</v>
      </c>
      <c r="H3353">
        <v>799</v>
      </c>
      <c r="I3353" s="16" t="str">
        <f t="shared" si="52"/>
        <v>Normal</v>
      </c>
      <c r="J3353">
        <v>5</v>
      </c>
    </row>
    <row r="3354" spans="1:10">
      <c r="A3354" t="s">
        <v>5760</v>
      </c>
      <c r="B3354" t="s">
        <v>993</v>
      </c>
      <c r="C3354" t="s">
        <v>2228</v>
      </c>
      <c r="D3354" s="9">
        <v>45978</v>
      </c>
      <c r="E3354" t="s">
        <v>2330</v>
      </c>
      <c r="G3354" t="s">
        <v>2331</v>
      </c>
      <c r="H3354">
        <v>799</v>
      </c>
      <c r="I3354" s="16" t="str">
        <f t="shared" si="52"/>
        <v>Normal</v>
      </c>
      <c r="J3354" t="s">
        <v>39</v>
      </c>
    </row>
    <row r="3355" spans="1:10">
      <c r="A3355" t="s">
        <v>5761</v>
      </c>
      <c r="B3355" t="s">
        <v>1026</v>
      </c>
      <c r="C3355" t="s">
        <v>2218</v>
      </c>
      <c r="D3355" s="9">
        <v>45386</v>
      </c>
      <c r="E3355" t="s">
        <v>2324</v>
      </c>
      <c r="F3355" s="20">
        <v>55</v>
      </c>
      <c r="G3355" t="s">
        <v>2345</v>
      </c>
      <c r="H3355">
        <v>1500</v>
      </c>
      <c r="I3355" s="16" t="str">
        <f t="shared" si="52"/>
        <v>Normal</v>
      </c>
      <c r="J3355" t="s">
        <v>39</v>
      </c>
    </row>
    <row r="3356" spans="1:10">
      <c r="A3356" t="s">
        <v>5762</v>
      </c>
      <c r="B3356" t="s">
        <v>824</v>
      </c>
      <c r="C3356" t="s">
        <v>2257</v>
      </c>
      <c r="D3356" s="9">
        <v>45503</v>
      </c>
      <c r="E3356" t="s">
        <v>2324</v>
      </c>
      <c r="F3356" s="20">
        <v>10</v>
      </c>
      <c r="G3356" t="s">
        <v>2331</v>
      </c>
      <c r="I3356" s="16" t="str">
        <f t="shared" si="52"/>
        <v>Unknown</v>
      </c>
      <c r="J3356">
        <v>4</v>
      </c>
    </row>
    <row r="3357" spans="1:10">
      <c r="A3357" t="s">
        <v>5763</v>
      </c>
      <c r="B3357" t="s">
        <v>411</v>
      </c>
      <c r="C3357" t="s">
        <v>2222</v>
      </c>
      <c r="D3357" s="9">
        <v>46084</v>
      </c>
      <c r="E3357" t="s">
        <v>2330</v>
      </c>
      <c r="F3357" s="20">
        <v>100</v>
      </c>
      <c r="G3357" t="s">
        <v>2331</v>
      </c>
      <c r="H3357">
        <v>0</v>
      </c>
      <c r="I3357" s="16" t="str">
        <f t="shared" si="52"/>
        <v>Zero Amount</v>
      </c>
      <c r="J3357">
        <v>1</v>
      </c>
    </row>
    <row r="3358" spans="1:10">
      <c r="A3358" t="s">
        <v>5764</v>
      </c>
      <c r="B3358" t="s">
        <v>366</v>
      </c>
      <c r="C3358" t="s">
        <v>2241</v>
      </c>
      <c r="D3358" s="9">
        <v>46124</v>
      </c>
      <c r="E3358" t="s">
        <v>2327</v>
      </c>
      <c r="F3358" s="20">
        <v>20</v>
      </c>
      <c r="G3358" t="s">
        <v>2331</v>
      </c>
      <c r="H3358">
        <v>2197.92</v>
      </c>
      <c r="I3358" s="16" t="str">
        <f t="shared" si="52"/>
        <v>Normal</v>
      </c>
      <c r="J3358" t="s">
        <v>39</v>
      </c>
    </row>
    <row r="3359" spans="1:10">
      <c r="A3359" t="s">
        <v>5765</v>
      </c>
      <c r="B3359" t="s">
        <v>1282</v>
      </c>
      <c r="C3359" t="s">
        <v>2257</v>
      </c>
      <c r="D3359" s="9">
        <v>45448</v>
      </c>
      <c r="E3359" t="s">
        <v>2330</v>
      </c>
      <c r="G3359" t="s">
        <v>2345</v>
      </c>
      <c r="I3359" s="16" t="str">
        <f t="shared" si="52"/>
        <v>Unknown</v>
      </c>
      <c r="J3359">
        <v>4</v>
      </c>
    </row>
    <row r="3360" spans="1:10">
      <c r="A3360" t="s">
        <v>5766</v>
      </c>
      <c r="B3360" t="s">
        <v>684</v>
      </c>
      <c r="C3360" t="s">
        <v>2259</v>
      </c>
      <c r="D3360" s="9">
        <v>45489</v>
      </c>
      <c r="E3360" t="s">
        <v>2330</v>
      </c>
      <c r="F3360" s="20">
        <v>100</v>
      </c>
      <c r="G3360" t="s">
        <v>2345</v>
      </c>
      <c r="H3360">
        <v>0</v>
      </c>
      <c r="I3360" s="16" t="str">
        <f t="shared" si="52"/>
        <v>Zero Amount</v>
      </c>
      <c r="J3360">
        <v>4</v>
      </c>
    </row>
    <row r="3361" spans="1:10">
      <c r="A3361" t="s">
        <v>5767</v>
      </c>
      <c r="B3361" t="s">
        <v>890</v>
      </c>
      <c r="C3361" t="s">
        <v>2237</v>
      </c>
      <c r="D3361" s="9">
        <v>46178</v>
      </c>
      <c r="E3361" t="s">
        <v>2324</v>
      </c>
      <c r="F3361" s="20">
        <v>40</v>
      </c>
      <c r="G3361" t="s">
        <v>2345</v>
      </c>
      <c r="H3361">
        <v>1500</v>
      </c>
      <c r="I3361" s="16" t="str">
        <f t="shared" si="52"/>
        <v>Normal</v>
      </c>
      <c r="J3361" t="s">
        <v>39</v>
      </c>
    </row>
    <row r="3362" spans="1:10">
      <c r="A3362" t="s">
        <v>5768</v>
      </c>
      <c r="B3362" t="s">
        <v>1194</v>
      </c>
      <c r="C3362" t="s">
        <v>2218</v>
      </c>
      <c r="D3362" s="9">
        <v>45245</v>
      </c>
      <c r="E3362" t="s">
        <v>2324</v>
      </c>
      <c r="F3362" s="20">
        <v>75</v>
      </c>
      <c r="G3362" t="s">
        <v>2345</v>
      </c>
      <c r="H3362">
        <v>1500</v>
      </c>
      <c r="I3362" s="16" t="str">
        <f t="shared" si="52"/>
        <v>Normal</v>
      </c>
      <c r="J3362">
        <v>4</v>
      </c>
    </row>
    <row r="3363" spans="1:10">
      <c r="A3363" t="s">
        <v>5769</v>
      </c>
      <c r="B3363" t="s">
        <v>61</v>
      </c>
      <c r="C3363" t="s">
        <v>2216</v>
      </c>
      <c r="D3363" s="9">
        <v>46040</v>
      </c>
      <c r="E3363" t="s">
        <v>2324</v>
      </c>
      <c r="F3363" s="20">
        <v>10</v>
      </c>
      <c r="G3363" t="s">
        <v>2339</v>
      </c>
      <c r="H3363">
        <v>669.06</v>
      </c>
      <c r="I3363" s="16" t="str">
        <f t="shared" si="52"/>
        <v>Normal</v>
      </c>
      <c r="J3363">
        <v>4</v>
      </c>
    </row>
    <row r="3364" spans="1:10">
      <c r="A3364" t="s">
        <v>5770</v>
      </c>
      <c r="B3364" t="s">
        <v>597</v>
      </c>
      <c r="C3364" t="s">
        <v>2237</v>
      </c>
      <c r="D3364" s="9">
        <v>46178</v>
      </c>
      <c r="E3364" t="s">
        <v>2330</v>
      </c>
      <c r="F3364" s="20">
        <v>100</v>
      </c>
      <c r="G3364" t="s">
        <v>23</v>
      </c>
      <c r="H3364">
        <v>1500</v>
      </c>
      <c r="I3364" s="16" t="str">
        <f t="shared" si="52"/>
        <v>Normal</v>
      </c>
      <c r="J3364">
        <v>5</v>
      </c>
    </row>
    <row r="3365" spans="1:10">
      <c r="A3365" t="s">
        <v>5771</v>
      </c>
      <c r="B3365" t="s">
        <v>1019</v>
      </c>
      <c r="C3365" t="s">
        <v>2253</v>
      </c>
      <c r="D3365" s="9">
        <v>45368</v>
      </c>
      <c r="E3365" t="s">
        <v>2324</v>
      </c>
      <c r="F3365" s="20">
        <v>75</v>
      </c>
      <c r="G3365" t="s">
        <v>2325</v>
      </c>
      <c r="H3365">
        <v>1200</v>
      </c>
      <c r="I3365" s="16" t="str">
        <f t="shared" si="52"/>
        <v>Normal</v>
      </c>
      <c r="J3365">
        <v>5</v>
      </c>
    </row>
    <row r="3366" spans="1:10">
      <c r="A3366" t="s">
        <v>5772</v>
      </c>
      <c r="B3366" t="s">
        <v>1456</v>
      </c>
      <c r="C3366" t="s">
        <v>2264</v>
      </c>
      <c r="D3366" s="9">
        <v>45687</v>
      </c>
      <c r="E3366" t="s">
        <v>2330</v>
      </c>
      <c r="F3366" s="20">
        <v>100</v>
      </c>
      <c r="G3366" t="s">
        <v>2345</v>
      </c>
      <c r="H3366">
        <v>2500</v>
      </c>
      <c r="I3366" s="16" t="str">
        <f t="shared" si="52"/>
        <v>Normal</v>
      </c>
      <c r="J3366">
        <v>5</v>
      </c>
    </row>
    <row r="3367" spans="1:10">
      <c r="A3367" t="s">
        <v>5773</v>
      </c>
      <c r="B3367" t="s">
        <v>2139</v>
      </c>
      <c r="C3367" t="s">
        <v>2225</v>
      </c>
      <c r="D3367" s="9">
        <v>45239</v>
      </c>
      <c r="E3367" t="s">
        <v>23</v>
      </c>
      <c r="G3367" t="s">
        <v>2325</v>
      </c>
      <c r="I3367" s="16" t="str">
        <f t="shared" si="52"/>
        <v>Unknown</v>
      </c>
      <c r="J3367" t="s">
        <v>39</v>
      </c>
    </row>
    <row r="3368" spans="1:10">
      <c r="A3368" t="s">
        <v>5774</v>
      </c>
      <c r="B3368" t="s">
        <v>987</v>
      </c>
      <c r="C3368" t="s">
        <v>2187</v>
      </c>
      <c r="D3368" s="9">
        <v>46173</v>
      </c>
      <c r="E3368" t="s">
        <v>2324</v>
      </c>
      <c r="F3368" s="20">
        <v>55</v>
      </c>
      <c r="G3368" t="s">
        <v>2331</v>
      </c>
      <c r="H3368">
        <v>799</v>
      </c>
      <c r="I3368" s="16" t="str">
        <f t="shared" si="52"/>
        <v>Normal</v>
      </c>
      <c r="J3368">
        <v>3</v>
      </c>
    </row>
    <row r="3369" spans="1:10">
      <c r="A3369" t="s">
        <v>5775</v>
      </c>
      <c r="B3369" t="s">
        <v>296</v>
      </c>
      <c r="C3369" t="s">
        <v>2213</v>
      </c>
      <c r="D3369" s="9">
        <v>45957</v>
      </c>
      <c r="E3369" t="s">
        <v>2330</v>
      </c>
      <c r="G3369" t="s">
        <v>2345</v>
      </c>
      <c r="H3369">
        <v>1500</v>
      </c>
      <c r="I3369" s="16" t="str">
        <f t="shared" si="52"/>
        <v>Normal</v>
      </c>
      <c r="J3369" t="s">
        <v>39</v>
      </c>
    </row>
    <row r="3370" spans="1:10">
      <c r="A3370" t="s">
        <v>5776</v>
      </c>
      <c r="B3370" t="s">
        <v>2077</v>
      </c>
      <c r="C3370" t="s">
        <v>2218</v>
      </c>
      <c r="D3370" s="9">
        <v>45654</v>
      </c>
      <c r="E3370" t="s">
        <v>23</v>
      </c>
      <c r="G3370" t="s">
        <v>2328</v>
      </c>
      <c r="H3370">
        <v>1500</v>
      </c>
      <c r="I3370" s="16" t="str">
        <f t="shared" si="52"/>
        <v>Normal</v>
      </c>
      <c r="J3370">
        <v>5</v>
      </c>
    </row>
    <row r="3371" spans="1:10">
      <c r="A3371" t="s">
        <v>5777</v>
      </c>
      <c r="B3371" t="s">
        <v>675</v>
      </c>
      <c r="C3371" t="s">
        <v>2264</v>
      </c>
      <c r="D3371" s="9">
        <v>45619</v>
      </c>
      <c r="E3371" t="s">
        <v>2324</v>
      </c>
      <c r="F3371" s="20">
        <v>75</v>
      </c>
      <c r="G3371" t="s">
        <v>2331</v>
      </c>
      <c r="H3371">
        <v>2500</v>
      </c>
      <c r="I3371" s="16" t="str">
        <f t="shared" si="52"/>
        <v>Normal</v>
      </c>
      <c r="J3371">
        <v>4</v>
      </c>
    </row>
    <row r="3372" spans="1:10">
      <c r="A3372" t="s">
        <v>5778</v>
      </c>
      <c r="B3372" t="s">
        <v>1158</v>
      </c>
      <c r="C3372" t="s">
        <v>2264</v>
      </c>
      <c r="D3372" s="9">
        <v>45441</v>
      </c>
      <c r="E3372" t="s">
        <v>2324</v>
      </c>
      <c r="F3372" s="20">
        <v>40</v>
      </c>
      <c r="G3372" t="s">
        <v>2328</v>
      </c>
      <c r="H3372">
        <v>2500</v>
      </c>
      <c r="I3372" s="16" t="str">
        <f t="shared" si="52"/>
        <v>Normal</v>
      </c>
      <c r="J3372">
        <v>2</v>
      </c>
    </row>
    <row r="3373" spans="1:10">
      <c r="A3373" t="s">
        <v>5779</v>
      </c>
      <c r="B3373" t="s">
        <v>1596</v>
      </c>
      <c r="C3373" t="s">
        <v>2247</v>
      </c>
      <c r="D3373" s="9">
        <v>45982</v>
      </c>
      <c r="E3373" t="s">
        <v>2330</v>
      </c>
      <c r="G3373" t="s">
        <v>23</v>
      </c>
      <c r="I3373" s="16" t="str">
        <f t="shared" si="52"/>
        <v>Unknown</v>
      </c>
      <c r="J3373" t="s">
        <v>39</v>
      </c>
    </row>
    <row r="3374" spans="1:10">
      <c r="A3374" t="s">
        <v>5780</v>
      </c>
      <c r="B3374" t="s">
        <v>1333</v>
      </c>
      <c r="C3374" t="s">
        <v>2269</v>
      </c>
      <c r="D3374" s="9">
        <v>45760</v>
      </c>
      <c r="E3374" t="s">
        <v>2327</v>
      </c>
      <c r="F3374" s="20">
        <v>20</v>
      </c>
      <c r="G3374" t="s">
        <v>2345</v>
      </c>
      <c r="H3374">
        <v>499</v>
      </c>
      <c r="I3374" s="16" t="str">
        <f t="shared" si="52"/>
        <v>Normal</v>
      </c>
      <c r="J3374">
        <v>3</v>
      </c>
    </row>
    <row r="3375" spans="1:10">
      <c r="A3375" t="s">
        <v>5781</v>
      </c>
      <c r="B3375" t="s">
        <v>75</v>
      </c>
      <c r="C3375" t="s">
        <v>2202</v>
      </c>
      <c r="D3375" s="9">
        <v>45887</v>
      </c>
      <c r="E3375" t="s">
        <v>2324</v>
      </c>
      <c r="F3375" s="20">
        <v>75</v>
      </c>
      <c r="G3375" t="s">
        <v>2345</v>
      </c>
      <c r="H3375">
        <v>-999.99</v>
      </c>
      <c r="I3375" s="16" t="str">
        <f t="shared" si="52"/>
        <v>Review</v>
      </c>
      <c r="J3375">
        <v>5</v>
      </c>
    </row>
    <row r="3376" spans="1:10">
      <c r="A3376" t="s">
        <v>5782</v>
      </c>
      <c r="B3376" t="s">
        <v>1713</v>
      </c>
      <c r="C3376" t="s">
        <v>2247</v>
      </c>
      <c r="D3376" s="9">
        <v>45884</v>
      </c>
      <c r="E3376" t="s">
        <v>2330</v>
      </c>
      <c r="G3376" t="s">
        <v>2325</v>
      </c>
      <c r="I3376" s="16" t="str">
        <f t="shared" si="52"/>
        <v>Unknown</v>
      </c>
      <c r="J3376">
        <v>3</v>
      </c>
    </row>
    <row r="3377" spans="1:10">
      <c r="A3377" t="s">
        <v>5783</v>
      </c>
      <c r="B3377" t="s">
        <v>1187</v>
      </c>
      <c r="C3377" t="s">
        <v>2253</v>
      </c>
      <c r="D3377" s="9">
        <v>45804</v>
      </c>
      <c r="E3377" t="s">
        <v>2337</v>
      </c>
      <c r="F3377" s="20">
        <v>5</v>
      </c>
      <c r="G3377" t="s">
        <v>2339</v>
      </c>
      <c r="H3377">
        <v>1200</v>
      </c>
      <c r="I3377" s="16" t="str">
        <f t="shared" si="52"/>
        <v>Normal</v>
      </c>
      <c r="J3377">
        <v>5</v>
      </c>
    </row>
    <row r="3378" spans="1:10">
      <c r="A3378" t="s">
        <v>5784</v>
      </c>
      <c r="B3378" t="s">
        <v>1576</v>
      </c>
      <c r="C3378" t="s">
        <v>2218</v>
      </c>
      <c r="D3378" s="9">
        <v>45705</v>
      </c>
      <c r="E3378" t="s">
        <v>23</v>
      </c>
      <c r="G3378" t="s">
        <v>2345</v>
      </c>
      <c r="H3378">
        <v>1500</v>
      </c>
      <c r="I3378" s="16" t="str">
        <f t="shared" si="52"/>
        <v>Normal</v>
      </c>
      <c r="J3378" t="s">
        <v>39</v>
      </c>
    </row>
    <row r="3379" spans="1:10">
      <c r="A3379" t="s">
        <v>5785</v>
      </c>
      <c r="B3379" t="s">
        <v>239</v>
      </c>
      <c r="C3379" t="s">
        <v>2198</v>
      </c>
      <c r="D3379" s="9">
        <v>46118</v>
      </c>
      <c r="E3379" t="s">
        <v>2330</v>
      </c>
      <c r="F3379" s="20">
        <v>100</v>
      </c>
      <c r="G3379" t="s">
        <v>2331</v>
      </c>
      <c r="I3379" s="16" t="str">
        <f t="shared" si="52"/>
        <v>Unknown</v>
      </c>
      <c r="J3379">
        <v>5</v>
      </c>
    </row>
    <row r="3380" spans="1:10">
      <c r="A3380" t="s">
        <v>5786</v>
      </c>
      <c r="B3380" t="s">
        <v>498</v>
      </c>
      <c r="C3380" t="s">
        <v>2253</v>
      </c>
      <c r="D3380" s="9">
        <v>45607</v>
      </c>
      <c r="E3380" t="s">
        <v>2330</v>
      </c>
      <c r="G3380" t="s">
        <v>2331</v>
      </c>
      <c r="H3380">
        <v>1200</v>
      </c>
      <c r="I3380" s="16" t="str">
        <f t="shared" si="52"/>
        <v>Normal</v>
      </c>
      <c r="J3380">
        <v>3</v>
      </c>
    </row>
    <row r="3381" spans="1:10">
      <c r="A3381" t="s">
        <v>5787</v>
      </c>
      <c r="B3381" t="s">
        <v>918</v>
      </c>
      <c r="C3381" t="s">
        <v>2193</v>
      </c>
      <c r="D3381" s="9">
        <v>45964</v>
      </c>
      <c r="E3381" t="s">
        <v>2330</v>
      </c>
      <c r="G3381" t="s">
        <v>2345</v>
      </c>
      <c r="H3381">
        <v>0</v>
      </c>
      <c r="I3381" s="16" t="str">
        <f t="shared" si="52"/>
        <v>Zero Amount</v>
      </c>
      <c r="J3381">
        <v>5</v>
      </c>
    </row>
    <row r="3382" spans="1:10">
      <c r="A3382" t="s">
        <v>5788</v>
      </c>
      <c r="B3382" t="s">
        <v>678</v>
      </c>
      <c r="C3382" t="s">
        <v>2251</v>
      </c>
      <c r="D3382" s="9">
        <v>45156</v>
      </c>
      <c r="E3382" t="s">
        <v>2330</v>
      </c>
      <c r="F3382" s="20">
        <v>100</v>
      </c>
      <c r="G3382" t="s">
        <v>2339</v>
      </c>
      <c r="H3382">
        <v>1500</v>
      </c>
      <c r="I3382" s="16" t="str">
        <f t="shared" si="52"/>
        <v>Normal</v>
      </c>
      <c r="J3382">
        <v>3</v>
      </c>
    </row>
    <row r="3383" spans="1:10">
      <c r="A3383" t="s">
        <v>5789</v>
      </c>
      <c r="B3383" t="s">
        <v>2006</v>
      </c>
      <c r="C3383" t="s">
        <v>2213</v>
      </c>
      <c r="D3383" s="9">
        <v>45776</v>
      </c>
      <c r="E3383" t="s">
        <v>2330</v>
      </c>
      <c r="F3383" s="20">
        <v>100</v>
      </c>
      <c r="G3383" t="s">
        <v>23</v>
      </c>
      <c r="H3383">
        <v>1500</v>
      </c>
      <c r="I3383" s="16" t="str">
        <f t="shared" si="52"/>
        <v>Normal</v>
      </c>
      <c r="J3383">
        <v>5</v>
      </c>
    </row>
    <row r="3384" spans="1:10">
      <c r="A3384" t="s">
        <v>5790</v>
      </c>
      <c r="B3384" t="s">
        <v>1350</v>
      </c>
      <c r="C3384" t="s">
        <v>2269</v>
      </c>
      <c r="D3384" s="9">
        <v>45642</v>
      </c>
      <c r="E3384" t="s">
        <v>23</v>
      </c>
      <c r="G3384" t="s">
        <v>2331</v>
      </c>
      <c r="H3384">
        <v>499</v>
      </c>
      <c r="I3384" s="16" t="str">
        <f t="shared" si="52"/>
        <v>Normal</v>
      </c>
      <c r="J3384">
        <v>4</v>
      </c>
    </row>
    <row r="3385" spans="1:10">
      <c r="A3385" t="s">
        <v>5791</v>
      </c>
      <c r="B3385" t="s">
        <v>803</v>
      </c>
      <c r="C3385" t="s">
        <v>2193</v>
      </c>
      <c r="D3385" s="9">
        <v>45576</v>
      </c>
      <c r="E3385" t="s">
        <v>2337</v>
      </c>
      <c r="F3385" s="20">
        <v>15</v>
      </c>
      <c r="G3385" t="s">
        <v>23</v>
      </c>
      <c r="H3385">
        <v>0</v>
      </c>
      <c r="I3385" s="16" t="str">
        <f t="shared" si="52"/>
        <v>Zero Amount</v>
      </c>
      <c r="J3385">
        <v>4</v>
      </c>
    </row>
    <row r="3386" spans="1:10">
      <c r="A3386" t="s">
        <v>5792</v>
      </c>
      <c r="B3386" t="s">
        <v>1751</v>
      </c>
      <c r="C3386" t="s">
        <v>2202</v>
      </c>
      <c r="D3386" s="9">
        <v>46142</v>
      </c>
      <c r="E3386" t="s">
        <v>2324</v>
      </c>
      <c r="F3386" s="20">
        <v>60</v>
      </c>
      <c r="G3386" t="s">
        <v>2331</v>
      </c>
      <c r="H3386">
        <v>999.99</v>
      </c>
      <c r="I3386" s="16" t="str">
        <f t="shared" si="52"/>
        <v>Normal</v>
      </c>
      <c r="J3386">
        <v>5</v>
      </c>
    </row>
    <row r="3387" spans="1:10">
      <c r="A3387" t="s">
        <v>5793</v>
      </c>
      <c r="B3387" t="s">
        <v>1945</v>
      </c>
      <c r="C3387" t="s">
        <v>2269</v>
      </c>
      <c r="D3387" s="9">
        <v>45285</v>
      </c>
      <c r="E3387" t="s">
        <v>2330</v>
      </c>
      <c r="F3387" s="20">
        <v>100</v>
      </c>
      <c r="G3387" t="s">
        <v>2345</v>
      </c>
      <c r="H3387">
        <v>499</v>
      </c>
      <c r="I3387" s="16" t="str">
        <f t="shared" si="52"/>
        <v>Normal</v>
      </c>
      <c r="J3387">
        <v>5</v>
      </c>
    </row>
    <row r="3388" spans="1:10">
      <c r="A3388" t="s">
        <v>5794</v>
      </c>
      <c r="B3388" t="s">
        <v>305</v>
      </c>
      <c r="C3388" t="s">
        <v>2273</v>
      </c>
      <c r="D3388" s="9">
        <v>45711</v>
      </c>
      <c r="E3388" t="s">
        <v>2330</v>
      </c>
      <c r="F3388" s="20">
        <v>100</v>
      </c>
      <c r="G3388" t="s">
        <v>2331</v>
      </c>
      <c r="H3388">
        <v>799</v>
      </c>
      <c r="I3388" s="16" t="str">
        <f t="shared" si="52"/>
        <v>Normal</v>
      </c>
      <c r="J3388">
        <v>5</v>
      </c>
    </row>
    <row r="3389" spans="1:10">
      <c r="A3389" t="s">
        <v>5795</v>
      </c>
      <c r="B3389" t="s">
        <v>462</v>
      </c>
      <c r="C3389" t="s">
        <v>2233</v>
      </c>
      <c r="D3389" s="9">
        <v>45710</v>
      </c>
      <c r="E3389" t="s">
        <v>2324</v>
      </c>
      <c r="F3389" s="20">
        <v>40</v>
      </c>
      <c r="G3389" t="s">
        <v>2328</v>
      </c>
      <c r="H3389">
        <v>2500</v>
      </c>
      <c r="I3389" s="16" t="str">
        <f t="shared" si="52"/>
        <v>Normal</v>
      </c>
      <c r="J3389">
        <v>4</v>
      </c>
    </row>
    <row r="3390" spans="1:10">
      <c r="A3390" t="s">
        <v>5796</v>
      </c>
      <c r="B3390" t="s">
        <v>339</v>
      </c>
      <c r="C3390" t="s">
        <v>2202</v>
      </c>
      <c r="D3390" s="9">
        <v>45161</v>
      </c>
      <c r="E3390" t="s">
        <v>2330</v>
      </c>
      <c r="F3390" s="20">
        <v>100</v>
      </c>
      <c r="G3390" t="s">
        <v>23</v>
      </c>
      <c r="H3390">
        <v>999.99</v>
      </c>
      <c r="I3390" s="16" t="str">
        <f t="shared" si="52"/>
        <v>Normal</v>
      </c>
      <c r="J3390" t="s">
        <v>39</v>
      </c>
    </row>
    <row r="3391" spans="1:10">
      <c r="A3391" t="s">
        <v>5797</v>
      </c>
      <c r="B3391" t="s">
        <v>1363</v>
      </c>
      <c r="C3391" t="s">
        <v>2264</v>
      </c>
      <c r="D3391" s="9">
        <v>45419</v>
      </c>
      <c r="E3391" t="s">
        <v>2327</v>
      </c>
      <c r="F3391" s="20">
        <v>15</v>
      </c>
      <c r="G3391" t="s">
        <v>2331</v>
      </c>
      <c r="H3391">
        <v>2500</v>
      </c>
      <c r="I3391" s="16" t="str">
        <f t="shared" si="52"/>
        <v>Normal</v>
      </c>
      <c r="J3391">
        <v>5</v>
      </c>
    </row>
    <row r="3392" spans="1:10">
      <c r="A3392" t="s">
        <v>5798</v>
      </c>
      <c r="B3392" t="s">
        <v>717</v>
      </c>
      <c r="C3392" t="s">
        <v>2216</v>
      </c>
      <c r="D3392" s="9">
        <v>46048</v>
      </c>
      <c r="E3392" t="s">
        <v>23</v>
      </c>
      <c r="G3392" t="s">
        <v>23</v>
      </c>
      <c r="H3392">
        <v>1200</v>
      </c>
      <c r="I3392" s="16" t="str">
        <f t="shared" si="52"/>
        <v>Normal</v>
      </c>
      <c r="J3392">
        <v>2</v>
      </c>
    </row>
    <row r="3393" spans="1:10">
      <c r="A3393" t="s">
        <v>5799</v>
      </c>
      <c r="B3393" t="s">
        <v>1705</v>
      </c>
      <c r="C3393" t="s">
        <v>2187</v>
      </c>
      <c r="D3393" s="9">
        <v>45260</v>
      </c>
      <c r="E3393" t="s">
        <v>23</v>
      </c>
      <c r="G3393" t="s">
        <v>2331</v>
      </c>
      <c r="H3393">
        <v>799</v>
      </c>
      <c r="I3393" s="16" t="str">
        <f t="shared" si="52"/>
        <v>Normal</v>
      </c>
      <c r="J3393">
        <v>5</v>
      </c>
    </row>
    <row r="3394" spans="1:10">
      <c r="A3394" t="s">
        <v>5800</v>
      </c>
      <c r="B3394" t="s">
        <v>578</v>
      </c>
      <c r="C3394" t="s">
        <v>2225</v>
      </c>
      <c r="D3394" s="9">
        <v>45845</v>
      </c>
      <c r="E3394" t="s">
        <v>2327</v>
      </c>
      <c r="F3394" s="20">
        <v>15</v>
      </c>
      <c r="G3394" t="s">
        <v>2345</v>
      </c>
      <c r="I3394" s="16" t="str">
        <f t="shared" si="52"/>
        <v>Unknown</v>
      </c>
      <c r="J3394" t="s">
        <v>39</v>
      </c>
    </row>
    <row r="3395" spans="1:10">
      <c r="A3395" t="s">
        <v>5801</v>
      </c>
      <c r="B3395" t="s">
        <v>2038</v>
      </c>
      <c r="C3395" t="s">
        <v>2209</v>
      </c>
      <c r="D3395" s="9">
        <v>45169</v>
      </c>
      <c r="E3395" t="s">
        <v>2337</v>
      </c>
      <c r="F3395" s="20">
        <v>20</v>
      </c>
      <c r="G3395" t="s">
        <v>2345</v>
      </c>
      <c r="H3395">
        <v>-499</v>
      </c>
      <c r="I3395" s="16" t="str">
        <f t="shared" ref="I3395:I3458" si="53">IF(H3395="", "Unknown", IF(H3395=0, "Zero Amount", IF(H3395&lt;1, "Review", IF(H3395&gt;1, "Normal"))))</f>
        <v>Review</v>
      </c>
      <c r="J3395">
        <v>4</v>
      </c>
    </row>
    <row r="3396" spans="1:10">
      <c r="A3396" t="s">
        <v>5802</v>
      </c>
      <c r="B3396" t="s">
        <v>1524</v>
      </c>
      <c r="C3396" t="s">
        <v>2253</v>
      </c>
      <c r="D3396" s="9">
        <v>45885</v>
      </c>
      <c r="E3396" t="s">
        <v>2337</v>
      </c>
      <c r="F3396" s="20">
        <v>0</v>
      </c>
      <c r="G3396" t="s">
        <v>2331</v>
      </c>
      <c r="H3396">
        <v>1200</v>
      </c>
      <c r="I3396" s="16" t="str">
        <f t="shared" si="53"/>
        <v>Normal</v>
      </c>
      <c r="J3396" t="s">
        <v>39</v>
      </c>
    </row>
    <row r="3397" spans="1:10">
      <c r="A3397" t="s">
        <v>5803</v>
      </c>
      <c r="B3397" t="s">
        <v>784</v>
      </c>
      <c r="C3397" t="s">
        <v>2244</v>
      </c>
      <c r="D3397" s="9">
        <v>45722</v>
      </c>
      <c r="E3397" t="s">
        <v>2324</v>
      </c>
      <c r="F3397" s="20">
        <v>55</v>
      </c>
      <c r="G3397" t="s">
        <v>2328</v>
      </c>
      <c r="H3397">
        <v>1200</v>
      </c>
      <c r="I3397" s="16" t="str">
        <f t="shared" si="53"/>
        <v>Normal</v>
      </c>
      <c r="J3397" t="s">
        <v>39</v>
      </c>
    </row>
    <row r="3398" spans="1:10">
      <c r="A3398" t="s">
        <v>5804</v>
      </c>
      <c r="B3398" t="s">
        <v>1963</v>
      </c>
      <c r="C3398" t="s">
        <v>2205</v>
      </c>
      <c r="D3398" s="9">
        <v>46136</v>
      </c>
      <c r="E3398" t="s">
        <v>2330</v>
      </c>
      <c r="F3398" s="20">
        <v>100</v>
      </c>
      <c r="G3398" t="s">
        <v>23</v>
      </c>
      <c r="H3398">
        <v>1128.05</v>
      </c>
      <c r="I3398" s="16" t="str">
        <f t="shared" si="53"/>
        <v>Normal</v>
      </c>
      <c r="J3398" t="s">
        <v>39</v>
      </c>
    </row>
    <row r="3399" spans="1:10">
      <c r="A3399" t="s">
        <v>5805</v>
      </c>
      <c r="B3399" t="s">
        <v>61</v>
      </c>
      <c r="C3399" t="s">
        <v>2267</v>
      </c>
      <c r="D3399" s="9">
        <v>45895</v>
      </c>
      <c r="E3399" t="s">
        <v>2330</v>
      </c>
      <c r="F3399" s="20">
        <v>100</v>
      </c>
      <c r="G3399" t="s">
        <v>2325</v>
      </c>
      <c r="I3399" s="16" t="str">
        <f t="shared" si="53"/>
        <v>Unknown</v>
      </c>
      <c r="J3399">
        <v>5</v>
      </c>
    </row>
    <row r="3400" spans="1:10">
      <c r="A3400" t="s">
        <v>5806</v>
      </c>
      <c r="B3400" t="s">
        <v>1809</v>
      </c>
      <c r="C3400" t="s">
        <v>2241</v>
      </c>
      <c r="D3400" s="9">
        <v>45880</v>
      </c>
      <c r="E3400" t="s">
        <v>2337</v>
      </c>
      <c r="F3400" s="20">
        <v>20</v>
      </c>
      <c r="G3400" t="s">
        <v>2345</v>
      </c>
      <c r="H3400">
        <v>2500</v>
      </c>
      <c r="I3400" s="16" t="str">
        <f t="shared" si="53"/>
        <v>Normal</v>
      </c>
      <c r="J3400">
        <v>4</v>
      </c>
    </row>
    <row r="3401" spans="1:10">
      <c r="A3401" t="s">
        <v>5807</v>
      </c>
      <c r="B3401" t="s">
        <v>1849</v>
      </c>
      <c r="C3401" t="s">
        <v>2264</v>
      </c>
      <c r="D3401" s="9">
        <v>45635</v>
      </c>
      <c r="E3401" t="s">
        <v>2330</v>
      </c>
      <c r="F3401" s="20">
        <v>100</v>
      </c>
      <c r="G3401" t="s">
        <v>2325</v>
      </c>
      <c r="H3401">
        <v>2500</v>
      </c>
      <c r="I3401" s="16" t="str">
        <f t="shared" si="53"/>
        <v>Normal</v>
      </c>
      <c r="J3401">
        <v>4</v>
      </c>
    </row>
    <row r="3402" spans="1:10">
      <c r="A3402" t="s">
        <v>5808</v>
      </c>
      <c r="B3402" t="s">
        <v>1040</v>
      </c>
      <c r="C3402" t="s">
        <v>2241</v>
      </c>
      <c r="D3402" s="9">
        <v>45869</v>
      </c>
      <c r="E3402" t="s">
        <v>2327</v>
      </c>
      <c r="F3402" s="20">
        <v>20</v>
      </c>
      <c r="G3402" t="s">
        <v>23</v>
      </c>
      <c r="I3402" s="16" t="str">
        <f t="shared" si="53"/>
        <v>Unknown</v>
      </c>
      <c r="J3402">
        <v>5</v>
      </c>
    </row>
    <row r="3403" spans="1:10">
      <c r="A3403" t="s">
        <v>5809</v>
      </c>
      <c r="B3403" t="s">
        <v>1528</v>
      </c>
      <c r="C3403" t="s">
        <v>2273</v>
      </c>
      <c r="D3403" s="9">
        <v>46131</v>
      </c>
      <c r="E3403" t="s">
        <v>2327</v>
      </c>
      <c r="G3403" t="s">
        <v>23</v>
      </c>
      <c r="I3403" s="16" t="str">
        <f t="shared" si="53"/>
        <v>Unknown</v>
      </c>
      <c r="J3403">
        <v>4</v>
      </c>
    </row>
    <row r="3404" spans="1:10">
      <c r="A3404" t="s">
        <v>5810</v>
      </c>
      <c r="B3404" t="s">
        <v>1091</v>
      </c>
      <c r="C3404" t="s">
        <v>2253</v>
      </c>
      <c r="D3404" s="9">
        <v>46148</v>
      </c>
      <c r="E3404" t="s">
        <v>2324</v>
      </c>
      <c r="F3404" s="20">
        <v>55</v>
      </c>
      <c r="G3404" t="s">
        <v>2328</v>
      </c>
      <c r="I3404" s="16" t="str">
        <f t="shared" si="53"/>
        <v>Unknown</v>
      </c>
      <c r="J3404">
        <v>3</v>
      </c>
    </row>
    <row r="3405" spans="1:10">
      <c r="A3405" t="s">
        <v>5811</v>
      </c>
      <c r="B3405" t="s">
        <v>1748</v>
      </c>
      <c r="C3405" t="s">
        <v>2231</v>
      </c>
      <c r="D3405" s="9">
        <v>45598</v>
      </c>
      <c r="E3405" t="s">
        <v>2330</v>
      </c>
      <c r="G3405" t="s">
        <v>2339</v>
      </c>
      <c r="H3405">
        <v>-3000</v>
      </c>
      <c r="I3405" s="16" t="str">
        <f t="shared" si="53"/>
        <v>Review</v>
      </c>
      <c r="J3405" t="s">
        <v>39</v>
      </c>
    </row>
    <row r="3406" spans="1:10">
      <c r="A3406" t="s">
        <v>5812</v>
      </c>
      <c r="B3406" t="s">
        <v>1864</v>
      </c>
      <c r="C3406" t="s">
        <v>2202</v>
      </c>
      <c r="D3406" s="9">
        <v>45593</v>
      </c>
      <c r="E3406" t="s">
        <v>2330</v>
      </c>
      <c r="G3406" t="s">
        <v>2331</v>
      </c>
      <c r="H3406">
        <v>999.99</v>
      </c>
      <c r="I3406" s="16" t="str">
        <f t="shared" si="53"/>
        <v>Normal</v>
      </c>
      <c r="J3406">
        <v>5</v>
      </c>
    </row>
    <row r="3407" spans="1:10">
      <c r="A3407" t="s">
        <v>5813</v>
      </c>
      <c r="B3407" t="s">
        <v>34</v>
      </c>
      <c r="C3407" t="s">
        <v>2269</v>
      </c>
      <c r="D3407" s="9">
        <v>45688</v>
      </c>
      <c r="E3407" t="s">
        <v>2330</v>
      </c>
      <c r="F3407" s="20">
        <v>100</v>
      </c>
      <c r="G3407" t="s">
        <v>2339</v>
      </c>
      <c r="H3407">
        <v>499</v>
      </c>
      <c r="I3407" s="16" t="str">
        <f t="shared" si="53"/>
        <v>Normal</v>
      </c>
      <c r="J3407">
        <v>2</v>
      </c>
    </row>
    <row r="3408" spans="1:10">
      <c r="A3408" t="s">
        <v>5814</v>
      </c>
      <c r="B3408" t="s">
        <v>585</v>
      </c>
      <c r="C3408" t="s">
        <v>2193</v>
      </c>
      <c r="D3408" s="9">
        <v>45837</v>
      </c>
      <c r="E3408" t="s">
        <v>2337</v>
      </c>
      <c r="F3408" s="20">
        <v>5</v>
      </c>
      <c r="G3408" t="s">
        <v>2325</v>
      </c>
      <c r="H3408">
        <v>0</v>
      </c>
      <c r="I3408" s="16" t="str">
        <f t="shared" si="53"/>
        <v>Zero Amount</v>
      </c>
      <c r="J3408">
        <v>4</v>
      </c>
    </row>
    <row r="3409" spans="1:10">
      <c r="A3409" t="s">
        <v>5815</v>
      </c>
      <c r="B3409" t="s">
        <v>256</v>
      </c>
      <c r="C3409" t="s">
        <v>2213</v>
      </c>
      <c r="D3409" s="9">
        <v>45460</v>
      </c>
      <c r="E3409" t="s">
        <v>2337</v>
      </c>
      <c r="F3409" s="20">
        <v>15</v>
      </c>
      <c r="G3409" t="s">
        <v>2331</v>
      </c>
      <c r="H3409">
        <v>1346.11</v>
      </c>
      <c r="I3409" s="16" t="str">
        <f t="shared" si="53"/>
        <v>Normal</v>
      </c>
      <c r="J3409">
        <v>3</v>
      </c>
    </row>
    <row r="3410" spans="1:10">
      <c r="A3410" t="s">
        <v>5816</v>
      </c>
      <c r="B3410" t="s">
        <v>1650</v>
      </c>
      <c r="C3410" t="s">
        <v>2216</v>
      </c>
      <c r="D3410" s="9">
        <v>45722</v>
      </c>
      <c r="E3410" t="s">
        <v>2330</v>
      </c>
      <c r="F3410" s="20">
        <v>100</v>
      </c>
      <c r="G3410" t="s">
        <v>2345</v>
      </c>
      <c r="H3410">
        <v>1200</v>
      </c>
      <c r="I3410" s="16" t="str">
        <f t="shared" si="53"/>
        <v>Normal</v>
      </c>
      <c r="J3410">
        <v>4</v>
      </c>
    </row>
    <row r="3411" spans="1:10">
      <c r="A3411" t="s">
        <v>5817</v>
      </c>
      <c r="B3411" t="s">
        <v>1713</v>
      </c>
      <c r="C3411" t="s">
        <v>2261</v>
      </c>
      <c r="D3411" s="9">
        <v>46144</v>
      </c>
      <c r="E3411" t="s">
        <v>2330</v>
      </c>
      <c r="F3411" s="20">
        <v>100</v>
      </c>
      <c r="G3411" t="s">
        <v>2331</v>
      </c>
      <c r="I3411" s="16" t="str">
        <f t="shared" si="53"/>
        <v>Unknown</v>
      </c>
      <c r="J3411">
        <v>4</v>
      </c>
    </row>
    <row r="3412" spans="1:10">
      <c r="A3412" t="s">
        <v>5818</v>
      </c>
      <c r="B3412" t="s">
        <v>1614</v>
      </c>
      <c r="C3412" t="s">
        <v>2241</v>
      </c>
      <c r="D3412" s="9">
        <v>46135</v>
      </c>
      <c r="E3412" t="s">
        <v>2327</v>
      </c>
      <c r="F3412" s="20">
        <v>5</v>
      </c>
      <c r="G3412" t="s">
        <v>23</v>
      </c>
      <c r="H3412">
        <v>2500</v>
      </c>
      <c r="I3412" s="16" t="str">
        <f t="shared" si="53"/>
        <v>Normal</v>
      </c>
      <c r="J3412">
        <v>2</v>
      </c>
    </row>
    <row r="3413" spans="1:10">
      <c r="A3413" t="s">
        <v>5819</v>
      </c>
      <c r="B3413" t="s">
        <v>1380</v>
      </c>
      <c r="C3413" t="s">
        <v>2202</v>
      </c>
      <c r="D3413" s="9">
        <v>45256</v>
      </c>
      <c r="E3413" t="s">
        <v>2324</v>
      </c>
      <c r="F3413" s="20">
        <v>75</v>
      </c>
      <c r="G3413" t="s">
        <v>2345</v>
      </c>
      <c r="H3413">
        <v>999.99</v>
      </c>
      <c r="I3413" s="16" t="str">
        <f t="shared" si="53"/>
        <v>Normal</v>
      </c>
      <c r="J3413">
        <v>5</v>
      </c>
    </row>
    <row r="3414" spans="1:10">
      <c r="A3414" t="s">
        <v>5820</v>
      </c>
      <c r="B3414" t="s">
        <v>267</v>
      </c>
      <c r="C3414" t="s">
        <v>2259</v>
      </c>
      <c r="D3414" s="9">
        <v>45659</v>
      </c>
      <c r="E3414" t="s">
        <v>2330</v>
      </c>
      <c r="F3414" s="20">
        <v>100</v>
      </c>
      <c r="G3414" t="s">
        <v>2328</v>
      </c>
      <c r="H3414">
        <v>0</v>
      </c>
      <c r="I3414" s="16" t="str">
        <f t="shared" si="53"/>
        <v>Zero Amount</v>
      </c>
      <c r="J3414">
        <v>4</v>
      </c>
    </row>
    <row r="3415" spans="1:10">
      <c r="A3415" t="s">
        <v>5821</v>
      </c>
      <c r="B3415" t="s">
        <v>1492</v>
      </c>
      <c r="C3415" t="s">
        <v>2273</v>
      </c>
      <c r="D3415" s="9">
        <v>45844</v>
      </c>
      <c r="E3415" t="s">
        <v>2330</v>
      </c>
      <c r="F3415" s="20">
        <v>100</v>
      </c>
      <c r="G3415" t="s">
        <v>2325</v>
      </c>
      <c r="H3415">
        <v>799</v>
      </c>
      <c r="I3415" s="16" t="str">
        <f t="shared" si="53"/>
        <v>Normal</v>
      </c>
      <c r="J3415" t="s">
        <v>39</v>
      </c>
    </row>
    <row r="3416" spans="1:10">
      <c r="A3416" t="s">
        <v>5822</v>
      </c>
      <c r="B3416" t="s">
        <v>836</v>
      </c>
      <c r="C3416" t="s">
        <v>2218</v>
      </c>
      <c r="D3416" s="9">
        <v>45442</v>
      </c>
      <c r="E3416" t="s">
        <v>2327</v>
      </c>
      <c r="G3416" t="s">
        <v>2339</v>
      </c>
      <c r="H3416">
        <v>1500</v>
      </c>
      <c r="I3416" s="16" t="str">
        <f t="shared" si="53"/>
        <v>Normal</v>
      </c>
      <c r="J3416">
        <v>3</v>
      </c>
    </row>
    <row r="3417" spans="1:10">
      <c r="A3417" t="s">
        <v>5823</v>
      </c>
      <c r="B3417" t="s">
        <v>1926</v>
      </c>
      <c r="C3417" t="s">
        <v>2216</v>
      </c>
      <c r="D3417" s="9">
        <v>45105</v>
      </c>
      <c r="E3417" t="s">
        <v>2327</v>
      </c>
      <c r="F3417" s="20">
        <v>5</v>
      </c>
      <c r="G3417" t="s">
        <v>2339</v>
      </c>
      <c r="H3417">
        <v>924.02</v>
      </c>
      <c r="I3417" s="16" t="str">
        <f t="shared" si="53"/>
        <v>Normal</v>
      </c>
      <c r="J3417">
        <v>5</v>
      </c>
    </row>
    <row r="3418" spans="1:10">
      <c r="A3418" t="s">
        <v>5824</v>
      </c>
      <c r="B3418" t="s">
        <v>1274</v>
      </c>
      <c r="C3418" t="s">
        <v>2261</v>
      </c>
      <c r="D3418" s="9">
        <v>45766</v>
      </c>
      <c r="E3418" t="s">
        <v>2330</v>
      </c>
      <c r="F3418" s="20">
        <v>100</v>
      </c>
      <c r="G3418" t="s">
        <v>2325</v>
      </c>
      <c r="I3418" s="16" t="str">
        <f t="shared" si="53"/>
        <v>Unknown</v>
      </c>
      <c r="J3418" t="s">
        <v>39</v>
      </c>
    </row>
    <row r="3419" spans="1:10">
      <c r="A3419" t="s">
        <v>5825</v>
      </c>
      <c r="B3419" t="s">
        <v>1748</v>
      </c>
      <c r="C3419" t="s">
        <v>2267</v>
      </c>
      <c r="D3419" s="9">
        <v>45878</v>
      </c>
      <c r="E3419" t="s">
        <v>2330</v>
      </c>
      <c r="F3419" s="20">
        <v>100</v>
      </c>
      <c r="G3419" t="s">
        <v>2345</v>
      </c>
      <c r="H3419">
        <v>596.1</v>
      </c>
      <c r="I3419" s="16" t="str">
        <f t="shared" si="53"/>
        <v>Normal</v>
      </c>
      <c r="J3419" t="s">
        <v>39</v>
      </c>
    </row>
    <row r="3420" spans="1:10">
      <c r="A3420" t="s">
        <v>5826</v>
      </c>
      <c r="B3420" t="s">
        <v>558</v>
      </c>
      <c r="C3420" t="s">
        <v>2251</v>
      </c>
      <c r="D3420" s="9">
        <v>45490</v>
      </c>
      <c r="E3420" t="s">
        <v>2330</v>
      </c>
      <c r="G3420" t="s">
        <v>23</v>
      </c>
      <c r="H3420">
        <v>-1500</v>
      </c>
      <c r="I3420" s="16" t="str">
        <f t="shared" si="53"/>
        <v>Review</v>
      </c>
      <c r="J3420" t="s">
        <v>39</v>
      </c>
    </row>
    <row r="3421" spans="1:10">
      <c r="A3421" t="s">
        <v>5827</v>
      </c>
      <c r="B3421" t="s">
        <v>71</v>
      </c>
      <c r="C3421" t="s">
        <v>2218</v>
      </c>
      <c r="D3421" s="9">
        <v>45229</v>
      </c>
      <c r="E3421" t="s">
        <v>2330</v>
      </c>
      <c r="F3421" s="20">
        <v>100</v>
      </c>
      <c r="G3421" t="s">
        <v>2325</v>
      </c>
      <c r="H3421">
        <v>1048.3599999999999</v>
      </c>
      <c r="I3421" s="16" t="str">
        <f t="shared" si="53"/>
        <v>Normal</v>
      </c>
      <c r="J3421">
        <v>1</v>
      </c>
    </row>
    <row r="3422" spans="1:10">
      <c r="A3422" t="s">
        <v>5828</v>
      </c>
      <c r="B3422" t="s">
        <v>491</v>
      </c>
      <c r="C3422" t="s">
        <v>2251</v>
      </c>
      <c r="D3422" s="9">
        <v>46169</v>
      </c>
      <c r="E3422" t="s">
        <v>2330</v>
      </c>
      <c r="F3422" s="20">
        <v>100</v>
      </c>
      <c r="G3422" t="s">
        <v>2328</v>
      </c>
      <c r="H3422">
        <v>1500</v>
      </c>
      <c r="I3422" s="16" t="str">
        <f t="shared" si="53"/>
        <v>Normal</v>
      </c>
      <c r="J3422">
        <v>5</v>
      </c>
    </row>
    <row r="3423" spans="1:10">
      <c r="A3423" t="s">
        <v>5829</v>
      </c>
      <c r="B3423" t="s">
        <v>343</v>
      </c>
      <c r="C3423" t="s">
        <v>2205</v>
      </c>
      <c r="D3423" s="9">
        <v>45770</v>
      </c>
      <c r="E3423" t="s">
        <v>23</v>
      </c>
      <c r="G3423" t="s">
        <v>2345</v>
      </c>
      <c r="H3423">
        <v>1500</v>
      </c>
      <c r="I3423" s="16" t="str">
        <f t="shared" si="53"/>
        <v>Normal</v>
      </c>
      <c r="J3423">
        <v>5</v>
      </c>
    </row>
    <row r="3424" spans="1:10">
      <c r="A3424" t="s">
        <v>5830</v>
      </c>
      <c r="B3424" t="s">
        <v>1026</v>
      </c>
      <c r="C3424" t="s">
        <v>2235</v>
      </c>
      <c r="D3424" s="9">
        <v>45678</v>
      </c>
      <c r="E3424" t="s">
        <v>23</v>
      </c>
      <c r="G3424" t="s">
        <v>2331</v>
      </c>
      <c r="H3424">
        <v>3000</v>
      </c>
      <c r="I3424" s="16" t="str">
        <f t="shared" si="53"/>
        <v>Normal</v>
      </c>
      <c r="J3424" t="s">
        <v>39</v>
      </c>
    </row>
    <row r="3425" spans="1:10">
      <c r="A3425" t="s">
        <v>5831</v>
      </c>
      <c r="B3425" t="s">
        <v>457</v>
      </c>
      <c r="C3425" t="s">
        <v>2237</v>
      </c>
      <c r="D3425" s="9">
        <v>45898</v>
      </c>
      <c r="E3425" t="s">
        <v>2337</v>
      </c>
      <c r="G3425" t="s">
        <v>2328</v>
      </c>
      <c r="H3425">
        <v>1500</v>
      </c>
      <c r="I3425" s="16" t="str">
        <f t="shared" si="53"/>
        <v>Normal</v>
      </c>
      <c r="J3425" t="s">
        <v>39</v>
      </c>
    </row>
    <row r="3426" spans="1:10">
      <c r="A3426" t="s">
        <v>5832</v>
      </c>
      <c r="B3426" t="s">
        <v>1126</v>
      </c>
      <c r="C3426" t="s">
        <v>2228</v>
      </c>
      <c r="D3426" s="9">
        <v>45900</v>
      </c>
      <c r="E3426" t="s">
        <v>2324</v>
      </c>
      <c r="F3426" s="20">
        <v>40</v>
      </c>
      <c r="G3426" t="s">
        <v>2339</v>
      </c>
      <c r="H3426">
        <v>799</v>
      </c>
      <c r="I3426" s="16" t="str">
        <f t="shared" si="53"/>
        <v>Normal</v>
      </c>
      <c r="J3426">
        <v>2</v>
      </c>
    </row>
    <row r="3427" spans="1:10">
      <c r="A3427" t="s">
        <v>5833</v>
      </c>
      <c r="B3427" t="s">
        <v>390</v>
      </c>
      <c r="C3427" t="s">
        <v>2228</v>
      </c>
      <c r="D3427" s="9">
        <v>45370</v>
      </c>
      <c r="E3427" t="s">
        <v>2330</v>
      </c>
      <c r="F3427" s="20">
        <v>100</v>
      </c>
      <c r="G3427" t="s">
        <v>2339</v>
      </c>
      <c r="H3427">
        <v>799</v>
      </c>
      <c r="I3427" s="16" t="str">
        <f t="shared" si="53"/>
        <v>Normal</v>
      </c>
      <c r="J3427">
        <v>5</v>
      </c>
    </row>
    <row r="3428" spans="1:10">
      <c r="A3428" t="s">
        <v>5834</v>
      </c>
      <c r="B3428" t="s">
        <v>1620</v>
      </c>
      <c r="C3428" t="s">
        <v>2222</v>
      </c>
      <c r="D3428" s="9">
        <v>45757</v>
      </c>
      <c r="E3428" t="s">
        <v>2324</v>
      </c>
      <c r="F3428" s="20">
        <v>25</v>
      </c>
      <c r="G3428" t="s">
        <v>23</v>
      </c>
      <c r="H3428">
        <v>0</v>
      </c>
      <c r="I3428" s="16" t="str">
        <f t="shared" si="53"/>
        <v>Zero Amount</v>
      </c>
      <c r="J3428" t="s">
        <v>39</v>
      </c>
    </row>
    <row r="3429" spans="1:10">
      <c r="A3429" t="s">
        <v>5835</v>
      </c>
      <c r="B3429" t="s">
        <v>762</v>
      </c>
      <c r="C3429" t="s">
        <v>2251</v>
      </c>
      <c r="D3429" s="9">
        <v>45929</v>
      </c>
      <c r="E3429" t="s">
        <v>2337</v>
      </c>
      <c r="G3429" t="s">
        <v>2325</v>
      </c>
      <c r="H3429">
        <v>1500</v>
      </c>
      <c r="I3429" s="16" t="str">
        <f t="shared" si="53"/>
        <v>Normal</v>
      </c>
      <c r="J3429">
        <v>5</v>
      </c>
    </row>
    <row r="3430" spans="1:10">
      <c r="A3430" t="s">
        <v>5836</v>
      </c>
      <c r="B3430" t="s">
        <v>1004</v>
      </c>
      <c r="C3430" t="s">
        <v>2259</v>
      </c>
      <c r="D3430" s="9">
        <v>45294</v>
      </c>
      <c r="E3430" t="s">
        <v>2330</v>
      </c>
      <c r="F3430" s="20">
        <v>100</v>
      </c>
      <c r="G3430" t="s">
        <v>23</v>
      </c>
      <c r="H3430">
        <v>0</v>
      </c>
      <c r="I3430" s="16" t="str">
        <f t="shared" si="53"/>
        <v>Zero Amount</v>
      </c>
      <c r="J3430">
        <v>4</v>
      </c>
    </row>
    <row r="3431" spans="1:10">
      <c r="A3431" t="s">
        <v>5837</v>
      </c>
      <c r="B3431" t="s">
        <v>1736</v>
      </c>
      <c r="C3431" t="s">
        <v>2273</v>
      </c>
      <c r="D3431" s="9">
        <v>45296</v>
      </c>
      <c r="E3431" t="s">
        <v>2330</v>
      </c>
      <c r="F3431" s="20">
        <v>100</v>
      </c>
      <c r="G3431" t="s">
        <v>2331</v>
      </c>
      <c r="H3431">
        <v>799</v>
      </c>
      <c r="I3431" s="16" t="str">
        <f t="shared" si="53"/>
        <v>Normal</v>
      </c>
      <c r="J3431">
        <v>1</v>
      </c>
    </row>
    <row r="3432" spans="1:10">
      <c r="A3432" t="s">
        <v>5838</v>
      </c>
      <c r="B3432" t="s">
        <v>125</v>
      </c>
      <c r="C3432" t="s">
        <v>2216</v>
      </c>
      <c r="D3432" s="9">
        <v>45809</v>
      </c>
      <c r="E3432" t="s">
        <v>2324</v>
      </c>
      <c r="F3432" s="20">
        <v>60</v>
      </c>
      <c r="G3432" t="s">
        <v>2328</v>
      </c>
      <c r="H3432">
        <v>1200</v>
      </c>
      <c r="I3432" s="16" t="str">
        <f t="shared" si="53"/>
        <v>Normal</v>
      </c>
      <c r="J3432">
        <v>5</v>
      </c>
    </row>
    <row r="3433" spans="1:10">
      <c r="A3433" t="s">
        <v>5839</v>
      </c>
      <c r="B3433" t="s">
        <v>1303</v>
      </c>
      <c r="C3433" t="s">
        <v>2264</v>
      </c>
      <c r="D3433" s="9">
        <v>45640</v>
      </c>
      <c r="E3433" t="s">
        <v>2324</v>
      </c>
      <c r="F3433" s="20">
        <v>75</v>
      </c>
      <c r="G3433" t="s">
        <v>2345</v>
      </c>
      <c r="H3433">
        <v>2500</v>
      </c>
      <c r="I3433" s="16" t="str">
        <f t="shared" si="53"/>
        <v>Normal</v>
      </c>
      <c r="J3433" t="s">
        <v>39</v>
      </c>
    </row>
    <row r="3434" spans="1:10">
      <c r="A3434" t="s">
        <v>5840</v>
      </c>
      <c r="B3434" t="s">
        <v>1480</v>
      </c>
      <c r="C3434" t="s">
        <v>2233</v>
      </c>
      <c r="D3434" s="9">
        <v>45228</v>
      </c>
      <c r="E3434" t="s">
        <v>2337</v>
      </c>
      <c r="F3434" s="20">
        <v>0</v>
      </c>
      <c r="G3434" t="s">
        <v>2325</v>
      </c>
      <c r="H3434">
        <v>1338.02</v>
      </c>
      <c r="I3434" s="16" t="str">
        <f t="shared" si="53"/>
        <v>Normal</v>
      </c>
      <c r="J3434">
        <v>4</v>
      </c>
    </row>
    <row r="3435" spans="1:10">
      <c r="A3435" t="s">
        <v>5841</v>
      </c>
      <c r="B3435" t="s">
        <v>1133</v>
      </c>
      <c r="C3435" t="s">
        <v>2237</v>
      </c>
      <c r="D3435" s="9">
        <v>45195</v>
      </c>
      <c r="E3435" t="s">
        <v>23</v>
      </c>
      <c r="G3435" t="s">
        <v>2328</v>
      </c>
      <c r="H3435">
        <v>1500</v>
      </c>
      <c r="I3435" s="16" t="str">
        <f t="shared" si="53"/>
        <v>Normal</v>
      </c>
      <c r="J3435" t="s">
        <v>39</v>
      </c>
    </row>
    <row r="3436" spans="1:10">
      <c r="A3436" t="s">
        <v>5842</v>
      </c>
      <c r="B3436" t="s">
        <v>943</v>
      </c>
      <c r="C3436" t="s">
        <v>2205</v>
      </c>
      <c r="D3436" s="9">
        <v>46134</v>
      </c>
      <c r="E3436" t="s">
        <v>2324</v>
      </c>
      <c r="F3436" s="20">
        <v>75</v>
      </c>
      <c r="G3436" t="s">
        <v>2345</v>
      </c>
      <c r="H3436">
        <v>1500</v>
      </c>
      <c r="I3436" s="16" t="str">
        <f t="shared" si="53"/>
        <v>Normal</v>
      </c>
      <c r="J3436">
        <v>4</v>
      </c>
    </row>
    <row r="3437" spans="1:10">
      <c r="A3437" t="s">
        <v>5843</v>
      </c>
      <c r="B3437" t="s">
        <v>886</v>
      </c>
      <c r="C3437" t="s">
        <v>2241</v>
      </c>
      <c r="D3437" s="9">
        <v>45964</v>
      </c>
      <c r="E3437" t="s">
        <v>2327</v>
      </c>
      <c r="F3437" s="20">
        <v>15</v>
      </c>
      <c r="G3437" t="s">
        <v>2328</v>
      </c>
      <c r="H3437">
        <v>2500</v>
      </c>
      <c r="I3437" s="16" t="str">
        <f t="shared" si="53"/>
        <v>Normal</v>
      </c>
      <c r="J3437" t="s">
        <v>39</v>
      </c>
    </row>
    <row r="3438" spans="1:10">
      <c r="A3438" t="s">
        <v>5844</v>
      </c>
      <c r="B3438" t="s">
        <v>660</v>
      </c>
      <c r="C3438" t="s">
        <v>2205</v>
      </c>
      <c r="D3438" s="9">
        <v>46138</v>
      </c>
      <c r="E3438" t="s">
        <v>2324</v>
      </c>
      <c r="F3438" s="20">
        <v>40</v>
      </c>
      <c r="G3438" t="s">
        <v>2325</v>
      </c>
      <c r="H3438">
        <v>1500</v>
      </c>
      <c r="I3438" s="16" t="str">
        <f t="shared" si="53"/>
        <v>Normal</v>
      </c>
      <c r="J3438">
        <v>4</v>
      </c>
    </row>
    <row r="3439" spans="1:10">
      <c r="A3439" t="s">
        <v>5845</v>
      </c>
      <c r="B3439" t="s">
        <v>1646</v>
      </c>
      <c r="C3439" t="s">
        <v>2222</v>
      </c>
      <c r="D3439" s="9">
        <v>45522</v>
      </c>
      <c r="E3439" t="s">
        <v>2337</v>
      </c>
      <c r="F3439" s="20">
        <v>5</v>
      </c>
      <c r="G3439" t="s">
        <v>2331</v>
      </c>
      <c r="H3439">
        <v>0</v>
      </c>
      <c r="I3439" s="16" t="str">
        <f t="shared" si="53"/>
        <v>Zero Amount</v>
      </c>
      <c r="J3439">
        <v>4</v>
      </c>
    </row>
    <row r="3440" spans="1:10">
      <c r="A3440" t="s">
        <v>5846</v>
      </c>
      <c r="B3440" t="s">
        <v>1233</v>
      </c>
      <c r="C3440" t="s">
        <v>2222</v>
      </c>
      <c r="D3440" s="9">
        <v>45544</v>
      </c>
      <c r="E3440" t="s">
        <v>2330</v>
      </c>
      <c r="F3440" s="20">
        <v>100</v>
      </c>
      <c r="G3440" t="s">
        <v>2331</v>
      </c>
      <c r="H3440">
        <v>0</v>
      </c>
      <c r="I3440" s="16" t="str">
        <f t="shared" si="53"/>
        <v>Zero Amount</v>
      </c>
      <c r="J3440">
        <v>5</v>
      </c>
    </row>
    <row r="3441" spans="1:10">
      <c r="A3441" t="s">
        <v>5847</v>
      </c>
      <c r="B3441" t="s">
        <v>1087</v>
      </c>
      <c r="C3441" t="s">
        <v>2233</v>
      </c>
      <c r="D3441" s="9">
        <v>45861</v>
      </c>
      <c r="E3441" t="s">
        <v>2337</v>
      </c>
      <c r="F3441" s="20">
        <v>15</v>
      </c>
      <c r="G3441" t="s">
        <v>2345</v>
      </c>
      <c r="H3441">
        <v>2500</v>
      </c>
      <c r="I3441" s="16" t="str">
        <f t="shared" si="53"/>
        <v>Normal</v>
      </c>
      <c r="J3441">
        <v>1</v>
      </c>
    </row>
    <row r="3442" spans="1:10">
      <c r="A3442" t="s">
        <v>5848</v>
      </c>
      <c r="B3442" t="s">
        <v>1902</v>
      </c>
      <c r="C3442" t="s">
        <v>2237</v>
      </c>
      <c r="D3442" s="9">
        <v>45249</v>
      </c>
      <c r="E3442" t="s">
        <v>2330</v>
      </c>
      <c r="F3442" s="20">
        <v>100</v>
      </c>
      <c r="G3442" t="s">
        <v>2331</v>
      </c>
      <c r="H3442">
        <v>1500</v>
      </c>
      <c r="I3442" s="16" t="str">
        <f t="shared" si="53"/>
        <v>Normal</v>
      </c>
      <c r="J3442" t="s">
        <v>39</v>
      </c>
    </row>
    <row r="3443" spans="1:10">
      <c r="A3443" t="s">
        <v>5849</v>
      </c>
      <c r="B3443" t="s">
        <v>95</v>
      </c>
      <c r="C3443" t="s">
        <v>2253</v>
      </c>
      <c r="D3443" s="9">
        <v>45474</v>
      </c>
      <c r="E3443" t="s">
        <v>23</v>
      </c>
      <c r="G3443" t="s">
        <v>2328</v>
      </c>
      <c r="H3443">
        <v>1200</v>
      </c>
      <c r="I3443" s="16" t="str">
        <f t="shared" si="53"/>
        <v>Normal</v>
      </c>
      <c r="J3443">
        <v>1</v>
      </c>
    </row>
    <row r="3444" spans="1:10">
      <c r="A3444" t="s">
        <v>5850</v>
      </c>
      <c r="B3444" t="s">
        <v>850</v>
      </c>
      <c r="C3444" t="s">
        <v>2253</v>
      </c>
      <c r="D3444" s="9">
        <v>45203</v>
      </c>
      <c r="E3444" t="s">
        <v>2327</v>
      </c>
      <c r="F3444" s="20">
        <v>15</v>
      </c>
      <c r="G3444" t="s">
        <v>23</v>
      </c>
      <c r="H3444">
        <v>1200</v>
      </c>
      <c r="I3444" s="16" t="str">
        <f t="shared" si="53"/>
        <v>Normal</v>
      </c>
      <c r="J3444">
        <v>4</v>
      </c>
    </row>
    <row r="3445" spans="1:10">
      <c r="A3445" t="s">
        <v>5851</v>
      </c>
      <c r="B3445" t="s">
        <v>787</v>
      </c>
      <c r="C3445" t="s">
        <v>2259</v>
      </c>
      <c r="D3445" s="9">
        <v>45487</v>
      </c>
      <c r="E3445" t="s">
        <v>2327</v>
      </c>
      <c r="F3445" s="20">
        <v>5</v>
      </c>
      <c r="G3445" t="s">
        <v>23</v>
      </c>
      <c r="H3445">
        <v>0</v>
      </c>
      <c r="I3445" s="16" t="str">
        <f t="shared" si="53"/>
        <v>Zero Amount</v>
      </c>
      <c r="J3445">
        <v>1</v>
      </c>
    </row>
    <row r="3446" spans="1:10">
      <c r="A3446" t="s">
        <v>5852</v>
      </c>
      <c r="B3446" t="s">
        <v>5853</v>
      </c>
      <c r="C3446" t="s">
        <v>2247</v>
      </c>
      <c r="D3446" s="9">
        <v>45873</v>
      </c>
      <c r="E3446" t="s">
        <v>2324</v>
      </c>
      <c r="F3446" s="20">
        <v>55</v>
      </c>
      <c r="G3446" t="s">
        <v>2331</v>
      </c>
      <c r="I3446" s="16" t="str">
        <f t="shared" si="53"/>
        <v>Unknown</v>
      </c>
      <c r="J3446">
        <v>4</v>
      </c>
    </row>
    <row r="3447" spans="1:10">
      <c r="A3447" t="s">
        <v>5854</v>
      </c>
      <c r="B3447" t="s">
        <v>2139</v>
      </c>
      <c r="C3447" t="s">
        <v>2202</v>
      </c>
      <c r="D3447" s="9">
        <v>46061</v>
      </c>
      <c r="E3447" t="s">
        <v>2330</v>
      </c>
      <c r="F3447" s="20">
        <v>100</v>
      </c>
      <c r="G3447" t="s">
        <v>2328</v>
      </c>
      <c r="H3447">
        <v>999.99</v>
      </c>
      <c r="I3447" s="16" t="str">
        <f t="shared" si="53"/>
        <v>Normal</v>
      </c>
      <c r="J3447">
        <v>2</v>
      </c>
    </row>
    <row r="3448" spans="1:10">
      <c r="A3448" t="s">
        <v>5855</v>
      </c>
      <c r="B3448" t="s">
        <v>1480</v>
      </c>
      <c r="C3448" t="s">
        <v>2259</v>
      </c>
      <c r="D3448" s="9">
        <v>45645</v>
      </c>
      <c r="E3448" t="s">
        <v>2330</v>
      </c>
      <c r="F3448" s="20">
        <v>100</v>
      </c>
      <c r="G3448" t="s">
        <v>2339</v>
      </c>
      <c r="H3448">
        <v>0</v>
      </c>
      <c r="I3448" s="16" t="str">
        <f t="shared" si="53"/>
        <v>Zero Amount</v>
      </c>
      <c r="J3448">
        <v>5</v>
      </c>
    </row>
    <row r="3449" spans="1:10">
      <c r="A3449" t="s">
        <v>5856</v>
      </c>
      <c r="B3449" t="s">
        <v>1544</v>
      </c>
      <c r="C3449" t="s">
        <v>2222</v>
      </c>
      <c r="D3449" s="9">
        <v>45536</v>
      </c>
      <c r="E3449" t="s">
        <v>23</v>
      </c>
      <c r="G3449" t="s">
        <v>2325</v>
      </c>
      <c r="H3449">
        <v>0</v>
      </c>
      <c r="I3449" s="16" t="str">
        <f t="shared" si="53"/>
        <v>Zero Amount</v>
      </c>
      <c r="J3449">
        <v>5</v>
      </c>
    </row>
    <row r="3450" spans="1:10">
      <c r="A3450" t="s">
        <v>5857</v>
      </c>
      <c r="B3450" t="s">
        <v>1740</v>
      </c>
      <c r="C3450" t="s">
        <v>2241</v>
      </c>
      <c r="D3450" s="9">
        <v>45331</v>
      </c>
      <c r="E3450" t="s">
        <v>2324</v>
      </c>
      <c r="F3450" s="20">
        <v>75</v>
      </c>
      <c r="G3450" t="s">
        <v>2328</v>
      </c>
      <c r="H3450">
        <v>2500</v>
      </c>
      <c r="I3450" s="16" t="str">
        <f t="shared" si="53"/>
        <v>Normal</v>
      </c>
      <c r="J3450">
        <v>2</v>
      </c>
    </row>
    <row r="3451" spans="1:10">
      <c r="A3451" t="s">
        <v>5858</v>
      </c>
      <c r="B3451" t="s">
        <v>256</v>
      </c>
      <c r="C3451" t="s">
        <v>2264</v>
      </c>
      <c r="D3451" s="9">
        <v>45346</v>
      </c>
      <c r="E3451" t="s">
        <v>2330</v>
      </c>
      <c r="F3451" s="20">
        <v>100</v>
      </c>
      <c r="G3451" t="s">
        <v>2331</v>
      </c>
      <c r="H3451">
        <v>2500</v>
      </c>
      <c r="I3451" s="16" t="str">
        <f t="shared" si="53"/>
        <v>Normal</v>
      </c>
      <c r="J3451">
        <v>4</v>
      </c>
    </row>
    <row r="3452" spans="1:10">
      <c r="A3452" t="s">
        <v>5859</v>
      </c>
      <c r="B3452" t="s">
        <v>1548</v>
      </c>
      <c r="C3452" t="s">
        <v>2222</v>
      </c>
      <c r="D3452" s="9">
        <v>46178</v>
      </c>
      <c r="E3452" t="s">
        <v>2324</v>
      </c>
      <c r="F3452" s="20">
        <v>75</v>
      </c>
      <c r="G3452" t="s">
        <v>2345</v>
      </c>
      <c r="H3452">
        <v>0</v>
      </c>
      <c r="I3452" s="16" t="str">
        <f t="shared" si="53"/>
        <v>Zero Amount</v>
      </c>
      <c r="J3452">
        <v>5</v>
      </c>
    </row>
    <row r="3453" spans="1:10">
      <c r="A3453" t="s">
        <v>5860</v>
      </c>
      <c r="B3453" t="s">
        <v>1319</v>
      </c>
      <c r="C3453" t="s">
        <v>2261</v>
      </c>
      <c r="D3453" s="9">
        <v>45791</v>
      </c>
      <c r="E3453" t="s">
        <v>2330</v>
      </c>
      <c r="F3453" s="20">
        <v>100</v>
      </c>
      <c r="G3453" t="s">
        <v>2345</v>
      </c>
      <c r="I3453" s="16" t="str">
        <f t="shared" si="53"/>
        <v>Unknown</v>
      </c>
      <c r="J3453">
        <v>2</v>
      </c>
    </row>
    <row r="3454" spans="1:10">
      <c r="A3454" t="s">
        <v>5861</v>
      </c>
      <c r="B3454" t="s">
        <v>976</v>
      </c>
      <c r="C3454" t="s">
        <v>2273</v>
      </c>
      <c r="D3454" s="9">
        <v>45470</v>
      </c>
      <c r="E3454" t="s">
        <v>2330</v>
      </c>
      <c r="F3454" s="20">
        <v>100</v>
      </c>
      <c r="G3454" t="s">
        <v>2345</v>
      </c>
      <c r="H3454">
        <v>799</v>
      </c>
      <c r="I3454" s="16" t="str">
        <f t="shared" si="53"/>
        <v>Normal</v>
      </c>
      <c r="J3454">
        <v>1</v>
      </c>
    </row>
    <row r="3455" spans="1:10">
      <c r="A3455" t="s">
        <v>5862</v>
      </c>
      <c r="B3455" t="s">
        <v>1233</v>
      </c>
      <c r="C3455" t="s">
        <v>2205</v>
      </c>
      <c r="D3455" s="9">
        <v>45921</v>
      </c>
      <c r="E3455" t="s">
        <v>2330</v>
      </c>
      <c r="F3455" s="20">
        <v>100</v>
      </c>
      <c r="G3455" t="s">
        <v>2331</v>
      </c>
      <c r="H3455">
        <v>1500</v>
      </c>
      <c r="I3455" s="16" t="str">
        <f t="shared" si="53"/>
        <v>Normal</v>
      </c>
      <c r="J3455">
        <v>3</v>
      </c>
    </row>
    <row r="3456" spans="1:10">
      <c r="A3456" t="s">
        <v>5863</v>
      </c>
      <c r="B3456" t="s">
        <v>360</v>
      </c>
      <c r="C3456" t="s">
        <v>2244</v>
      </c>
      <c r="D3456" s="9">
        <v>45672</v>
      </c>
      <c r="E3456" t="s">
        <v>23</v>
      </c>
      <c r="G3456" t="s">
        <v>2345</v>
      </c>
      <c r="H3456">
        <v>1200</v>
      </c>
      <c r="I3456" s="16" t="str">
        <f t="shared" si="53"/>
        <v>Normal</v>
      </c>
      <c r="J3456">
        <v>5</v>
      </c>
    </row>
    <row r="3457" spans="1:10">
      <c r="A3457" t="s">
        <v>5864</v>
      </c>
      <c r="B3457" t="s">
        <v>1676</v>
      </c>
      <c r="C3457" t="s">
        <v>2235</v>
      </c>
      <c r="D3457" s="9">
        <v>45120</v>
      </c>
      <c r="E3457" t="s">
        <v>2330</v>
      </c>
      <c r="F3457" s="20">
        <v>100</v>
      </c>
      <c r="G3457" t="s">
        <v>2345</v>
      </c>
      <c r="H3457">
        <v>3000</v>
      </c>
      <c r="I3457" s="16" t="str">
        <f t="shared" si="53"/>
        <v>Normal</v>
      </c>
      <c r="J3457">
        <v>5</v>
      </c>
    </row>
    <row r="3458" spans="1:10">
      <c r="A3458" t="s">
        <v>5865</v>
      </c>
      <c r="B3458" t="s">
        <v>1336</v>
      </c>
      <c r="C3458" t="s">
        <v>2193</v>
      </c>
      <c r="D3458" s="9">
        <v>45762</v>
      </c>
      <c r="E3458" t="s">
        <v>2337</v>
      </c>
      <c r="G3458" t="s">
        <v>2345</v>
      </c>
      <c r="H3458">
        <v>0</v>
      </c>
      <c r="I3458" s="16" t="str">
        <f t="shared" si="53"/>
        <v>Zero Amount</v>
      </c>
      <c r="J3458">
        <v>3</v>
      </c>
    </row>
    <row r="3459" spans="1:10">
      <c r="A3459" t="s">
        <v>5866</v>
      </c>
      <c r="B3459" t="s">
        <v>1476</v>
      </c>
      <c r="C3459" t="s">
        <v>2209</v>
      </c>
      <c r="D3459" s="9">
        <v>46174</v>
      </c>
      <c r="E3459" t="s">
        <v>2324</v>
      </c>
      <c r="F3459" s="20">
        <v>10</v>
      </c>
      <c r="G3459" t="s">
        <v>2328</v>
      </c>
      <c r="H3459">
        <v>499</v>
      </c>
      <c r="I3459" s="16" t="str">
        <f t="shared" ref="I3459:I3501" si="54">IF(H3459="", "Unknown", IF(H3459=0, "Zero Amount", IF(H3459&lt;1, "Review", IF(H3459&gt;1, "Normal"))))</f>
        <v>Normal</v>
      </c>
      <c r="J3459" t="s">
        <v>39</v>
      </c>
    </row>
    <row r="3460" spans="1:10">
      <c r="A3460" t="s">
        <v>5867</v>
      </c>
      <c r="B3460" t="s">
        <v>1069</v>
      </c>
      <c r="C3460" t="s">
        <v>2231</v>
      </c>
      <c r="D3460" s="9">
        <v>45162</v>
      </c>
      <c r="E3460" t="s">
        <v>2327</v>
      </c>
      <c r="F3460" s="20">
        <v>15</v>
      </c>
      <c r="G3460" t="s">
        <v>2325</v>
      </c>
      <c r="H3460">
        <v>3000</v>
      </c>
      <c r="I3460" s="16" t="str">
        <f t="shared" si="54"/>
        <v>Normal</v>
      </c>
      <c r="J3460">
        <v>1</v>
      </c>
    </row>
    <row r="3461" spans="1:10">
      <c r="A3461" t="s">
        <v>5868</v>
      </c>
      <c r="B3461" t="s">
        <v>1347</v>
      </c>
      <c r="C3461" t="s">
        <v>2218</v>
      </c>
      <c r="D3461" s="9">
        <v>45506</v>
      </c>
      <c r="E3461" t="s">
        <v>2337</v>
      </c>
      <c r="G3461" t="s">
        <v>2331</v>
      </c>
      <c r="H3461">
        <v>1500</v>
      </c>
      <c r="I3461" s="16" t="str">
        <f t="shared" si="54"/>
        <v>Normal</v>
      </c>
      <c r="J3461">
        <v>3</v>
      </c>
    </row>
    <row r="3462" spans="1:10">
      <c r="A3462" t="s">
        <v>5869</v>
      </c>
      <c r="B3462" t="s">
        <v>725</v>
      </c>
      <c r="C3462" t="s">
        <v>2267</v>
      </c>
      <c r="D3462" s="9">
        <v>45282</v>
      </c>
      <c r="E3462" t="s">
        <v>2324</v>
      </c>
      <c r="F3462" s="20">
        <v>55</v>
      </c>
      <c r="G3462" t="s">
        <v>23</v>
      </c>
      <c r="H3462">
        <v>999.99</v>
      </c>
      <c r="I3462" s="16" t="str">
        <f t="shared" si="54"/>
        <v>Normal</v>
      </c>
      <c r="J3462" t="s">
        <v>39</v>
      </c>
    </row>
    <row r="3463" spans="1:10">
      <c r="A3463" t="s">
        <v>5870</v>
      </c>
      <c r="B3463" t="s">
        <v>274</v>
      </c>
      <c r="C3463" t="s">
        <v>2187</v>
      </c>
      <c r="D3463" s="9">
        <v>46154</v>
      </c>
      <c r="E3463" t="s">
        <v>2330</v>
      </c>
      <c r="F3463" s="20">
        <v>100</v>
      </c>
      <c r="G3463" t="s">
        <v>2345</v>
      </c>
      <c r="H3463">
        <v>-799</v>
      </c>
      <c r="I3463" s="16" t="str">
        <f t="shared" si="54"/>
        <v>Review</v>
      </c>
      <c r="J3463">
        <v>1</v>
      </c>
    </row>
    <row r="3464" spans="1:10">
      <c r="A3464" t="s">
        <v>5871</v>
      </c>
      <c r="B3464" t="s">
        <v>1565</v>
      </c>
      <c r="C3464" t="s">
        <v>2249</v>
      </c>
      <c r="D3464" s="9">
        <v>45677</v>
      </c>
      <c r="E3464" t="s">
        <v>2337</v>
      </c>
      <c r="F3464" s="20">
        <v>20</v>
      </c>
      <c r="G3464" t="s">
        <v>2345</v>
      </c>
      <c r="H3464">
        <v>1500</v>
      </c>
      <c r="I3464" s="16" t="str">
        <f t="shared" si="54"/>
        <v>Normal</v>
      </c>
      <c r="J3464" t="s">
        <v>39</v>
      </c>
    </row>
    <row r="3465" spans="1:10">
      <c r="A3465" t="s">
        <v>5872</v>
      </c>
      <c r="B3465" t="s">
        <v>817</v>
      </c>
      <c r="C3465" t="s">
        <v>2237</v>
      </c>
      <c r="D3465" s="9">
        <v>45103</v>
      </c>
      <c r="E3465" t="s">
        <v>2330</v>
      </c>
      <c r="G3465" t="s">
        <v>2328</v>
      </c>
      <c r="H3465">
        <v>1500</v>
      </c>
      <c r="I3465" s="16" t="str">
        <f t="shared" si="54"/>
        <v>Normal</v>
      </c>
      <c r="J3465">
        <v>5</v>
      </c>
    </row>
    <row r="3466" spans="1:10">
      <c r="A3466" t="s">
        <v>5873</v>
      </c>
      <c r="B3466" t="s">
        <v>2147</v>
      </c>
      <c r="C3466" t="s">
        <v>2202</v>
      </c>
      <c r="D3466" s="9">
        <v>45519</v>
      </c>
      <c r="E3466" t="s">
        <v>2324</v>
      </c>
      <c r="F3466" s="20">
        <v>55</v>
      </c>
      <c r="G3466" t="s">
        <v>2331</v>
      </c>
      <c r="H3466">
        <v>999.99</v>
      </c>
      <c r="I3466" s="16" t="str">
        <f t="shared" si="54"/>
        <v>Normal</v>
      </c>
      <c r="J3466" t="s">
        <v>39</v>
      </c>
    </row>
    <row r="3467" spans="1:10">
      <c r="A3467" t="s">
        <v>5874</v>
      </c>
      <c r="B3467" t="s">
        <v>1278</v>
      </c>
      <c r="C3467" t="s">
        <v>2193</v>
      </c>
      <c r="D3467" s="9">
        <v>45128</v>
      </c>
      <c r="E3467" t="s">
        <v>2337</v>
      </c>
      <c r="F3467" s="20">
        <v>15</v>
      </c>
      <c r="G3467" t="s">
        <v>2328</v>
      </c>
      <c r="H3467">
        <v>0</v>
      </c>
      <c r="I3467" s="16" t="str">
        <f t="shared" si="54"/>
        <v>Zero Amount</v>
      </c>
      <c r="J3467">
        <v>3</v>
      </c>
    </row>
    <row r="3468" spans="1:10">
      <c r="A3468" t="s">
        <v>5875</v>
      </c>
      <c r="B3468" t="s">
        <v>1864</v>
      </c>
      <c r="C3468" t="s">
        <v>2257</v>
      </c>
      <c r="D3468" s="9">
        <v>46090</v>
      </c>
      <c r="E3468" t="s">
        <v>2324</v>
      </c>
      <c r="F3468" s="20">
        <v>75</v>
      </c>
      <c r="G3468" t="s">
        <v>2345</v>
      </c>
      <c r="I3468" s="16" t="str">
        <f t="shared" si="54"/>
        <v>Unknown</v>
      </c>
      <c r="J3468">
        <v>4</v>
      </c>
    </row>
    <row r="3469" spans="1:10">
      <c r="A3469" t="s">
        <v>5876</v>
      </c>
      <c r="B3469" t="s">
        <v>203</v>
      </c>
      <c r="C3469" t="s">
        <v>2264</v>
      </c>
      <c r="D3469" s="9">
        <v>45715</v>
      </c>
      <c r="E3469" t="s">
        <v>2324</v>
      </c>
      <c r="F3469" s="20">
        <v>40</v>
      </c>
      <c r="G3469" t="s">
        <v>2325</v>
      </c>
      <c r="H3469">
        <v>1553.01</v>
      </c>
      <c r="I3469" s="16" t="str">
        <f t="shared" si="54"/>
        <v>Normal</v>
      </c>
      <c r="J3469">
        <v>5</v>
      </c>
    </row>
    <row r="3470" spans="1:10">
      <c r="A3470" t="s">
        <v>5877</v>
      </c>
      <c r="B3470" t="s">
        <v>832</v>
      </c>
      <c r="C3470" t="s">
        <v>2228</v>
      </c>
      <c r="D3470" s="9">
        <v>46039</v>
      </c>
      <c r="E3470" t="s">
        <v>2337</v>
      </c>
      <c r="F3470" s="20">
        <v>20</v>
      </c>
      <c r="G3470" t="s">
        <v>2325</v>
      </c>
      <c r="H3470">
        <v>799</v>
      </c>
      <c r="I3470" s="16" t="str">
        <f t="shared" si="54"/>
        <v>Normal</v>
      </c>
      <c r="J3470" t="s">
        <v>39</v>
      </c>
    </row>
    <row r="3471" spans="1:10">
      <c r="A3471" t="s">
        <v>5878</v>
      </c>
      <c r="B3471" t="s">
        <v>1907</v>
      </c>
      <c r="C3471" t="s">
        <v>2225</v>
      </c>
      <c r="D3471" s="9">
        <v>46086</v>
      </c>
      <c r="E3471" t="s">
        <v>2330</v>
      </c>
      <c r="F3471" s="20">
        <v>100</v>
      </c>
      <c r="G3471" t="s">
        <v>2331</v>
      </c>
      <c r="I3471" s="16" t="str">
        <f t="shared" si="54"/>
        <v>Unknown</v>
      </c>
      <c r="J3471" t="s">
        <v>39</v>
      </c>
    </row>
    <row r="3472" spans="1:10">
      <c r="A3472" t="s">
        <v>5879</v>
      </c>
      <c r="B3472" t="s">
        <v>1786</v>
      </c>
      <c r="C3472" t="s">
        <v>2213</v>
      </c>
      <c r="D3472" s="9">
        <v>45304</v>
      </c>
      <c r="E3472" t="s">
        <v>2330</v>
      </c>
      <c r="F3472" s="20">
        <v>100</v>
      </c>
      <c r="G3472" t="s">
        <v>2345</v>
      </c>
      <c r="H3472">
        <v>1500</v>
      </c>
      <c r="I3472" s="16" t="str">
        <f t="shared" si="54"/>
        <v>Normal</v>
      </c>
      <c r="J3472" t="s">
        <v>39</v>
      </c>
    </row>
    <row r="3473" spans="1:10">
      <c r="A3473" t="s">
        <v>5880</v>
      </c>
      <c r="B3473" t="s">
        <v>292</v>
      </c>
      <c r="C3473" t="s">
        <v>2209</v>
      </c>
      <c r="D3473" s="9">
        <v>45662</v>
      </c>
      <c r="E3473" t="s">
        <v>2324</v>
      </c>
      <c r="G3473" t="s">
        <v>2331</v>
      </c>
      <c r="H3473">
        <v>499</v>
      </c>
      <c r="I3473" s="16" t="str">
        <f t="shared" si="54"/>
        <v>Normal</v>
      </c>
      <c r="J3473">
        <v>5</v>
      </c>
    </row>
    <row r="3474" spans="1:10">
      <c r="A3474" t="s">
        <v>5881</v>
      </c>
      <c r="B3474" t="s">
        <v>1404</v>
      </c>
      <c r="C3474" t="s">
        <v>2244</v>
      </c>
      <c r="D3474" s="9">
        <v>45297</v>
      </c>
      <c r="E3474" t="s">
        <v>2337</v>
      </c>
      <c r="F3474" s="20">
        <v>0</v>
      </c>
      <c r="G3474" t="s">
        <v>2331</v>
      </c>
      <c r="H3474">
        <v>1200</v>
      </c>
      <c r="I3474" s="16" t="str">
        <f t="shared" si="54"/>
        <v>Normal</v>
      </c>
      <c r="J3474">
        <v>4</v>
      </c>
    </row>
    <row r="3475" spans="1:10">
      <c r="A3475" t="s">
        <v>5882</v>
      </c>
      <c r="B3475" t="s">
        <v>735</v>
      </c>
      <c r="C3475" t="s">
        <v>2273</v>
      </c>
      <c r="D3475" s="9">
        <v>45337</v>
      </c>
      <c r="E3475" t="s">
        <v>2324</v>
      </c>
      <c r="F3475" s="20">
        <v>10</v>
      </c>
      <c r="G3475" t="s">
        <v>2331</v>
      </c>
      <c r="H3475">
        <v>799</v>
      </c>
      <c r="I3475" s="16" t="str">
        <f t="shared" si="54"/>
        <v>Normal</v>
      </c>
      <c r="J3475">
        <v>3</v>
      </c>
    </row>
    <row r="3476" spans="1:10">
      <c r="A3476" t="s">
        <v>5883</v>
      </c>
      <c r="B3476" t="s">
        <v>99</v>
      </c>
      <c r="C3476" t="s">
        <v>2216</v>
      </c>
      <c r="D3476" s="9">
        <v>45476</v>
      </c>
      <c r="E3476" t="s">
        <v>2337</v>
      </c>
      <c r="G3476" t="s">
        <v>2328</v>
      </c>
      <c r="H3476">
        <v>1200</v>
      </c>
      <c r="I3476" s="16" t="str">
        <f t="shared" si="54"/>
        <v>Normal</v>
      </c>
      <c r="J3476">
        <v>5</v>
      </c>
    </row>
    <row r="3477" spans="1:10">
      <c r="A3477" t="s">
        <v>5884</v>
      </c>
      <c r="B3477" t="s">
        <v>5885</v>
      </c>
      <c r="C3477" t="s">
        <v>2198</v>
      </c>
      <c r="D3477" s="9">
        <v>46053</v>
      </c>
      <c r="E3477" t="s">
        <v>2330</v>
      </c>
      <c r="F3477" s="20">
        <v>100</v>
      </c>
      <c r="G3477" t="s">
        <v>2345</v>
      </c>
      <c r="I3477" s="16" t="str">
        <f t="shared" si="54"/>
        <v>Unknown</v>
      </c>
      <c r="J3477">
        <v>5</v>
      </c>
    </row>
    <row r="3478" spans="1:10">
      <c r="A3478" t="s">
        <v>5886</v>
      </c>
      <c r="B3478" t="s">
        <v>5887</v>
      </c>
      <c r="C3478" t="s">
        <v>2249</v>
      </c>
      <c r="D3478" s="9">
        <v>46098</v>
      </c>
      <c r="E3478" t="s">
        <v>2327</v>
      </c>
      <c r="G3478" t="s">
        <v>2331</v>
      </c>
      <c r="H3478">
        <v>1500</v>
      </c>
      <c r="I3478" s="16" t="str">
        <f t="shared" si="54"/>
        <v>Normal</v>
      </c>
      <c r="J3478">
        <v>3</v>
      </c>
    </row>
    <row r="3479" spans="1:10">
      <c r="A3479" t="s">
        <v>5888</v>
      </c>
      <c r="B3479" t="s">
        <v>1492</v>
      </c>
      <c r="C3479" t="s">
        <v>2233</v>
      </c>
      <c r="D3479" s="9">
        <v>45755</v>
      </c>
      <c r="E3479" t="s">
        <v>2327</v>
      </c>
      <c r="G3479" t="s">
        <v>2339</v>
      </c>
      <c r="H3479">
        <v>2500</v>
      </c>
      <c r="I3479" s="16" t="str">
        <f t="shared" si="54"/>
        <v>Normal</v>
      </c>
      <c r="J3479">
        <v>1</v>
      </c>
    </row>
    <row r="3480" spans="1:10">
      <c r="A3480" t="s">
        <v>5889</v>
      </c>
      <c r="B3480" t="s">
        <v>2678</v>
      </c>
      <c r="C3480" t="s">
        <v>2261</v>
      </c>
      <c r="D3480" s="9">
        <v>45727</v>
      </c>
      <c r="E3480" t="s">
        <v>2330</v>
      </c>
      <c r="G3480" t="s">
        <v>2339</v>
      </c>
      <c r="I3480" s="16" t="str">
        <f t="shared" si="54"/>
        <v>Unknown</v>
      </c>
      <c r="J3480">
        <v>4</v>
      </c>
    </row>
    <row r="3481" spans="1:10">
      <c r="A3481" t="s">
        <v>5890</v>
      </c>
      <c r="B3481" t="s">
        <v>203</v>
      </c>
      <c r="C3481" t="s">
        <v>2247</v>
      </c>
      <c r="D3481" s="9">
        <v>46075</v>
      </c>
      <c r="E3481" t="s">
        <v>2330</v>
      </c>
      <c r="F3481" s="20">
        <v>100</v>
      </c>
      <c r="G3481" t="s">
        <v>2325</v>
      </c>
      <c r="I3481" s="16" t="str">
        <f t="shared" si="54"/>
        <v>Unknown</v>
      </c>
      <c r="J3481" t="s">
        <v>39</v>
      </c>
    </row>
    <row r="3482" spans="1:10">
      <c r="A3482" t="s">
        <v>5891</v>
      </c>
      <c r="B3482" t="s">
        <v>1773</v>
      </c>
      <c r="C3482" t="s">
        <v>2269</v>
      </c>
      <c r="D3482" s="9">
        <v>45872</v>
      </c>
      <c r="E3482" t="s">
        <v>2324</v>
      </c>
      <c r="F3482" s="20">
        <v>55</v>
      </c>
      <c r="G3482" t="s">
        <v>2331</v>
      </c>
      <c r="H3482">
        <v>499</v>
      </c>
      <c r="I3482" s="16" t="str">
        <f t="shared" si="54"/>
        <v>Normal</v>
      </c>
      <c r="J3482">
        <v>5</v>
      </c>
    </row>
    <row r="3483" spans="1:10">
      <c r="A3483" t="s">
        <v>5892</v>
      </c>
      <c r="B3483" t="s">
        <v>1442</v>
      </c>
      <c r="C3483" t="s">
        <v>2205</v>
      </c>
      <c r="D3483" s="9">
        <v>46062</v>
      </c>
      <c r="E3483" t="s">
        <v>23</v>
      </c>
      <c r="G3483" t="s">
        <v>2328</v>
      </c>
      <c r="H3483">
        <v>1500</v>
      </c>
      <c r="I3483" s="16" t="str">
        <f t="shared" si="54"/>
        <v>Normal</v>
      </c>
      <c r="J3483">
        <v>2</v>
      </c>
    </row>
    <row r="3484" spans="1:10">
      <c r="A3484" t="s">
        <v>5893</v>
      </c>
      <c r="B3484" t="s">
        <v>1492</v>
      </c>
      <c r="C3484" t="s">
        <v>2202</v>
      </c>
      <c r="D3484" s="9">
        <v>45292</v>
      </c>
      <c r="E3484" t="s">
        <v>2327</v>
      </c>
      <c r="F3484" s="20">
        <v>20</v>
      </c>
      <c r="G3484" t="s">
        <v>2325</v>
      </c>
      <c r="H3484">
        <v>999.99</v>
      </c>
      <c r="I3484" s="16" t="str">
        <f t="shared" si="54"/>
        <v>Normal</v>
      </c>
      <c r="J3484" t="s">
        <v>39</v>
      </c>
    </row>
    <row r="3485" spans="1:10">
      <c r="A3485" t="s">
        <v>5894</v>
      </c>
      <c r="B3485" t="s">
        <v>258</v>
      </c>
      <c r="C3485" t="s">
        <v>2231</v>
      </c>
      <c r="D3485" s="9">
        <v>45261</v>
      </c>
      <c r="E3485" t="s">
        <v>2324</v>
      </c>
      <c r="F3485" s="20">
        <v>10</v>
      </c>
      <c r="G3485" t="s">
        <v>2331</v>
      </c>
      <c r="H3485">
        <v>3000</v>
      </c>
      <c r="I3485" s="16" t="str">
        <f t="shared" si="54"/>
        <v>Normal</v>
      </c>
      <c r="J3485">
        <v>4</v>
      </c>
    </row>
    <row r="3486" spans="1:10">
      <c r="A3486" t="s">
        <v>5895</v>
      </c>
      <c r="B3486" t="s">
        <v>660</v>
      </c>
      <c r="C3486" t="s">
        <v>2202</v>
      </c>
      <c r="D3486" s="9">
        <v>45995</v>
      </c>
      <c r="E3486" t="s">
        <v>2337</v>
      </c>
      <c r="F3486" s="20">
        <v>0</v>
      </c>
      <c r="G3486" t="s">
        <v>2331</v>
      </c>
      <c r="H3486">
        <v>999.99</v>
      </c>
      <c r="I3486" s="16" t="str">
        <f t="shared" si="54"/>
        <v>Normal</v>
      </c>
      <c r="J3486" t="s">
        <v>39</v>
      </c>
    </row>
    <row r="3487" spans="1:10">
      <c r="A3487" t="s">
        <v>5896</v>
      </c>
      <c r="B3487" t="s">
        <v>520</v>
      </c>
      <c r="C3487" t="s">
        <v>2269</v>
      </c>
      <c r="D3487" s="9">
        <v>45131</v>
      </c>
      <c r="E3487" t="s">
        <v>2330</v>
      </c>
      <c r="F3487" s="20">
        <v>100</v>
      </c>
      <c r="G3487" t="s">
        <v>2325</v>
      </c>
      <c r="H3487">
        <v>499</v>
      </c>
      <c r="I3487" s="16" t="str">
        <f t="shared" si="54"/>
        <v>Normal</v>
      </c>
      <c r="J3487">
        <v>4</v>
      </c>
    </row>
    <row r="3488" spans="1:10">
      <c r="A3488" t="s">
        <v>5897</v>
      </c>
      <c r="B3488" t="s">
        <v>754</v>
      </c>
      <c r="C3488" t="s">
        <v>2193</v>
      </c>
      <c r="D3488" s="9">
        <v>45140</v>
      </c>
      <c r="E3488" t="s">
        <v>2324</v>
      </c>
      <c r="F3488" s="20">
        <v>40</v>
      </c>
      <c r="G3488" t="s">
        <v>23</v>
      </c>
      <c r="H3488">
        <v>0</v>
      </c>
      <c r="I3488" s="16" t="str">
        <f t="shared" si="54"/>
        <v>Zero Amount</v>
      </c>
      <c r="J3488">
        <v>4</v>
      </c>
    </row>
    <row r="3489" spans="1:10">
      <c r="A3489" t="s">
        <v>5898</v>
      </c>
      <c r="B3489" t="s">
        <v>2139</v>
      </c>
      <c r="C3489" t="s">
        <v>2259</v>
      </c>
      <c r="D3489" s="9">
        <v>45687</v>
      </c>
      <c r="E3489" t="s">
        <v>2330</v>
      </c>
      <c r="F3489" s="20">
        <v>100</v>
      </c>
      <c r="G3489" t="s">
        <v>2325</v>
      </c>
      <c r="H3489">
        <v>0</v>
      </c>
      <c r="I3489" s="16" t="str">
        <f t="shared" si="54"/>
        <v>Zero Amount</v>
      </c>
      <c r="J3489">
        <v>4</v>
      </c>
    </row>
    <row r="3490" spans="1:10">
      <c r="A3490" t="s">
        <v>5899</v>
      </c>
      <c r="B3490" t="s">
        <v>460</v>
      </c>
      <c r="C3490" t="s">
        <v>2264</v>
      </c>
      <c r="D3490" s="9">
        <v>46178</v>
      </c>
      <c r="E3490" t="s">
        <v>2324</v>
      </c>
      <c r="F3490" s="20">
        <v>60</v>
      </c>
      <c r="G3490" t="s">
        <v>2331</v>
      </c>
      <c r="H3490">
        <v>2500</v>
      </c>
      <c r="I3490" s="16" t="str">
        <f t="shared" si="54"/>
        <v>Normal</v>
      </c>
      <c r="J3490">
        <v>4</v>
      </c>
    </row>
    <row r="3491" spans="1:10">
      <c r="A3491" t="s">
        <v>5900</v>
      </c>
      <c r="B3491" t="s">
        <v>112</v>
      </c>
      <c r="C3491" t="s">
        <v>2271</v>
      </c>
      <c r="D3491" s="9">
        <v>46129</v>
      </c>
      <c r="E3491" t="s">
        <v>2337</v>
      </c>
      <c r="F3491" s="20">
        <v>0</v>
      </c>
      <c r="G3491" t="s">
        <v>2345</v>
      </c>
      <c r="H3491">
        <v>1200</v>
      </c>
      <c r="I3491" s="16" t="str">
        <f t="shared" si="54"/>
        <v>Normal</v>
      </c>
      <c r="J3491">
        <v>4</v>
      </c>
    </row>
    <row r="3492" spans="1:10">
      <c r="A3492" t="s">
        <v>5901</v>
      </c>
      <c r="B3492" t="s">
        <v>1099</v>
      </c>
      <c r="C3492" t="s">
        <v>2228</v>
      </c>
      <c r="D3492" s="9">
        <v>45982</v>
      </c>
      <c r="E3492" t="s">
        <v>2324</v>
      </c>
      <c r="F3492" s="20">
        <v>25</v>
      </c>
      <c r="G3492" t="s">
        <v>2345</v>
      </c>
      <c r="H3492">
        <v>799</v>
      </c>
      <c r="I3492" s="16" t="str">
        <f t="shared" si="54"/>
        <v>Normal</v>
      </c>
      <c r="J3492" t="s">
        <v>39</v>
      </c>
    </row>
    <row r="3493" spans="1:10">
      <c r="A3493" t="s">
        <v>5902</v>
      </c>
      <c r="B3493" t="s">
        <v>836</v>
      </c>
      <c r="C3493" t="s">
        <v>2264</v>
      </c>
      <c r="D3493" s="9">
        <v>45439</v>
      </c>
      <c r="E3493" t="s">
        <v>2330</v>
      </c>
      <c r="F3493" s="20">
        <v>100</v>
      </c>
      <c r="G3493" t="s">
        <v>2345</v>
      </c>
      <c r="H3493">
        <v>2500</v>
      </c>
      <c r="I3493" s="16" t="str">
        <f t="shared" si="54"/>
        <v>Normal</v>
      </c>
      <c r="J3493">
        <v>5</v>
      </c>
    </row>
    <row r="3494" spans="1:10">
      <c r="A3494" t="s">
        <v>5903</v>
      </c>
      <c r="B3494" t="s">
        <v>414</v>
      </c>
      <c r="C3494" t="s">
        <v>2257</v>
      </c>
      <c r="D3494" s="9">
        <v>45417</v>
      </c>
      <c r="E3494" t="s">
        <v>2330</v>
      </c>
      <c r="F3494" s="20">
        <v>100</v>
      </c>
      <c r="G3494" t="s">
        <v>2328</v>
      </c>
      <c r="I3494" s="16" t="str">
        <f t="shared" si="54"/>
        <v>Unknown</v>
      </c>
      <c r="J3494">
        <v>2</v>
      </c>
    </row>
    <row r="3495" spans="1:10">
      <c r="A3495" t="s">
        <v>5904</v>
      </c>
      <c r="B3495" t="s">
        <v>203</v>
      </c>
      <c r="C3495" t="s">
        <v>2271</v>
      </c>
      <c r="D3495" s="9">
        <v>45480</v>
      </c>
      <c r="E3495" t="s">
        <v>2324</v>
      </c>
      <c r="F3495" s="20">
        <v>75</v>
      </c>
      <c r="G3495" t="s">
        <v>2331</v>
      </c>
      <c r="H3495">
        <v>1200</v>
      </c>
      <c r="I3495" s="16" t="str">
        <f t="shared" si="54"/>
        <v>Normal</v>
      </c>
      <c r="J3495">
        <v>4</v>
      </c>
    </row>
    <row r="3496" spans="1:10">
      <c r="A3496" t="s">
        <v>5905</v>
      </c>
      <c r="B3496" t="s">
        <v>979</v>
      </c>
      <c r="C3496" t="s">
        <v>2193</v>
      </c>
      <c r="D3496" s="9">
        <v>45295</v>
      </c>
      <c r="E3496" t="s">
        <v>2330</v>
      </c>
      <c r="F3496" s="20">
        <v>100</v>
      </c>
      <c r="G3496" t="s">
        <v>2331</v>
      </c>
      <c r="H3496">
        <v>0</v>
      </c>
      <c r="I3496" s="16" t="str">
        <f t="shared" si="54"/>
        <v>Zero Amount</v>
      </c>
      <c r="J3496">
        <v>2</v>
      </c>
    </row>
    <row r="3497" spans="1:10">
      <c r="A3497" t="s">
        <v>5906</v>
      </c>
      <c r="B3497" t="s">
        <v>5907</v>
      </c>
      <c r="C3497" t="s">
        <v>2218</v>
      </c>
      <c r="D3497" s="9">
        <v>45666</v>
      </c>
      <c r="E3497" t="s">
        <v>2324</v>
      </c>
      <c r="F3497" s="20">
        <v>10</v>
      </c>
      <c r="G3497" t="s">
        <v>2331</v>
      </c>
      <c r="H3497">
        <v>1500</v>
      </c>
      <c r="I3497" s="16" t="str">
        <f t="shared" si="54"/>
        <v>Normal</v>
      </c>
      <c r="J3497">
        <v>4</v>
      </c>
    </row>
    <row r="3498" spans="1:10">
      <c r="A3498" t="s">
        <v>5908</v>
      </c>
      <c r="B3498" t="s">
        <v>1860</v>
      </c>
      <c r="C3498" t="s">
        <v>2193</v>
      </c>
      <c r="D3498" s="9">
        <v>46084</v>
      </c>
      <c r="E3498" t="s">
        <v>2327</v>
      </c>
      <c r="F3498" s="20">
        <v>20</v>
      </c>
      <c r="G3498" t="s">
        <v>2328</v>
      </c>
      <c r="H3498">
        <v>0</v>
      </c>
      <c r="I3498" s="16" t="str">
        <f t="shared" si="54"/>
        <v>Zero Amount</v>
      </c>
      <c r="J3498">
        <v>2</v>
      </c>
    </row>
    <row r="3499" spans="1:10">
      <c r="A3499" t="s">
        <v>5909</v>
      </c>
      <c r="B3499" t="s">
        <v>1354</v>
      </c>
      <c r="C3499" t="s">
        <v>2244</v>
      </c>
      <c r="D3499" s="9">
        <v>45643</v>
      </c>
      <c r="E3499" t="s">
        <v>2324</v>
      </c>
      <c r="F3499" s="20">
        <v>60</v>
      </c>
      <c r="G3499" t="s">
        <v>2339</v>
      </c>
      <c r="H3499">
        <v>1200</v>
      </c>
      <c r="I3499" s="16" t="str">
        <f t="shared" si="54"/>
        <v>Normal</v>
      </c>
      <c r="J3499" t="s">
        <v>39</v>
      </c>
    </row>
    <row r="3500" spans="1:10">
      <c r="A3500" t="s">
        <v>5910</v>
      </c>
      <c r="B3500" t="s">
        <v>1043</v>
      </c>
      <c r="C3500" t="s">
        <v>2198</v>
      </c>
      <c r="D3500" s="9">
        <v>45995</v>
      </c>
      <c r="E3500" t="s">
        <v>2327</v>
      </c>
      <c r="G3500" t="s">
        <v>2331</v>
      </c>
      <c r="I3500" s="16" t="str">
        <f t="shared" si="54"/>
        <v>Unknown</v>
      </c>
      <c r="J3500" t="s">
        <v>39</v>
      </c>
    </row>
    <row r="3501" spans="1:10">
      <c r="A3501" t="s">
        <v>5911</v>
      </c>
      <c r="B3501" t="s">
        <v>1693</v>
      </c>
      <c r="C3501" t="s">
        <v>2273</v>
      </c>
      <c r="D3501" s="9">
        <v>46191</v>
      </c>
      <c r="E3501" t="s">
        <v>23</v>
      </c>
      <c r="G3501" t="s">
        <v>2325</v>
      </c>
      <c r="H3501">
        <v>799</v>
      </c>
      <c r="I3501" s="16" t="str">
        <f t="shared" si="54"/>
        <v>Normal</v>
      </c>
      <c r="J3501">
        <v>4</v>
      </c>
    </row>
  </sheetData>
  <autoFilter ref="A1:J3501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01"/>
  <sheetViews>
    <sheetView workbookViewId="0">
      <pane ySplit="1" topLeftCell="A2" activePane="bottomLeft" state="frozen"/>
      <selection pane="bottomLeft" activeCell="J9" sqref="J9"/>
    </sheetView>
  </sheetViews>
  <sheetFormatPr defaultRowHeight="15"/>
  <cols>
    <col min="1" max="1" width="11" customWidth="1"/>
    <col min="2" max="2" width="15" customWidth="1"/>
    <col min="3" max="3" width="12" customWidth="1"/>
    <col min="4" max="4" width="11" customWidth="1"/>
    <col min="5" max="5" width="15" style="14" customWidth="1"/>
    <col min="6" max="6" width="35" customWidth="1"/>
    <col min="7" max="7" width="14.28515625" style="9" bestFit="1" customWidth="1"/>
  </cols>
  <sheetData>
    <row r="1" spans="1:7">
      <c r="A1" s="2" t="s">
        <v>5912</v>
      </c>
      <c r="B1" s="2" t="s">
        <v>2315</v>
      </c>
      <c r="C1" s="15" t="s">
        <v>0</v>
      </c>
      <c r="D1" s="2" t="s">
        <v>2179</v>
      </c>
      <c r="E1" s="17" t="s">
        <v>5913</v>
      </c>
      <c r="F1" s="1" t="s">
        <v>5914</v>
      </c>
      <c r="G1" s="18" t="s">
        <v>5915</v>
      </c>
    </row>
    <row r="2" spans="1:7" ht="16.5" customHeight="1">
      <c r="A2" t="s">
        <v>5916</v>
      </c>
      <c r="B2" t="s">
        <v>5645</v>
      </c>
      <c r="C2" s="16" t="s">
        <v>765</v>
      </c>
      <c r="D2" t="s">
        <v>2251</v>
      </c>
      <c r="E2" s="14">
        <v>5</v>
      </c>
      <c r="F2" s="16" t="s">
        <v>5917</v>
      </c>
      <c r="G2" s="19">
        <v>46106</v>
      </c>
    </row>
    <row r="3" spans="1:7">
      <c r="A3" t="s">
        <v>5918</v>
      </c>
      <c r="B3" t="s">
        <v>4964</v>
      </c>
      <c r="C3" s="16" t="s">
        <v>1401</v>
      </c>
      <c r="D3" t="s">
        <v>2269</v>
      </c>
      <c r="E3" s="14">
        <v>3</v>
      </c>
      <c r="F3" s="16" t="s">
        <v>23</v>
      </c>
      <c r="G3" s="19">
        <v>46125</v>
      </c>
    </row>
    <row r="4" spans="1:7">
      <c r="A4" t="s">
        <v>5919</v>
      </c>
      <c r="B4" t="s">
        <v>4929</v>
      </c>
      <c r="C4" s="16" t="s">
        <v>270</v>
      </c>
      <c r="D4" t="s">
        <v>2233</v>
      </c>
      <c r="E4" s="14">
        <v>5</v>
      </c>
      <c r="F4" s="16" t="s">
        <v>5920</v>
      </c>
      <c r="G4" s="19">
        <v>46115</v>
      </c>
    </row>
    <row r="5" spans="1:7">
      <c r="A5" t="s">
        <v>5921</v>
      </c>
      <c r="B5" t="s">
        <v>3971</v>
      </c>
      <c r="C5" s="16" t="s">
        <v>418</v>
      </c>
      <c r="D5" t="s">
        <v>2261</v>
      </c>
      <c r="E5" s="14">
        <v>5</v>
      </c>
      <c r="F5" s="16" t="s">
        <v>5922</v>
      </c>
      <c r="G5" s="19">
        <v>45698</v>
      </c>
    </row>
    <row r="6" spans="1:7">
      <c r="A6" t="s">
        <v>5923</v>
      </c>
      <c r="B6" t="s">
        <v>4731</v>
      </c>
      <c r="C6" s="16" t="s">
        <v>1536</v>
      </c>
      <c r="D6" t="s">
        <v>2233</v>
      </c>
      <c r="E6" s="14" t="s">
        <v>39</v>
      </c>
      <c r="F6" s="16" t="s">
        <v>5924</v>
      </c>
      <c r="G6" s="19">
        <v>45524</v>
      </c>
    </row>
    <row r="7" spans="1:7">
      <c r="A7" t="s">
        <v>5925</v>
      </c>
      <c r="B7" t="s">
        <v>4901</v>
      </c>
      <c r="C7" s="16" t="s">
        <v>1981</v>
      </c>
      <c r="D7" t="s">
        <v>2244</v>
      </c>
      <c r="E7" s="14">
        <v>2</v>
      </c>
      <c r="F7" s="16" t="s">
        <v>5926</v>
      </c>
      <c r="G7" s="19">
        <v>45588</v>
      </c>
    </row>
    <row r="8" spans="1:7">
      <c r="A8" t="s">
        <v>5927</v>
      </c>
      <c r="B8" t="s">
        <v>3454</v>
      </c>
      <c r="C8" s="16" t="s">
        <v>551</v>
      </c>
      <c r="D8" t="s">
        <v>2259</v>
      </c>
      <c r="E8" s="14">
        <v>4</v>
      </c>
      <c r="F8" s="16" t="s">
        <v>5928</v>
      </c>
      <c r="G8" s="19">
        <v>45225</v>
      </c>
    </row>
    <row r="9" spans="1:7">
      <c r="A9" t="s">
        <v>5929</v>
      </c>
      <c r="B9" t="s">
        <v>4793</v>
      </c>
      <c r="C9" s="16" t="s">
        <v>1798</v>
      </c>
      <c r="D9" t="s">
        <v>2253</v>
      </c>
      <c r="E9" s="14" t="s">
        <v>39</v>
      </c>
      <c r="F9" s="16" t="s">
        <v>23</v>
      </c>
      <c r="G9" s="19">
        <v>45705</v>
      </c>
    </row>
    <row r="10" spans="1:7">
      <c r="A10" t="s">
        <v>5930</v>
      </c>
      <c r="B10" t="s">
        <v>5743</v>
      </c>
      <c r="C10" s="16" t="s">
        <v>125</v>
      </c>
      <c r="D10" t="s">
        <v>2187</v>
      </c>
      <c r="E10" s="14">
        <v>5</v>
      </c>
      <c r="F10" s="16" t="s">
        <v>5931</v>
      </c>
      <c r="G10" s="19">
        <v>45468</v>
      </c>
    </row>
    <row r="11" spans="1:7">
      <c r="A11" t="s">
        <v>5932</v>
      </c>
      <c r="B11" t="s">
        <v>3025</v>
      </c>
      <c r="C11" s="16" t="s">
        <v>2101</v>
      </c>
      <c r="D11" t="s">
        <v>2213</v>
      </c>
      <c r="E11" s="14" t="s">
        <v>39</v>
      </c>
      <c r="F11" s="16" t="s">
        <v>5933</v>
      </c>
      <c r="G11" s="19">
        <v>45498</v>
      </c>
    </row>
    <row r="12" spans="1:7">
      <c r="A12" t="s">
        <v>5934</v>
      </c>
      <c r="B12" t="s">
        <v>2778</v>
      </c>
      <c r="C12" s="16" t="s">
        <v>697</v>
      </c>
      <c r="D12" t="s">
        <v>2209</v>
      </c>
      <c r="E12" s="14">
        <v>5</v>
      </c>
      <c r="F12" s="16" t="s">
        <v>5924</v>
      </c>
      <c r="G12" s="19">
        <v>45360</v>
      </c>
    </row>
    <row r="13" spans="1:7">
      <c r="A13" t="s">
        <v>5935</v>
      </c>
      <c r="B13" t="s">
        <v>5044</v>
      </c>
      <c r="C13" s="16" t="s">
        <v>1428</v>
      </c>
      <c r="D13" t="s">
        <v>2233</v>
      </c>
      <c r="E13" s="14">
        <v>2</v>
      </c>
      <c r="F13" s="16" t="s">
        <v>5926</v>
      </c>
      <c r="G13" s="19">
        <v>45994</v>
      </c>
    </row>
    <row r="14" spans="1:7">
      <c r="A14" t="s">
        <v>5936</v>
      </c>
      <c r="B14" t="s">
        <v>5024</v>
      </c>
      <c r="C14" s="16" t="s">
        <v>1347</v>
      </c>
      <c r="D14" t="s">
        <v>2218</v>
      </c>
      <c r="E14" s="14">
        <v>4</v>
      </c>
      <c r="F14" s="16" t="s">
        <v>5924</v>
      </c>
      <c r="G14" s="19">
        <v>45304</v>
      </c>
    </row>
    <row r="15" spans="1:7">
      <c r="A15" t="s">
        <v>5937</v>
      </c>
      <c r="B15" t="s">
        <v>5164</v>
      </c>
      <c r="C15" s="16" t="s">
        <v>1798</v>
      </c>
      <c r="D15" t="s">
        <v>2273</v>
      </c>
      <c r="E15" s="14">
        <v>1</v>
      </c>
      <c r="F15" s="16" t="s">
        <v>5938</v>
      </c>
      <c r="G15" s="19">
        <v>45541</v>
      </c>
    </row>
    <row r="16" spans="1:7">
      <c r="A16" t="s">
        <v>5939</v>
      </c>
      <c r="B16" t="s">
        <v>3425</v>
      </c>
      <c r="C16" s="16" t="s">
        <v>239</v>
      </c>
      <c r="D16" t="s">
        <v>2202</v>
      </c>
      <c r="E16" s="14" t="s">
        <v>39</v>
      </c>
      <c r="F16" s="16" t="s">
        <v>5940</v>
      </c>
      <c r="G16" s="19">
        <v>45490</v>
      </c>
    </row>
    <row r="17" spans="1:7">
      <c r="A17" t="s">
        <v>5941</v>
      </c>
      <c r="B17" t="s">
        <v>5273</v>
      </c>
      <c r="C17" s="16" t="s">
        <v>1857</v>
      </c>
      <c r="D17" t="s">
        <v>2235</v>
      </c>
      <c r="E17" s="14">
        <v>5</v>
      </c>
      <c r="F17" s="16" t="s">
        <v>5924</v>
      </c>
      <c r="G17" s="19">
        <v>46102</v>
      </c>
    </row>
    <row r="18" spans="1:7">
      <c r="A18" t="s">
        <v>5942</v>
      </c>
      <c r="B18" t="s">
        <v>5767</v>
      </c>
      <c r="C18" s="16" t="s">
        <v>890</v>
      </c>
      <c r="D18" t="s">
        <v>2237</v>
      </c>
      <c r="E18" s="14">
        <v>5</v>
      </c>
      <c r="F18" s="16" t="s">
        <v>5922</v>
      </c>
      <c r="G18" s="19">
        <v>46107</v>
      </c>
    </row>
    <row r="19" spans="1:7">
      <c r="A19" t="s">
        <v>5943</v>
      </c>
      <c r="B19" t="s">
        <v>5170</v>
      </c>
      <c r="C19" s="16" t="s">
        <v>1054</v>
      </c>
      <c r="D19" t="s">
        <v>2198</v>
      </c>
      <c r="E19" s="14">
        <v>4</v>
      </c>
      <c r="F19" s="16" t="s">
        <v>5924</v>
      </c>
      <c r="G19" s="19">
        <v>45986</v>
      </c>
    </row>
    <row r="20" spans="1:7">
      <c r="A20" t="s">
        <v>5944</v>
      </c>
      <c r="B20" t="s">
        <v>4838</v>
      </c>
      <c r="C20" s="16" t="s">
        <v>1404</v>
      </c>
      <c r="D20" t="s">
        <v>2213</v>
      </c>
      <c r="E20" s="14">
        <v>5</v>
      </c>
      <c r="F20" s="16" t="s">
        <v>5926</v>
      </c>
      <c r="G20" s="19">
        <v>46094</v>
      </c>
    </row>
    <row r="21" spans="1:7">
      <c r="A21" t="s">
        <v>5945</v>
      </c>
      <c r="B21" t="s">
        <v>2458</v>
      </c>
      <c r="C21" s="16" t="s">
        <v>267</v>
      </c>
      <c r="D21" t="s">
        <v>2273</v>
      </c>
      <c r="E21" s="14" t="s">
        <v>39</v>
      </c>
      <c r="F21" s="16" t="s">
        <v>5946</v>
      </c>
      <c r="G21" s="19">
        <v>45873</v>
      </c>
    </row>
    <row r="22" spans="1:7">
      <c r="A22" t="s">
        <v>5947</v>
      </c>
      <c r="B22" t="s">
        <v>5246</v>
      </c>
      <c r="C22" s="16" t="s">
        <v>261</v>
      </c>
      <c r="D22" t="s">
        <v>2271</v>
      </c>
      <c r="E22" s="14" t="s">
        <v>39</v>
      </c>
      <c r="F22" s="16" t="s">
        <v>5924</v>
      </c>
      <c r="G22" s="19">
        <v>46017</v>
      </c>
    </row>
    <row r="23" spans="1:7">
      <c r="A23" t="s">
        <v>5948</v>
      </c>
      <c r="B23" t="s">
        <v>5117</v>
      </c>
      <c r="C23" s="16" t="s">
        <v>256</v>
      </c>
      <c r="D23" t="s">
        <v>2264</v>
      </c>
      <c r="E23" s="14">
        <v>3</v>
      </c>
      <c r="F23" s="16" t="s">
        <v>5920</v>
      </c>
      <c r="G23" s="19">
        <v>45206</v>
      </c>
    </row>
    <row r="24" spans="1:7">
      <c r="A24" t="s">
        <v>5949</v>
      </c>
      <c r="B24" t="s">
        <v>3576</v>
      </c>
      <c r="C24" s="16" t="s">
        <v>1776</v>
      </c>
      <c r="D24" t="s">
        <v>2216</v>
      </c>
      <c r="E24" s="14" t="s">
        <v>39</v>
      </c>
      <c r="F24" s="16" t="s">
        <v>23</v>
      </c>
      <c r="G24" s="19">
        <v>45667</v>
      </c>
    </row>
    <row r="25" spans="1:7">
      <c r="A25" t="s">
        <v>5950</v>
      </c>
      <c r="B25" t="s">
        <v>3481</v>
      </c>
      <c r="C25" s="16" t="s">
        <v>2010</v>
      </c>
      <c r="D25" t="s">
        <v>2233</v>
      </c>
      <c r="E25" s="14">
        <v>1</v>
      </c>
      <c r="F25" s="16" t="s">
        <v>5946</v>
      </c>
      <c r="G25" s="19">
        <v>45825</v>
      </c>
    </row>
    <row r="26" spans="1:7">
      <c r="A26" t="s">
        <v>5951</v>
      </c>
      <c r="B26" t="s">
        <v>5213</v>
      </c>
      <c r="C26" s="16" t="s">
        <v>1524</v>
      </c>
      <c r="D26" t="s">
        <v>2231</v>
      </c>
      <c r="E26" s="14">
        <v>4</v>
      </c>
      <c r="F26" s="16" t="s">
        <v>5920</v>
      </c>
      <c r="G26" s="19">
        <v>45449</v>
      </c>
    </row>
    <row r="27" spans="1:7">
      <c r="A27" t="s">
        <v>5952</v>
      </c>
      <c r="B27" t="s">
        <v>3291</v>
      </c>
      <c r="C27" s="16" t="s">
        <v>1894</v>
      </c>
      <c r="D27" t="s">
        <v>2202</v>
      </c>
      <c r="E27" s="14">
        <v>5</v>
      </c>
      <c r="F27" s="16" t="s">
        <v>5938</v>
      </c>
      <c r="G27" s="19">
        <v>45675</v>
      </c>
    </row>
    <row r="28" spans="1:7">
      <c r="A28" t="s">
        <v>5953</v>
      </c>
      <c r="B28" t="s">
        <v>3227</v>
      </c>
      <c r="C28" s="16" t="s">
        <v>1676</v>
      </c>
      <c r="D28" t="s">
        <v>2269</v>
      </c>
      <c r="E28" s="14">
        <v>1</v>
      </c>
      <c r="F28" s="16" t="s">
        <v>5931</v>
      </c>
      <c r="G28" s="19">
        <v>45728</v>
      </c>
    </row>
    <row r="29" spans="1:7">
      <c r="A29" t="s">
        <v>5954</v>
      </c>
      <c r="B29" t="s">
        <v>2384</v>
      </c>
      <c r="C29" s="16" t="s">
        <v>1103</v>
      </c>
      <c r="D29" t="s">
        <v>2193</v>
      </c>
      <c r="E29" s="14" t="s">
        <v>39</v>
      </c>
      <c r="F29" s="16" t="s">
        <v>5917</v>
      </c>
      <c r="G29" s="19">
        <v>45680</v>
      </c>
    </row>
    <row r="30" spans="1:7">
      <c r="A30" t="s">
        <v>5955</v>
      </c>
      <c r="B30" t="s">
        <v>4792</v>
      </c>
      <c r="C30" s="16" t="s">
        <v>932</v>
      </c>
      <c r="D30" t="s">
        <v>2257</v>
      </c>
      <c r="E30" s="14">
        <v>3</v>
      </c>
      <c r="F30" s="16" t="s">
        <v>5938</v>
      </c>
      <c r="G30" s="19">
        <v>45530</v>
      </c>
    </row>
    <row r="31" spans="1:7">
      <c r="A31" t="s">
        <v>5956</v>
      </c>
      <c r="B31" t="s">
        <v>3244</v>
      </c>
      <c r="C31" s="16" t="s">
        <v>2126</v>
      </c>
      <c r="D31" t="s">
        <v>2244</v>
      </c>
      <c r="E31" s="14">
        <v>3</v>
      </c>
      <c r="F31" s="16" t="s">
        <v>5940</v>
      </c>
      <c r="G31" s="19">
        <v>45871</v>
      </c>
    </row>
    <row r="32" spans="1:7">
      <c r="A32" t="s">
        <v>5957</v>
      </c>
      <c r="B32" t="s">
        <v>2596</v>
      </c>
      <c r="C32" s="16" t="s">
        <v>1438</v>
      </c>
      <c r="D32" t="s">
        <v>2261</v>
      </c>
      <c r="E32" s="14">
        <v>5</v>
      </c>
      <c r="F32" s="16" t="s">
        <v>5933</v>
      </c>
      <c r="G32" s="19">
        <v>45318</v>
      </c>
    </row>
    <row r="33" spans="1:7">
      <c r="A33" t="s">
        <v>5958</v>
      </c>
      <c r="B33" t="s">
        <v>5803</v>
      </c>
      <c r="C33" s="16" t="s">
        <v>784</v>
      </c>
      <c r="D33" t="s">
        <v>2244</v>
      </c>
      <c r="E33" s="14">
        <v>1</v>
      </c>
      <c r="F33" s="16" t="s">
        <v>5933</v>
      </c>
      <c r="G33" s="19">
        <v>45449</v>
      </c>
    </row>
    <row r="34" spans="1:7">
      <c r="A34" t="s">
        <v>5959</v>
      </c>
      <c r="B34" t="s">
        <v>3709</v>
      </c>
      <c r="C34" s="16" t="s">
        <v>2006</v>
      </c>
      <c r="D34" t="s">
        <v>2225</v>
      </c>
      <c r="E34" s="14">
        <v>4</v>
      </c>
      <c r="F34" s="16" t="s">
        <v>23</v>
      </c>
      <c r="G34" s="19">
        <v>45588</v>
      </c>
    </row>
    <row r="35" spans="1:7">
      <c r="A35" t="s">
        <v>5960</v>
      </c>
      <c r="B35" t="s">
        <v>3467</v>
      </c>
      <c r="C35" s="16" t="s">
        <v>1902</v>
      </c>
      <c r="D35" t="s">
        <v>2209</v>
      </c>
      <c r="E35" s="14">
        <v>5</v>
      </c>
      <c r="F35" s="16" t="s">
        <v>5961</v>
      </c>
      <c r="G35" s="19">
        <v>45315</v>
      </c>
    </row>
    <row r="36" spans="1:7">
      <c r="A36" t="s">
        <v>5962</v>
      </c>
      <c r="B36" t="s">
        <v>3684</v>
      </c>
      <c r="C36" s="16" t="s">
        <v>997</v>
      </c>
      <c r="D36" t="s">
        <v>2218</v>
      </c>
      <c r="E36" s="14">
        <v>2</v>
      </c>
      <c r="F36" s="16" t="s">
        <v>5933</v>
      </c>
      <c r="G36" s="19">
        <v>46132</v>
      </c>
    </row>
    <row r="37" spans="1:7">
      <c r="A37" t="s">
        <v>5963</v>
      </c>
      <c r="B37" t="s">
        <v>5088</v>
      </c>
      <c r="C37" s="16" t="s">
        <v>1766</v>
      </c>
      <c r="D37" t="s">
        <v>2231</v>
      </c>
      <c r="E37" s="14">
        <v>3</v>
      </c>
      <c r="F37" s="16" t="s">
        <v>5924</v>
      </c>
      <c r="G37" s="19">
        <v>45565</v>
      </c>
    </row>
    <row r="38" spans="1:7">
      <c r="A38" t="s">
        <v>5964</v>
      </c>
      <c r="B38" t="s">
        <v>3735</v>
      </c>
      <c r="C38" s="16" t="s">
        <v>1194</v>
      </c>
      <c r="D38" t="s">
        <v>2209</v>
      </c>
      <c r="E38" s="14">
        <v>4</v>
      </c>
      <c r="F38" s="16" t="s">
        <v>5961</v>
      </c>
      <c r="G38" s="19">
        <v>45545</v>
      </c>
    </row>
    <row r="39" spans="1:7">
      <c r="A39" t="s">
        <v>5965</v>
      </c>
      <c r="B39" t="s">
        <v>5689</v>
      </c>
      <c r="C39" s="16" t="s">
        <v>1552</v>
      </c>
      <c r="D39" t="s">
        <v>2237</v>
      </c>
      <c r="E39" s="14">
        <v>1</v>
      </c>
      <c r="F39" s="16" t="s">
        <v>5920</v>
      </c>
      <c r="G39" s="19">
        <v>45188</v>
      </c>
    </row>
    <row r="40" spans="1:7">
      <c r="A40" t="s">
        <v>5966</v>
      </c>
      <c r="B40" t="s">
        <v>4550</v>
      </c>
      <c r="C40" s="16" t="s">
        <v>1744</v>
      </c>
      <c r="D40" t="s">
        <v>2269</v>
      </c>
      <c r="E40" s="14">
        <v>2</v>
      </c>
      <c r="F40" s="16" t="s">
        <v>5946</v>
      </c>
      <c r="G40" s="19">
        <v>45124</v>
      </c>
    </row>
    <row r="41" spans="1:7">
      <c r="A41" t="s">
        <v>5967</v>
      </c>
      <c r="B41" t="s">
        <v>2364</v>
      </c>
      <c r="C41" s="16" t="s">
        <v>1229</v>
      </c>
      <c r="D41" t="s">
        <v>2261</v>
      </c>
      <c r="E41" s="14" t="s">
        <v>39</v>
      </c>
      <c r="F41" s="16" t="s">
        <v>5924</v>
      </c>
      <c r="G41" s="19">
        <v>45212</v>
      </c>
    </row>
    <row r="42" spans="1:7">
      <c r="A42" t="s">
        <v>5968</v>
      </c>
      <c r="B42" t="s">
        <v>4885</v>
      </c>
      <c r="C42" s="16" t="s">
        <v>846</v>
      </c>
      <c r="D42" t="s">
        <v>2198</v>
      </c>
      <c r="E42" s="14">
        <v>5</v>
      </c>
      <c r="F42" s="16" t="s">
        <v>5926</v>
      </c>
      <c r="G42" s="19">
        <v>45713</v>
      </c>
    </row>
    <row r="43" spans="1:7">
      <c r="A43" t="s">
        <v>5969</v>
      </c>
      <c r="B43" t="s">
        <v>3951</v>
      </c>
      <c r="C43" s="16" t="s">
        <v>1407</v>
      </c>
      <c r="D43" t="s">
        <v>2209</v>
      </c>
      <c r="E43" s="14">
        <v>5</v>
      </c>
      <c r="F43" s="16" t="s">
        <v>5933</v>
      </c>
      <c r="G43" s="19">
        <v>45766</v>
      </c>
    </row>
    <row r="44" spans="1:7">
      <c r="A44" t="s">
        <v>5970</v>
      </c>
      <c r="B44" t="s">
        <v>5717</v>
      </c>
      <c r="C44" s="16" t="s">
        <v>2147</v>
      </c>
      <c r="D44" t="s">
        <v>2213</v>
      </c>
      <c r="E44" s="14">
        <v>3</v>
      </c>
      <c r="F44" s="16" t="s">
        <v>5922</v>
      </c>
      <c r="G44" s="19">
        <v>45433</v>
      </c>
    </row>
    <row r="45" spans="1:7">
      <c r="A45" t="s">
        <v>5971</v>
      </c>
      <c r="B45" t="s">
        <v>5417</v>
      </c>
      <c r="C45" s="16" t="s">
        <v>1001</v>
      </c>
      <c r="D45" t="s">
        <v>2202</v>
      </c>
      <c r="E45" s="14">
        <v>4</v>
      </c>
      <c r="F45" s="16" t="s">
        <v>5924</v>
      </c>
      <c r="G45" s="19">
        <v>46185</v>
      </c>
    </row>
    <row r="46" spans="1:7">
      <c r="A46" t="s">
        <v>5972</v>
      </c>
      <c r="B46" t="s">
        <v>5523</v>
      </c>
      <c r="C46" s="16" t="s">
        <v>2113</v>
      </c>
      <c r="D46" t="s">
        <v>2205</v>
      </c>
      <c r="E46" s="14">
        <v>1</v>
      </c>
      <c r="F46" s="16" t="s">
        <v>5973</v>
      </c>
      <c r="G46" s="19">
        <v>45942</v>
      </c>
    </row>
    <row r="47" spans="1:7">
      <c r="A47" t="s">
        <v>5974</v>
      </c>
      <c r="B47" t="s">
        <v>2467</v>
      </c>
      <c r="C47" s="16" t="s">
        <v>1680</v>
      </c>
      <c r="D47" t="s">
        <v>2267</v>
      </c>
      <c r="E47" s="14">
        <v>4</v>
      </c>
      <c r="F47" s="16" t="s">
        <v>5926</v>
      </c>
      <c r="G47" s="19">
        <v>45942</v>
      </c>
    </row>
    <row r="48" spans="1:7">
      <c r="A48" t="s">
        <v>5975</v>
      </c>
      <c r="B48" t="s">
        <v>5170</v>
      </c>
      <c r="C48" s="16" t="s">
        <v>1054</v>
      </c>
      <c r="D48" t="s">
        <v>2198</v>
      </c>
      <c r="E48" s="14">
        <v>4</v>
      </c>
      <c r="F48" s="16" t="s">
        <v>23</v>
      </c>
      <c r="G48" s="19">
        <v>45863</v>
      </c>
    </row>
    <row r="49" spans="1:7">
      <c r="A49" t="s">
        <v>5976</v>
      </c>
      <c r="B49" t="s">
        <v>5799</v>
      </c>
      <c r="C49" s="16" t="s">
        <v>1705</v>
      </c>
      <c r="D49" t="s">
        <v>2187</v>
      </c>
      <c r="E49" s="14">
        <v>5</v>
      </c>
      <c r="F49" s="16" t="s">
        <v>5931</v>
      </c>
      <c r="G49" s="19">
        <v>45676</v>
      </c>
    </row>
    <row r="50" spans="1:7">
      <c r="A50" t="s">
        <v>5977</v>
      </c>
      <c r="B50" t="s">
        <v>5685</v>
      </c>
      <c r="C50" s="16" t="s">
        <v>1717</v>
      </c>
      <c r="D50" t="s">
        <v>2216</v>
      </c>
      <c r="E50" s="14">
        <v>5</v>
      </c>
      <c r="F50" s="16" t="s">
        <v>5938</v>
      </c>
      <c r="G50" s="19">
        <v>45143</v>
      </c>
    </row>
    <row r="51" spans="1:7">
      <c r="A51" t="s">
        <v>5978</v>
      </c>
      <c r="B51" t="s">
        <v>3948</v>
      </c>
      <c r="C51" s="16" t="s">
        <v>695</v>
      </c>
      <c r="D51" t="s">
        <v>2249</v>
      </c>
      <c r="E51" s="14">
        <v>4</v>
      </c>
      <c r="F51" s="16" t="s">
        <v>5979</v>
      </c>
      <c r="G51" s="19">
        <v>46135</v>
      </c>
    </row>
    <row r="52" spans="1:7">
      <c r="A52" t="s">
        <v>5980</v>
      </c>
      <c r="B52" t="s">
        <v>4203</v>
      </c>
      <c r="C52" s="16" t="s">
        <v>206</v>
      </c>
      <c r="D52" t="s">
        <v>2209</v>
      </c>
      <c r="E52" s="14">
        <v>5</v>
      </c>
      <c r="F52" s="16" t="s">
        <v>5961</v>
      </c>
      <c r="G52" s="19">
        <v>45434</v>
      </c>
    </row>
    <row r="53" spans="1:7">
      <c r="A53" t="s">
        <v>5981</v>
      </c>
      <c r="B53" t="s">
        <v>4426</v>
      </c>
      <c r="C53" s="16" t="s">
        <v>896</v>
      </c>
      <c r="D53" t="s">
        <v>2225</v>
      </c>
      <c r="E53" s="14">
        <v>5</v>
      </c>
      <c r="F53" s="16" t="s">
        <v>5961</v>
      </c>
      <c r="G53" s="19">
        <v>45741</v>
      </c>
    </row>
    <row r="54" spans="1:7">
      <c r="A54" t="s">
        <v>5982</v>
      </c>
      <c r="B54" t="s">
        <v>5386</v>
      </c>
      <c r="C54" s="16" t="s">
        <v>460</v>
      </c>
      <c r="D54" t="s">
        <v>2231</v>
      </c>
      <c r="E54" s="14">
        <v>5</v>
      </c>
      <c r="F54" s="16" t="s">
        <v>5926</v>
      </c>
      <c r="G54" s="19">
        <v>46084</v>
      </c>
    </row>
    <row r="55" spans="1:7">
      <c r="A55" t="s">
        <v>5983</v>
      </c>
      <c r="B55" t="s">
        <v>5086</v>
      </c>
      <c r="C55" s="16" t="s">
        <v>1087</v>
      </c>
      <c r="D55" t="s">
        <v>2267</v>
      </c>
      <c r="E55" s="14" t="s">
        <v>39</v>
      </c>
      <c r="F55" s="16" t="s">
        <v>5979</v>
      </c>
      <c r="G55" s="19">
        <v>45749</v>
      </c>
    </row>
    <row r="56" spans="1:7">
      <c r="A56" t="s">
        <v>5984</v>
      </c>
      <c r="B56" t="s">
        <v>2779</v>
      </c>
      <c r="C56" s="16" t="s">
        <v>1511</v>
      </c>
      <c r="D56" t="s">
        <v>2264</v>
      </c>
      <c r="E56" s="14">
        <v>4</v>
      </c>
      <c r="F56" s="16" t="s">
        <v>5917</v>
      </c>
      <c r="G56" s="19">
        <v>45800</v>
      </c>
    </row>
    <row r="57" spans="1:7">
      <c r="A57" t="s">
        <v>5985</v>
      </c>
      <c r="B57" t="s">
        <v>2852</v>
      </c>
      <c r="C57" s="16" t="s">
        <v>1610</v>
      </c>
      <c r="D57" t="s">
        <v>2253</v>
      </c>
      <c r="E57" s="14">
        <v>5</v>
      </c>
      <c r="F57" s="16" t="s">
        <v>5922</v>
      </c>
      <c r="G57" s="19">
        <v>45908</v>
      </c>
    </row>
    <row r="58" spans="1:7">
      <c r="A58" t="s">
        <v>5986</v>
      </c>
      <c r="B58" t="s">
        <v>5751</v>
      </c>
      <c r="C58" s="16" t="s">
        <v>1945</v>
      </c>
      <c r="D58" t="s">
        <v>2269</v>
      </c>
      <c r="E58" s="14">
        <v>4</v>
      </c>
      <c r="F58" s="16" t="s">
        <v>5922</v>
      </c>
      <c r="G58" s="19">
        <v>45683</v>
      </c>
    </row>
    <row r="59" spans="1:7">
      <c r="A59" t="s">
        <v>5987</v>
      </c>
      <c r="B59" t="s">
        <v>4137</v>
      </c>
      <c r="C59" s="16" t="s">
        <v>2061</v>
      </c>
      <c r="D59" t="s">
        <v>2187</v>
      </c>
      <c r="E59" s="14">
        <v>3</v>
      </c>
      <c r="F59" s="16" t="s">
        <v>5938</v>
      </c>
      <c r="G59" s="19">
        <v>45238</v>
      </c>
    </row>
    <row r="60" spans="1:7">
      <c r="A60" t="s">
        <v>5988</v>
      </c>
      <c r="B60" t="s">
        <v>2736</v>
      </c>
      <c r="C60" s="16" t="s">
        <v>44</v>
      </c>
      <c r="D60" t="s">
        <v>2247</v>
      </c>
      <c r="E60" s="14" t="s">
        <v>39</v>
      </c>
      <c r="F60" s="16" t="s">
        <v>5940</v>
      </c>
      <c r="G60" s="19">
        <v>45430</v>
      </c>
    </row>
    <row r="61" spans="1:7">
      <c r="A61" t="s">
        <v>5989</v>
      </c>
      <c r="B61" t="s">
        <v>5200</v>
      </c>
      <c r="C61" s="16" t="s">
        <v>1207</v>
      </c>
      <c r="D61" t="s">
        <v>2247</v>
      </c>
      <c r="E61" s="14">
        <v>2</v>
      </c>
      <c r="F61" s="16" t="s">
        <v>5928</v>
      </c>
      <c r="G61" s="19">
        <v>45304</v>
      </c>
    </row>
    <row r="62" spans="1:7">
      <c r="A62" t="s">
        <v>5990</v>
      </c>
      <c r="B62" t="s">
        <v>3786</v>
      </c>
      <c r="C62" s="16" t="s">
        <v>1930</v>
      </c>
      <c r="D62" t="s">
        <v>2209</v>
      </c>
      <c r="E62" s="14">
        <v>4</v>
      </c>
      <c r="F62" s="16" t="s">
        <v>5938</v>
      </c>
      <c r="G62" s="19">
        <v>46154</v>
      </c>
    </row>
    <row r="63" spans="1:7">
      <c r="A63" t="s">
        <v>5991</v>
      </c>
      <c r="B63" t="s">
        <v>3270</v>
      </c>
      <c r="C63" s="16" t="s">
        <v>1719</v>
      </c>
      <c r="D63" t="s">
        <v>2253</v>
      </c>
      <c r="E63" s="14">
        <v>4</v>
      </c>
      <c r="F63" s="16" t="s">
        <v>5931</v>
      </c>
      <c r="G63" s="19">
        <v>45155</v>
      </c>
    </row>
    <row r="64" spans="1:7">
      <c r="A64" t="s">
        <v>5992</v>
      </c>
      <c r="B64" t="s">
        <v>3111</v>
      </c>
      <c r="C64" s="16" t="s">
        <v>824</v>
      </c>
      <c r="D64" t="s">
        <v>2271</v>
      </c>
      <c r="E64" s="14">
        <v>1</v>
      </c>
      <c r="F64" s="16" t="s">
        <v>5938</v>
      </c>
      <c r="G64" s="19">
        <v>45973</v>
      </c>
    </row>
    <row r="65" spans="1:7">
      <c r="A65" t="s">
        <v>5993</v>
      </c>
      <c r="B65" t="s">
        <v>4942</v>
      </c>
      <c r="C65" s="16" t="s">
        <v>1766</v>
      </c>
      <c r="D65" t="s">
        <v>2228</v>
      </c>
      <c r="E65" s="14">
        <v>5</v>
      </c>
      <c r="F65" s="16" t="s">
        <v>5920</v>
      </c>
      <c r="G65" s="19">
        <v>46055</v>
      </c>
    </row>
    <row r="66" spans="1:7">
      <c r="A66" t="s">
        <v>5994</v>
      </c>
      <c r="B66" t="s">
        <v>4285</v>
      </c>
      <c r="C66" s="16" t="s">
        <v>664</v>
      </c>
      <c r="D66" t="s">
        <v>2193</v>
      </c>
      <c r="E66" s="14">
        <v>4</v>
      </c>
      <c r="F66" s="16" t="s">
        <v>5928</v>
      </c>
      <c r="G66" s="19">
        <v>45907</v>
      </c>
    </row>
    <row r="67" spans="1:7">
      <c r="A67" t="s">
        <v>5995</v>
      </c>
      <c r="B67" t="s">
        <v>4087</v>
      </c>
      <c r="C67" s="16" t="s">
        <v>531</v>
      </c>
      <c r="D67" t="s">
        <v>2267</v>
      </c>
      <c r="E67" s="14">
        <v>3</v>
      </c>
      <c r="F67" s="16" t="s">
        <v>5917</v>
      </c>
      <c r="G67" s="19">
        <v>45672</v>
      </c>
    </row>
    <row r="68" spans="1:7">
      <c r="A68" t="s">
        <v>5996</v>
      </c>
      <c r="B68" t="s">
        <v>4273</v>
      </c>
      <c r="C68" s="16" t="s">
        <v>1291</v>
      </c>
      <c r="D68" t="s">
        <v>2253</v>
      </c>
      <c r="E68" s="14">
        <v>5</v>
      </c>
      <c r="F68" s="16" t="s">
        <v>23</v>
      </c>
      <c r="G68" s="19">
        <v>45293</v>
      </c>
    </row>
    <row r="69" spans="1:7">
      <c r="A69" t="s">
        <v>5997</v>
      </c>
      <c r="B69" t="s">
        <v>2710</v>
      </c>
      <c r="C69" s="16" t="s">
        <v>593</v>
      </c>
      <c r="D69" t="s">
        <v>2193</v>
      </c>
      <c r="E69" s="14">
        <v>4</v>
      </c>
      <c r="F69" s="16" t="s">
        <v>5979</v>
      </c>
      <c r="G69" s="19">
        <v>45504</v>
      </c>
    </row>
    <row r="70" spans="1:7">
      <c r="A70" t="s">
        <v>5998</v>
      </c>
      <c r="B70" t="s">
        <v>4157</v>
      </c>
      <c r="C70" s="16" t="s">
        <v>1700</v>
      </c>
      <c r="D70" t="s">
        <v>2259</v>
      </c>
      <c r="E70" s="14">
        <v>3</v>
      </c>
      <c r="F70" s="16" t="s">
        <v>5926</v>
      </c>
      <c r="G70" s="19">
        <v>45864</v>
      </c>
    </row>
    <row r="71" spans="1:7">
      <c r="A71" t="s">
        <v>5999</v>
      </c>
      <c r="B71" t="s">
        <v>2820</v>
      </c>
      <c r="C71" s="16" t="s">
        <v>626</v>
      </c>
      <c r="D71" t="s">
        <v>2216</v>
      </c>
      <c r="E71" s="14" t="s">
        <v>39</v>
      </c>
      <c r="F71" s="16" t="s">
        <v>5940</v>
      </c>
      <c r="G71" s="19">
        <v>46096</v>
      </c>
    </row>
    <row r="72" spans="1:7">
      <c r="A72" t="s">
        <v>6000</v>
      </c>
      <c r="B72" t="s">
        <v>4881</v>
      </c>
      <c r="C72" s="16" t="s">
        <v>228</v>
      </c>
      <c r="D72" t="s">
        <v>2273</v>
      </c>
      <c r="E72" s="14" t="s">
        <v>39</v>
      </c>
      <c r="F72" s="16" t="s">
        <v>5924</v>
      </c>
      <c r="G72" s="19">
        <v>45206</v>
      </c>
    </row>
    <row r="73" spans="1:7">
      <c r="A73" t="s">
        <v>6001</v>
      </c>
      <c r="B73" t="s">
        <v>5558</v>
      </c>
      <c r="C73" s="16" t="s">
        <v>1744</v>
      </c>
      <c r="D73" t="s">
        <v>2216</v>
      </c>
      <c r="E73" s="14">
        <v>5</v>
      </c>
      <c r="F73" s="16" t="s">
        <v>5938</v>
      </c>
      <c r="G73" s="19">
        <v>46139</v>
      </c>
    </row>
    <row r="74" spans="1:7">
      <c r="A74" t="s">
        <v>6002</v>
      </c>
      <c r="B74" t="s">
        <v>2430</v>
      </c>
      <c r="C74" s="16" t="s">
        <v>2111</v>
      </c>
      <c r="D74" t="s">
        <v>2241</v>
      </c>
      <c r="E74" s="14">
        <v>2</v>
      </c>
      <c r="F74" s="16" t="s">
        <v>5940</v>
      </c>
      <c r="G74" s="19">
        <v>46076</v>
      </c>
    </row>
    <row r="75" spans="1:7">
      <c r="A75" t="s">
        <v>6003</v>
      </c>
      <c r="B75" t="s">
        <v>3942</v>
      </c>
      <c r="C75" s="16" t="s">
        <v>1442</v>
      </c>
      <c r="D75" t="s">
        <v>2231</v>
      </c>
      <c r="E75" s="14">
        <v>4</v>
      </c>
      <c r="F75" s="16" t="s">
        <v>5928</v>
      </c>
      <c r="G75" s="19">
        <v>45878</v>
      </c>
    </row>
    <row r="76" spans="1:7">
      <c r="A76" t="s">
        <v>6004</v>
      </c>
      <c r="B76" t="s">
        <v>3151</v>
      </c>
      <c r="C76" s="16" t="s">
        <v>1984</v>
      </c>
      <c r="D76" t="s">
        <v>2251</v>
      </c>
      <c r="E76" s="14" t="s">
        <v>39</v>
      </c>
      <c r="F76" s="16" t="s">
        <v>5928</v>
      </c>
      <c r="G76" s="19">
        <v>45147</v>
      </c>
    </row>
    <row r="77" spans="1:7">
      <c r="A77" t="s">
        <v>6005</v>
      </c>
      <c r="B77" t="s">
        <v>3885</v>
      </c>
      <c r="C77" s="16" t="s">
        <v>1820</v>
      </c>
      <c r="D77" t="s">
        <v>2271</v>
      </c>
      <c r="E77" s="14" t="s">
        <v>39</v>
      </c>
      <c r="F77" s="16" t="s">
        <v>5940</v>
      </c>
      <c r="G77" s="19">
        <v>45321</v>
      </c>
    </row>
    <row r="78" spans="1:7">
      <c r="A78" t="s">
        <v>6006</v>
      </c>
      <c r="B78" t="s">
        <v>5347</v>
      </c>
      <c r="C78" s="16" t="s">
        <v>581</v>
      </c>
      <c r="D78" t="s">
        <v>2235</v>
      </c>
      <c r="E78" s="14">
        <v>4</v>
      </c>
      <c r="F78" s="16" t="s">
        <v>5961</v>
      </c>
      <c r="G78" s="19">
        <v>45324</v>
      </c>
    </row>
    <row r="79" spans="1:7">
      <c r="A79" t="s">
        <v>6007</v>
      </c>
      <c r="B79" t="s">
        <v>3975</v>
      </c>
      <c r="C79" s="16" t="s">
        <v>1489</v>
      </c>
      <c r="D79" t="s">
        <v>2259</v>
      </c>
      <c r="E79" s="14">
        <v>2</v>
      </c>
      <c r="F79" s="16" t="s">
        <v>5922</v>
      </c>
      <c r="G79" s="19">
        <v>45799</v>
      </c>
    </row>
    <row r="80" spans="1:7">
      <c r="A80" t="s">
        <v>6008</v>
      </c>
      <c r="B80" t="s">
        <v>4159</v>
      </c>
      <c r="C80" s="16" t="s">
        <v>2028</v>
      </c>
      <c r="D80" t="s">
        <v>2233</v>
      </c>
      <c r="E80" s="14">
        <v>1</v>
      </c>
      <c r="F80" s="16" t="s">
        <v>5928</v>
      </c>
      <c r="G80" s="19">
        <v>45145</v>
      </c>
    </row>
    <row r="81" spans="1:7">
      <c r="A81" t="s">
        <v>6009</v>
      </c>
      <c r="B81" t="s">
        <v>5614</v>
      </c>
      <c r="C81" s="16" t="s">
        <v>313</v>
      </c>
      <c r="D81" t="s">
        <v>2257</v>
      </c>
      <c r="E81" s="14">
        <v>3</v>
      </c>
      <c r="F81" s="16" t="s">
        <v>5924</v>
      </c>
      <c r="G81" s="19">
        <v>46108</v>
      </c>
    </row>
    <row r="82" spans="1:7">
      <c r="A82" t="s">
        <v>6010</v>
      </c>
      <c r="B82" t="s">
        <v>5250</v>
      </c>
      <c r="C82" s="16" t="s">
        <v>1790</v>
      </c>
      <c r="D82" t="s">
        <v>2233</v>
      </c>
      <c r="E82" s="14">
        <v>4</v>
      </c>
      <c r="F82" s="16" t="s">
        <v>5973</v>
      </c>
      <c r="G82" s="19">
        <v>45323</v>
      </c>
    </row>
    <row r="83" spans="1:7">
      <c r="A83" t="s">
        <v>6011</v>
      </c>
      <c r="B83" t="s">
        <v>4461</v>
      </c>
      <c r="C83" s="16" t="s">
        <v>1126</v>
      </c>
      <c r="D83" t="s">
        <v>2235</v>
      </c>
      <c r="E83" s="14">
        <v>5</v>
      </c>
      <c r="F83" s="16" t="s">
        <v>5933</v>
      </c>
      <c r="G83" s="19">
        <v>45853</v>
      </c>
    </row>
    <row r="84" spans="1:7">
      <c r="A84" t="s">
        <v>6012</v>
      </c>
      <c r="B84" t="s">
        <v>3699</v>
      </c>
      <c r="C84" s="16" t="s">
        <v>1445</v>
      </c>
      <c r="D84" t="s">
        <v>2202</v>
      </c>
      <c r="E84" s="14">
        <v>5</v>
      </c>
      <c r="F84" s="16" t="s">
        <v>5928</v>
      </c>
      <c r="G84" s="19">
        <v>46111</v>
      </c>
    </row>
    <row r="85" spans="1:7">
      <c r="A85" t="s">
        <v>6013</v>
      </c>
      <c r="B85" t="s">
        <v>4038</v>
      </c>
      <c r="C85" s="16" t="s">
        <v>1984</v>
      </c>
      <c r="D85" t="s">
        <v>2251</v>
      </c>
      <c r="E85" s="14">
        <v>2</v>
      </c>
      <c r="F85" s="16" t="s">
        <v>23</v>
      </c>
      <c r="G85" s="19">
        <v>45103</v>
      </c>
    </row>
    <row r="86" spans="1:7">
      <c r="A86" t="s">
        <v>6014</v>
      </c>
      <c r="B86" t="s">
        <v>5199</v>
      </c>
      <c r="C86" s="16" t="s">
        <v>2108</v>
      </c>
      <c r="D86" t="s">
        <v>2237</v>
      </c>
      <c r="E86" s="14">
        <v>1</v>
      </c>
      <c r="F86" s="16" t="s">
        <v>5931</v>
      </c>
      <c r="G86" s="19">
        <v>45361</v>
      </c>
    </row>
    <row r="87" spans="1:7">
      <c r="A87" t="s">
        <v>6015</v>
      </c>
      <c r="B87" t="s">
        <v>4399</v>
      </c>
      <c r="C87" s="16" t="s">
        <v>1137</v>
      </c>
      <c r="D87" t="s">
        <v>2209</v>
      </c>
      <c r="E87" s="14">
        <v>5</v>
      </c>
      <c r="F87" s="16" t="s">
        <v>5922</v>
      </c>
      <c r="G87" s="19">
        <v>45989</v>
      </c>
    </row>
    <row r="88" spans="1:7">
      <c r="A88" t="s">
        <v>6016</v>
      </c>
      <c r="B88" t="s">
        <v>3190</v>
      </c>
      <c r="C88" s="16" t="s">
        <v>551</v>
      </c>
      <c r="D88" t="s">
        <v>2209</v>
      </c>
      <c r="E88" s="14">
        <v>2</v>
      </c>
      <c r="F88" s="16" t="s">
        <v>5979</v>
      </c>
      <c r="G88" s="19">
        <v>46009</v>
      </c>
    </row>
    <row r="89" spans="1:7">
      <c r="A89" t="s">
        <v>6017</v>
      </c>
      <c r="B89" t="s">
        <v>5561</v>
      </c>
      <c r="C89" s="16" t="s">
        <v>1083</v>
      </c>
      <c r="D89" t="s">
        <v>2251</v>
      </c>
      <c r="E89" s="14" t="s">
        <v>39</v>
      </c>
      <c r="F89" s="16" t="s">
        <v>5940</v>
      </c>
      <c r="G89" s="19">
        <v>46176</v>
      </c>
    </row>
    <row r="90" spans="1:7">
      <c r="A90" t="s">
        <v>6018</v>
      </c>
      <c r="B90" t="s">
        <v>4889</v>
      </c>
      <c r="C90" s="16" t="s">
        <v>1515</v>
      </c>
      <c r="D90" t="s">
        <v>2264</v>
      </c>
      <c r="E90" s="14">
        <v>2</v>
      </c>
      <c r="F90" s="16" t="s">
        <v>5931</v>
      </c>
      <c r="G90" s="19">
        <v>46179</v>
      </c>
    </row>
    <row r="91" spans="1:7">
      <c r="A91" t="s">
        <v>6019</v>
      </c>
      <c r="B91" t="s">
        <v>2352</v>
      </c>
      <c r="C91" s="16" t="s">
        <v>233</v>
      </c>
      <c r="D91" t="s">
        <v>2233</v>
      </c>
      <c r="E91" s="14">
        <v>5</v>
      </c>
      <c r="F91" s="16" t="s">
        <v>5920</v>
      </c>
      <c r="G91" s="19">
        <v>46003</v>
      </c>
    </row>
    <row r="92" spans="1:7">
      <c r="A92" t="s">
        <v>6020</v>
      </c>
      <c r="B92" t="s">
        <v>5529</v>
      </c>
      <c r="C92" s="16" t="s">
        <v>562</v>
      </c>
      <c r="D92" t="s">
        <v>2247</v>
      </c>
      <c r="E92" s="14">
        <v>4</v>
      </c>
      <c r="F92" s="16" t="s">
        <v>5928</v>
      </c>
      <c r="G92" s="19">
        <v>45505</v>
      </c>
    </row>
    <row r="93" spans="1:7">
      <c r="A93" t="s">
        <v>6021</v>
      </c>
      <c r="B93" t="s">
        <v>3191</v>
      </c>
      <c r="C93" s="16" t="s">
        <v>1058</v>
      </c>
      <c r="D93" t="s">
        <v>2202</v>
      </c>
      <c r="E93" s="14">
        <v>3</v>
      </c>
      <c r="F93" s="16" t="s">
        <v>5926</v>
      </c>
      <c r="G93" s="19">
        <v>46016</v>
      </c>
    </row>
    <row r="94" spans="1:7">
      <c r="A94" t="s">
        <v>6022</v>
      </c>
      <c r="B94" t="s">
        <v>5866</v>
      </c>
      <c r="C94" s="16" t="s">
        <v>1476</v>
      </c>
      <c r="D94" t="s">
        <v>2209</v>
      </c>
      <c r="E94" s="14" t="s">
        <v>39</v>
      </c>
      <c r="F94" s="16" t="s">
        <v>5946</v>
      </c>
      <c r="G94" s="19">
        <v>45147</v>
      </c>
    </row>
    <row r="95" spans="1:7">
      <c r="A95" t="s">
        <v>6023</v>
      </c>
      <c r="B95" t="s">
        <v>2667</v>
      </c>
      <c r="C95" s="16" t="s">
        <v>688</v>
      </c>
      <c r="D95" t="s">
        <v>2241</v>
      </c>
      <c r="E95" s="14">
        <v>5</v>
      </c>
      <c r="F95" s="16" t="s">
        <v>5924</v>
      </c>
      <c r="G95" s="19">
        <v>45253</v>
      </c>
    </row>
    <row r="96" spans="1:7">
      <c r="A96" t="s">
        <v>6024</v>
      </c>
      <c r="B96" t="s">
        <v>4069</v>
      </c>
      <c r="C96" s="16" t="s">
        <v>155</v>
      </c>
      <c r="D96" t="s">
        <v>2213</v>
      </c>
      <c r="E96" s="14">
        <v>4</v>
      </c>
      <c r="F96" s="16" t="s">
        <v>5940</v>
      </c>
      <c r="G96" s="19">
        <v>45367</v>
      </c>
    </row>
    <row r="97" spans="1:7">
      <c r="A97" t="s">
        <v>6025</v>
      </c>
      <c r="B97" t="s">
        <v>4508</v>
      </c>
      <c r="C97" s="16" t="s">
        <v>1454</v>
      </c>
      <c r="D97" t="s">
        <v>2193</v>
      </c>
      <c r="E97" s="14">
        <v>5</v>
      </c>
      <c r="F97" s="16" t="s">
        <v>5922</v>
      </c>
      <c r="G97" s="19">
        <v>45830</v>
      </c>
    </row>
    <row r="98" spans="1:7">
      <c r="A98" t="s">
        <v>6026</v>
      </c>
      <c r="B98" t="s">
        <v>3439</v>
      </c>
      <c r="C98" s="16" t="s">
        <v>155</v>
      </c>
      <c r="D98" t="s">
        <v>2244</v>
      </c>
      <c r="E98" s="14">
        <v>4</v>
      </c>
      <c r="F98" s="16" t="s">
        <v>5973</v>
      </c>
      <c r="G98" s="19">
        <v>46064</v>
      </c>
    </row>
    <row r="99" spans="1:7">
      <c r="A99" t="s">
        <v>6027</v>
      </c>
      <c r="B99" t="s">
        <v>3840</v>
      </c>
      <c r="C99" s="16" t="s">
        <v>1686</v>
      </c>
      <c r="D99" t="s">
        <v>2247</v>
      </c>
      <c r="E99" s="14">
        <v>2</v>
      </c>
      <c r="F99" s="16" t="s">
        <v>23</v>
      </c>
      <c r="G99" s="19">
        <v>45561</v>
      </c>
    </row>
    <row r="100" spans="1:7">
      <c r="A100" t="s">
        <v>6028</v>
      </c>
      <c r="B100" t="s">
        <v>5463</v>
      </c>
      <c r="C100" s="16" t="s">
        <v>932</v>
      </c>
      <c r="D100" t="s">
        <v>2267</v>
      </c>
      <c r="E100" s="14">
        <v>1</v>
      </c>
      <c r="F100" s="16" t="s">
        <v>5961</v>
      </c>
      <c r="G100" s="19">
        <v>45723</v>
      </c>
    </row>
    <row r="101" spans="1:7">
      <c r="A101" t="s">
        <v>6029</v>
      </c>
      <c r="B101" t="s">
        <v>5600</v>
      </c>
      <c r="C101" s="16" t="s">
        <v>1820</v>
      </c>
      <c r="D101" t="s">
        <v>2259</v>
      </c>
      <c r="E101" s="14">
        <v>5</v>
      </c>
      <c r="F101" s="16" t="s">
        <v>5946</v>
      </c>
      <c r="G101" s="19">
        <v>46044</v>
      </c>
    </row>
    <row r="102" spans="1:7">
      <c r="A102" t="s">
        <v>6030</v>
      </c>
      <c r="B102" t="s">
        <v>2831</v>
      </c>
      <c r="C102" s="16" t="s">
        <v>510</v>
      </c>
      <c r="D102" t="s">
        <v>2205</v>
      </c>
      <c r="E102" s="14">
        <v>5</v>
      </c>
      <c r="F102" s="16" t="s">
        <v>5926</v>
      </c>
      <c r="G102" s="19">
        <v>45843</v>
      </c>
    </row>
    <row r="103" spans="1:7">
      <c r="A103" t="s">
        <v>6031</v>
      </c>
      <c r="B103" t="s">
        <v>2956</v>
      </c>
      <c r="C103" s="16" t="s">
        <v>2122</v>
      </c>
      <c r="D103" t="s">
        <v>2271</v>
      </c>
      <c r="E103" s="14">
        <v>4</v>
      </c>
      <c r="F103" s="16" t="s">
        <v>5961</v>
      </c>
      <c r="G103" s="19">
        <v>45322</v>
      </c>
    </row>
    <row r="104" spans="1:7">
      <c r="A104" t="s">
        <v>6032</v>
      </c>
      <c r="B104" t="s">
        <v>3860</v>
      </c>
      <c r="C104" s="16" t="s">
        <v>1740</v>
      </c>
      <c r="D104" t="s">
        <v>2231</v>
      </c>
      <c r="E104" s="14">
        <v>4</v>
      </c>
      <c r="F104" s="16" t="s">
        <v>5928</v>
      </c>
      <c r="G104" s="19">
        <v>46061</v>
      </c>
    </row>
    <row r="105" spans="1:7">
      <c r="A105" t="s">
        <v>6033</v>
      </c>
      <c r="B105" t="s">
        <v>5298</v>
      </c>
      <c r="C105" s="16" t="s">
        <v>965</v>
      </c>
      <c r="D105" t="s">
        <v>2218</v>
      </c>
      <c r="E105" s="14">
        <v>1</v>
      </c>
      <c r="F105" s="16" t="s">
        <v>5979</v>
      </c>
      <c r="G105" s="19">
        <v>45905</v>
      </c>
    </row>
    <row r="106" spans="1:7">
      <c r="A106" t="s">
        <v>6034</v>
      </c>
      <c r="B106" t="s">
        <v>3270</v>
      </c>
      <c r="C106" s="16" t="s">
        <v>1719</v>
      </c>
      <c r="D106" t="s">
        <v>2253</v>
      </c>
      <c r="E106" s="14">
        <v>2</v>
      </c>
      <c r="F106" s="16" t="s">
        <v>23</v>
      </c>
      <c r="G106" s="19">
        <v>45396</v>
      </c>
    </row>
    <row r="107" spans="1:7">
      <c r="A107" t="s">
        <v>6035</v>
      </c>
      <c r="B107" t="s">
        <v>4731</v>
      </c>
      <c r="C107" s="16" t="s">
        <v>1536</v>
      </c>
      <c r="D107" t="s">
        <v>2233</v>
      </c>
      <c r="E107" s="14" t="s">
        <v>39</v>
      </c>
      <c r="F107" s="16" t="s">
        <v>5917</v>
      </c>
      <c r="G107" s="19">
        <v>45854</v>
      </c>
    </row>
    <row r="108" spans="1:7">
      <c r="A108" t="s">
        <v>6036</v>
      </c>
      <c r="B108" t="s">
        <v>5262</v>
      </c>
      <c r="C108" s="16" t="s">
        <v>1486</v>
      </c>
      <c r="D108" t="s">
        <v>2259</v>
      </c>
      <c r="E108" s="14">
        <v>4</v>
      </c>
      <c r="F108" s="16" t="s">
        <v>5933</v>
      </c>
      <c r="G108" s="19">
        <v>45553</v>
      </c>
    </row>
    <row r="109" spans="1:7">
      <c r="A109" t="s">
        <v>6037</v>
      </c>
      <c r="B109" t="s">
        <v>4133</v>
      </c>
      <c r="C109" s="16" t="s">
        <v>704</v>
      </c>
      <c r="D109" t="s">
        <v>2213</v>
      </c>
      <c r="E109" s="14">
        <v>5</v>
      </c>
      <c r="F109" s="16" t="s">
        <v>5926</v>
      </c>
      <c r="G109" s="19">
        <v>45551</v>
      </c>
    </row>
    <row r="110" spans="1:7">
      <c r="A110" t="s">
        <v>6038</v>
      </c>
      <c r="B110" t="s">
        <v>4649</v>
      </c>
      <c r="C110" s="16" t="s">
        <v>1945</v>
      </c>
      <c r="D110" t="s">
        <v>2225</v>
      </c>
      <c r="E110" s="14" t="s">
        <v>39</v>
      </c>
      <c r="F110" s="16" t="s">
        <v>5920</v>
      </c>
      <c r="G110" s="19">
        <v>45402</v>
      </c>
    </row>
    <row r="111" spans="1:7">
      <c r="A111" t="s">
        <v>6039</v>
      </c>
      <c r="B111" t="s">
        <v>5432</v>
      </c>
      <c r="C111" s="16" t="s">
        <v>61</v>
      </c>
      <c r="D111" t="s">
        <v>2225</v>
      </c>
      <c r="E111" s="14">
        <v>3</v>
      </c>
      <c r="F111" s="16" t="s">
        <v>5933</v>
      </c>
      <c r="G111" s="19">
        <v>46085</v>
      </c>
    </row>
    <row r="112" spans="1:7">
      <c r="A112" t="s">
        <v>6040</v>
      </c>
      <c r="B112" t="s">
        <v>2874</v>
      </c>
      <c r="C112" s="16" t="s">
        <v>1870</v>
      </c>
      <c r="D112" t="s">
        <v>2269</v>
      </c>
      <c r="E112" s="14" t="s">
        <v>39</v>
      </c>
      <c r="F112" s="16" t="s">
        <v>5920</v>
      </c>
      <c r="G112" s="19">
        <v>45700</v>
      </c>
    </row>
    <row r="113" spans="1:7">
      <c r="A113" t="s">
        <v>6041</v>
      </c>
      <c r="B113" t="s">
        <v>2983</v>
      </c>
      <c r="C113" s="16" t="s">
        <v>1820</v>
      </c>
      <c r="D113" t="s">
        <v>2213</v>
      </c>
      <c r="E113" s="14">
        <v>4</v>
      </c>
      <c r="F113" s="16" t="s">
        <v>5920</v>
      </c>
      <c r="G113" s="19">
        <v>45633</v>
      </c>
    </row>
    <row r="114" spans="1:7">
      <c r="A114" t="s">
        <v>6042</v>
      </c>
      <c r="B114" t="s">
        <v>5099</v>
      </c>
      <c r="C114" s="16" t="s">
        <v>1184</v>
      </c>
      <c r="D114" t="s">
        <v>2259</v>
      </c>
      <c r="E114" s="14" t="s">
        <v>39</v>
      </c>
      <c r="F114" s="16" t="s">
        <v>5940</v>
      </c>
      <c r="G114" s="19">
        <v>45755</v>
      </c>
    </row>
    <row r="115" spans="1:7">
      <c r="A115" t="s">
        <v>6043</v>
      </c>
      <c r="B115" t="s">
        <v>4470</v>
      </c>
      <c r="C115" s="16" t="s">
        <v>1468</v>
      </c>
      <c r="D115" t="s">
        <v>2216</v>
      </c>
      <c r="E115" s="14">
        <v>1</v>
      </c>
      <c r="F115" s="16" t="s">
        <v>5933</v>
      </c>
      <c r="G115" s="19">
        <v>45784</v>
      </c>
    </row>
    <row r="116" spans="1:7">
      <c r="A116" t="s">
        <v>6044</v>
      </c>
      <c r="B116" t="s">
        <v>2768</v>
      </c>
      <c r="C116" s="16" t="s">
        <v>604</v>
      </c>
      <c r="D116" t="s">
        <v>2253</v>
      </c>
      <c r="E116" s="14">
        <v>2</v>
      </c>
      <c r="F116" s="16" t="s">
        <v>23</v>
      </c>
      <c r="G116" s="19">
        <v>45531</v>
      </c>
    </row>
    <row r="117" spans="1:7">
      <c r="A117" t="s">
        <v>6045</v>
      </c>
      <c r="B117" t="s">
        <v>3710</v>
      </c>
      <c r="C117" s="16" t="s">
        <v>200</v>
      </c>
      <c r="D117" t="s">
        <v>2241</v>
      </c>
      <c r="E117" s="14">
        <v>3</v>
      </c>
      <c r="F117" s="16" t="s">
        <v>5926</v>
      </c>
      <c r="G117" s="19">
        <v>45860</v>
      </c>
    </row>
    <row r="118" spans="1:7">
      <c r="A118" t="s">
        <v>6046</v>
      </c>
      <c r="B118" t="s">
        <v>3065</v>
      </c>
      <c r="C118" s="16" t="s">
        <v>1207</v>
      </c>
      <c r="D118" t="s">
        <v>2247</v>
      </c>
      <c r="E118" s="14">
        <v>2</v>
      </c>
      <c r="F118" s="16" t="s">
        <v>5938</v>
      </c>
      <c r="G118" s="19">
        <v>45590</v>
      </c>
    </row>
    <row r="119" spans="1:7">
      <c r="A119" t="s">
        <v>6047</v>
      </c>
      <c r="B119" t="s">
        <v>4333</v>
      </c>
      <c r="C119" s="16" t="s">
        <v>1719</v>
      </c>
      <c r="D119" t="s">
        <v>2209</v>
      </c>
      <c r="E119" s="14">
        <v>3</v>
      </c>
      <c r="F119" s="16" t="s">
        <v>5961</v>
      </c>
      <c r="G119" s="19">
        <v>45824</v>
      </c>
    </row>
    <row r="120" spans="1:7">
      <c r="A120" t="s">
        <v>6048</v>
      </c>
      <c r="B120" t="s">
        <v>5532</v>
      </c>
      <c r="C120" s="16" t="s">
        <v>1251</v>
      </c>
      <c r="D120" t="s">
        <v>2228</v>
      </c>
      <c r="E120" s="14">
        <v>5</v>
      </c>
      <c r="F120" s="16" t="s">
        <v>5922</v>
      </c>
      <c r="G120" s="19">
        <v>45342</v>
      </c>
    </row>
    <row r="121" spans="1:7">
      <c r="A121" t="s">
        <v>6049</v>
      </c>
      <c r="B121" t="s">
        <v>5226</v>
      </c>
      <c r="C121" s="16" t="s">
        <v>1806</v>
      </c>
      <c r="D121" t="s">
        <v>2216</v>
      </c>
      <c r="E121" s="14">
        <v>4</v>
      </c>
      <c r="F121" s="16" t="s">
        <v>5933</v>
      </c>
      <c r="G121" s="19">
        <v>45796</v>
      </c>
    </row>
    <row r="122" spans="1:7">
      <c r="A122" t="s">
        <v>6050</v>
      </c>
      <c r="B122" t="s">
        <v>5093</v>
      </c>
      <c r="C122" s="16" t="s">
        <v>1876</v>
      </c>
      <c r="D122" t="s">
        <v>2205</v>
      </c>
      <c r="E122" s="14">
        <v>4</v>
      </c>
      <c r="F122" s="16" t="s">
        <v>5973</v>
      </c>
      <c r="G122" s="19">
        <v>45224</v>
      </c>
    </row>
    <row r="123" spans="1:7">
      <c r="A123" t="s">
        <v>6051</v>
      </c>
      <c r="B123" t="s">
        <v>3021</v>
      </c>
      <c r="C123" s="16" t="s">
        <v>116</v>
      </c>
      <c r="D123" t="s">
        <v>2233</v>
      </c>
      <c r="E123" s="14">
        <v>4</v>
      </c>
      <c r="F123" s="16" t="s">
        <v>5961</v>
      </c>
      <c r="G123" s="19">
        <v>46145</v>
      </c>
    </row>
    <row r="124" spans="1:7">
      <c r="A124" t="s">
        <v>6052</v>
      </c>
      <c r="B124" t="s">
        <v>2807</v>
      </c>
      <c r="C124" s="16" t="s">
        <v>394</v>
      </c>
      <c r="D124" t="s">
        <v>2231</v>
      </c>
      <c r="E124" s="14">
        <v>1</v>
      </c>
      <c r="F124" s="16" t="s">
        <v>5931</v>
      </c>
      <c r="G124" s="19">
        <v>45633</v>
      </c>
    </row>
    <row r="125" spans="1:7">
      <c r="A125" t="s">
        <v>6053</v>
      </c>
      <c r="B125" t="s">
        <v>5498</v>
      </c>
      <c r="C125" s="16" t="s">
        <v>597</v>
      </c>
      <c r="D125" t="s">
        <v>2187</v>
      </c>
      <c r="E125" s="14">
        <v>5</v>
      </c>
      <c r="F125" s="16" t="s">
        <v>5938</v>
      </c>
      <c r="G125" s="19">
        <v>45298</v>
      </c>
    </row>
    <row r="126" spans="1:7">
      <c r="A126" t="s">
        <v>6054</v>
      </c>
      <c r="B126" t="s">
        <v>4203</v>
      </c>
      <c r="C126" s="16" t="s">
        <v>206</v>
      </c>
      <c r="D126" t="s">
        <v>2209</v>
      </c>
      <c r="E126" s="14">
        <v>5</v>
      </c>
      <c r="F126" s="16" t="s">
        <v>5920</v>
      </c>
      <c r="G126" s="19">
        <v>45456</v>
      </c>
    </row>
    <row r="127" spans="1:7">
      <c r="A127" t="s">
        <v>6055</v>
      </c>
      <c r="B127" t="s">
        <v>5192</v>
      </c>
      <c r="C127" s="16" t="s">
        <v>1445</v>
      </c>
      <c r="D127" t="s">
        <v>2209</v>
      </c>
      <c r="E127" s="14">
        <v>1</v>
      </c>
      <c r="F127" s="16" t="s">
        <v>5938</v>
      </c>
      <c r="G127" s="19">
        <v>46132</v>
      </c>
    </row>
    <row r="128" spans="1:7">
      <c r="A128" t="s">
        <v>6056</v>
      </c>
      <c r="B128" t="s">
        <v>3528</v>
      </c>
      <c r="C128" s="16" t="s">
        <v>1414</v>
      </c>
      <c r="D128" t="s">
        <v>2259</v>
      </c>
      <c r="E128" s="14" t="s">
        <v>39</v>
      </c>
      <c r="F128" s="16" t="s">
        <v>5933</v>
      </c>
      <c r="G128" s="19">
        <v>45379</v>
      </c>
    </row>
    <row r="129" spans="1:7">
      <c r="A129" t="s">
        <v>6057</v>
      </c>
      <c r="B129" t="s">
        <v>5457</v>
      </c>
      <c r="C129" s="16" t="s">
        <v>2097</v>
      </c>
      <c r="D129" t="s">
        <v>2202</v>
      </c>
      <c r="E129" s="14">
        <v>1</v>
      </c>
      <c r="F129" s="16" t="s">
        <v>5940</v>
      </c>
      <c r="G129" s="19">
        <v>45844</v>
      </c>
    </row>
    <row r="130" spans="1:7">
      <c r="A130" t="s">
        <v>6058</v>
      </c>
      <c r="B130" t="s">
        <v>2750</v>
      </c>
      <c r="C130" s="16" t="s">
        <v>1091</v>
      </c>
      <c r="D130" t="s">
        <v>2209</v>
      </c>
      <c r="E130" s="14">
        <v>5</v>
      </c>
      <c r="F130" s="16" t="s">
        <v>5973</v>
      </c>
      <c r="G130" s="19">
        <v>46117</v>
      </c>
    </row>
    <row r="131" spans="1:7">
      <c r="A131" t="s">
        <v>6059</v>
      </c>
      <c r="B131" t="s">
        <v>2524</v>
      </c>
      <c r="C131" s="16" t="s">
        <v>581</v>
      </c>
      <c r="D131" t="s">
        <v>2261</v>
      </c>
      <c r="E131" s="14">
        <v>2</v>
      </c>
      <c r="F131" s="16" t="s">
        <v>5961</v>
      </c>
      <c r="G131" s="19">
        <v>45534</v>
      </c>
    </row>
    <row r="132" spans="1:7">
      <c r="A132" t="s">
        <v>6060</v>
      </c>
      <c r="B132" t="s">
        <v>5127</v>
      </c>
      <c r="C132" s="16" t="s">
        <v>1165</v>
      </c>
      <c r="D132" t="s">
        <v>2222</v>
      </c>
      <c r="E132" s="14">
        <v>4</v>
      </c>
      <c r="F132" s="16" t="s">
        <v>5961</v>
      </c>
      <c r="G132" s="19">
        <v>45685</v>
      </c>
    </row>
    <row r="133" spans="1:7">
      <c r="A133" t="s">
        <v>6061</v>
      </c>
      <c r="B133" t="s">
        <v>5311</v>
      </c>
      <c r="C133" s="16" t="s">
        <v>961</v>
      </c>
      <c r="D133" t="s">
        <v>2264</v>
      </c>
      <c r="E133" s="14">
        <v>2</v>
      </c>
      <c r="F133" s="16" t="s">
        <v>5924</v>
      </c>
      <c r="G133" s="19">
        <v>45410</v>
      </c>
    </row>
    <row r="134" spans="1:7">
      <c r="A134" t="s">
        <v>6062</v>
      </c>
      <c r="B134" t="s">
        <v>5203</v>
      </c>
      <c r="C134" s="16" t="s">
        <v>2084</v>
      </c>
      <c r="D134" t="s">
        <v>2209</v>
      </c>
      <c r="E134" s="14">
        <v>4</v>
      </c>
      <c r="F134" s="16" t="s">
        <v>5922</v>
      </c>
      <c r="G134" s="19">
        <v>45722</v>
      </c>
    </row>
    <row r="135" spans="1:7">
      <c r="A135" t="s">
        <v>6063</v>
      </c>
      <c r="B135" t="s">
        <v>5208</v>
      </c>
      <c r="C135" s="16" t="s">
        <v>1988</v>
      </c>
      <c r="D135" t="s">
        <v>2237</v>
      </c>
      <c r="E135" s="14" t="s">
        <v>39</v>
      </c>
      <c r="F135" s="16" t="s">
        <v>5926</v>
      </c>
      <c r="G135" s="19">
        <v>45216</v>
      </c>
    </row>
    <row r="136" spans="1:7">
      <c r="A136" t="s">
        <v>6064</v>
      </c>
      <c r="B136" t="s">
        <v>4976</v>
      </c>
      <c r="C136" s="16" t="s">
        <v>854</v>
      </c>
      <c r="D136" t="s">
        <v>2233</v>
      </c>
      <c r="E136" s="14">
        <v>4</v>
      </c>
      <c r="F136" s="16" t="s">
        <v>5940</v>
      </c>
      <c r="G136" s="19">
        <v>45228</v>
      </c>
    </row>
    <row r="137" spans="1:7">
      <c r="A137" t="s">
        <v>6065</v>
      </c>
      <c r="B137" t="s">
        <v>3378</v>
      </c>
      <c r="C137" s="16" t="s">
        <v>1511</v>
      </c>
      <c r="D137" t="s">
        <v>2231</v>
      </c>
      <c r="E137" s="14">
        <v>5</v>
      </c>
      <c r="F137" s="16" t="s">
        <v>5940</v>
      </c>
      <c r="G137" s="19">
        <v>45881</v>
      </c>
    </row>
    <row r="138" spans="1:7">
      <c r="A138" t="s">
        <v>6066</v>
      </c>
      <c r="B138" t="s">
        <v>3961</v>
      </c>
      <c r="C138" s="16" t="s">
        <v>2113</v>
      </c>
      <c r="D138" t="s">
        <v>2259</v>
      </c>
      <c r="E138" s="14" t="s">
        <v>39</v>
      </c>
      <c r="F138" s="16" t="s">
        <v>5924</v>
      </c>
      <c r="G138" s="19">
        <v>46066</v>
      </c>
    </row>
    <row r="139" spans="1:7">
      <c r="A139" t="s">
        <v>6067</v>
      </c>
      <c r="B139" t="s">
        <v>4859</v>
      </c>
      <c r="C139" s="16" t="s">
        <v>546</v>
      </c>
      <c r="D139" t="s">
        <v>2253</v>
      </c>
      <c r="E139" s="14">
        <v>4</v>
      </c>
      <c r="F139" s="16" t="s">
        <v>5922</v>
      </c>
      <c r="G139" s="19">
        <v>46139</v>
      </c>
    </row>
    <row r="140" spans="1:7">
      <c r="A140" t="s">
        <v>6068</v>
      </c>
      <c r="B140" t="s">
        <v>2787</v>
      </c>
      <c r="C140" s="16" t="s">
        <v>1229</v>
      </c>
      <c r="D140" t="s">
        <v>2222</v>
      </c>
      <c r="E140" s="14">
        <v>5</v>
      </c>
      <c r="F140" s="16" t="s">
        <v>5961</v>
      </c>
      <c r="G140" s="19">
        <v>45706</v>
      </c>
    </row>
    <row r="141" spans="1:7">
      <c r="A141" t="s">
        <v>6069</v>
      </c>
      <c r="B141" t="s">
        <v>5724</v>
      </c>
      <c r="C141" s="16" t="s">
        <v>688</v>
      </c>
      <c r="D141" t="s">
        <v>2271</v>
      </c>
      <c r="E141" s="14">
        <v>5</v>
      </c>
      <c r="F141" s="16" t="s">
        <v>5926</v>
      </c>
      <c r="G141" s="19">
        <v>45643</v>
      </c>
    </row>
    <row r="142" spans="1:7">
      <c r="A142" t="s">
        <v>6070</v>
      </c>
      <c r="B142" t="s">
        <v>2951</v>
      </c>
      <c r="C142" s="16" t="s">
        <v>1483</v>
      </c>
      <c r="D142" t="s">
        <v>2205</v>
      </c>
      <c r="E142" s="14">
        <v>5</v>
      </c>
      <c r="F142" s="16" t="s">
        <v>5928</v>
      </c>
      <c r="G142" s="19">
        <v>45118</v>
      </c>
    </row>
    <row r="143" spans="1:7">
      <c r="A143" t="s">
        <v>6071</v>
      </c>
      <c r="B143" t="s">
        <v>5245</v>
      </c>
      <c r="C143" s="16" t="s">
        <v>997</v>
      </c>
      <c r="D143" t="s">
        <v>2253</v>
      </c>
      <c r="E143" s="14">
        <v>1</v>
      </c>
      <c r="F143" s="16" t="s">
        <v>5938</v>
      </c>
      <c r="G143" s="19">
        <v>46189</v>
      </c>
    </row>
    <row r="144" spans="1:7">
      <c r="A144" t="s">
        <v>6072</v>
      </c>
      <c r="B144" t="s">
        <v>5536</v>
      </c>
      <c r="C144" s="16" t="s">
        <v>360</v>
      </c>
      <c r="D144" t="s">
        <v>2202</v>
      </c>
      <c r="E144" s="14">
        <v>3</v>
      </c>
      <c r="F144" s="16" t="s">
        <v>5931</v>
      </c>
      <c r="G144" s="19">
        <v>45611</v>
      </c>
    </row>
    <row r="145" spans="1:7">
      <c r="A145" t="s">
        <v>6073</v>
      </c>
      <c r="B145" t="s">
        <v>5549</v>
      </c>
      <c r="C145" s="16" t="s">
        <v>264</v>
      </c>
      <c r="D145" t="s">
        <v>2187</v>
      </c>
      <c r="E145" s="14">
        <v>4</v>
      </c>
      <c r="F145" s="16" t="s">
        <v>5938</v>
      </c>
      <c r="G145" s="19">
        <v>45217</v>
      </c>
    </row>
    <row r="146" spans="1:7">
      <c r="A146" t="s">
        <v>6074</v>
      </c>
      <c r="B146" t="s">
        <v>5059</v>
      </c>
      <c r="C146" s="16" t="s">
        <v>1911</v>
      </c>
      <c r="D146" t="s">
        <v>2233</v>
      </c>
      <c r="E146" s="14">
        <v>1</v>
      </c>
      <c r="F146" s="16" t="s">
        <v>5926</v>
      </c>
      <c r="G146" s="19">
        <v>45348</v>
      </c>
    </row>
    <row r="147" spans="1:7">
      <c r="A147" t="s">
        <v>6075</v>
      </c>
      <c r="B147" t="s">
        <v>2908</v>
      </c>
      <c r="C147" s="16" t="s">
        <v>707</v>
      </c>
      <c r="D147" t="s">
        <v>2187</v>
      </c>
      <c r="E147" s="14">
        <v>5</v>
      </c>
      <c r="F147" s="16" t="s">
        <v>23</v>
      </c>
      <c r="G147" s="19">
        <v>46011</v>
      </c>
    </row>
    <row r="148" spans="1:7">
      <c r="A148" t="s">
        <v>6076</v>
      </c>
      <c r="B148" t="s">
        <v>3582</v>
      </c>
      <c r="C148" s="16" t="s">
        <v>277</v>
      </c>
      <c r="D148" t="s">
        <v>2228</v>
      </c>
      <c r="E148" s="14">
        <v>4</v>
      </c>
      <c r="F148" s="16" t="s">
        <v>5940</v>
      </c>
      <c r="G148" s="19">
        <v>45300</v>
      </c>
    </row>
    <row r="149" spans="1:7">
      <c r="A149" t="s">
        <v>6077</v>
      </c>
      <c r="B149" t="s">
        <v>5085</v>
      </c>
      <c r="C149" s="16" t="s">
        <v>1838</v>
      </c>
      <c r="D149" t="s">
        <v>2218</v>
      </c>
      <c r="E149" s="14" t="s">
        <v>39</v>
      </c>
      <c r="F149" s="16" t="s">
        <v>5973</v>
      </c>
      <c r="G149" s="19">
        <v>45726</v>
      </c>
    </row>
    <row r="150" spans="1:7">
      <c r="A150" t="s">
        <v>6078</v>
      </c>
      <c r="B150" t="s">
        <v>4895</v>
      </c>
      <c r="C150" s="16" t="s">
        <v>1719</v>
      </c>
      <c r="D150" t="s">
        <v>2222</v>
      </c>
      <c r="E150" s="14">
        <v>2</v>
      </c>
      <c r="F150" s="16" t="s">
        <v>5979</v>
      </c>
      <c r="G150" s="19">
        <v>45981</v>
      </c>
    </row>
    <row r="151" spans="1:7">
      <c r="A151" t="s">
        <v>6079</v>
      </c>
      <c r="B151" t="s">
        <v>4153</v>
      </c>
      <c r="C151" s="16" t="s">
        <v>1689</v>
      </c>
      <c r="D151" t="s">
        <v>2216</v>
      </c>
      <c r="E151" s="14">
        <v>3</v>
      </c>
      <c r="F151" s="16" t="s">
        <v>5928</v>
      </c>
      <c r="G151" s="19">
        <v>45599</v>
      </c>
    </row>
    <row r="152" spans="1:7">
      <c r="A152" t="s">
        <v>6080</v>
      </c>
      <c r="B152" t="s">
        <v>3202</v>
      </c>
      <c r="C152" s="16" t="s">
        <v>1627</v>
      </c>
      <c r="D152" t="s">
        <v>2264</v>
      </c>
      <c r="E152" s="14">
        <v>2</v>
      </c>
      <c r="F152" s="16" t="s">
        <v>5940</v>
      </c>
      <c r="G152" s="19">
        <v>45772</v>
      </c>
    </row>
    <row r="153" spans="1:7">
      <c r="A153" t="s">
        <v>6081</v>
      </c>
      <c r="B153" t="s">
        <v>4297</v>
      </c>
      <c r="C153" s="16" t="s">
        <v>1500</v>
      </c>
      <c r="D153" t="s">
        <v>2213</v>
      </c>
      <c r="E153" s="14">
        <v>5</v>
      </c>
      <c r="F153" s="16" t="s">
        <v>5946</v>
      </c>
      <c r="G153" s="19">
        <v>45578</v>
      </c>
    </row>
    <row r="154" spans="1:7">
      <c r="A154" t="s">
        <v>6082</v>
      </c>
      <c r="B154" t="s">
        <v>5685</v>
      </c>
      <c r="C154" s="16" t="s">
        <v>1717</v>
      </c>
      <c r="D154" t="s">
        <v>2216</v>
      </c>
      <c r="E154" s="14">
        <v>2</v>
      </c>
      <c r="F154" s="16" t="s">
        <v>5926</v>
      </c>
      <c r="G154" s="19">
        <v>45254</v>
      </c>
    </row>
    <row r="155" spans="1:7">
      <c r="A155" t="s">
        <v>6083</v>
      </c>
      <c r="B155" t="s">
        <v>3600</v>
      </c>
      <c r="C155" s="16" t="s">
        <v>112</v>
      </c>
      <c r="D155" t="s">
        <v>2259</v>
      </c>
      <c r="E155" s="14">
        <v>5</v>
      </c>
      <c r="F155" s="16" t="s">
        <v>5946</v>
      </c>
      <c r="G155" s="19">
        <v>45752</v>
      </c>
    </row>
    <row r="156" spans="1:7">
      <c r="A156" t="s">
        <v>6084</v>
      </c>
      <c r="B156" t="s">
        <v>4142</v>
      </c>
      <c r="C156" s="16" t="s">
        <v>1422</v>
      </c>
      <c r="D156" t="s">
        <v>2193</v>
      </c>
      <c r="E156" s="14">
        <v>2</v>
      </c>
      <c r="F156" s="16" t="s">
        <v>5924</v>
      </c>
      <c r="G156" s="19">
        <v>45024</v>
      </c>
    </row>
    <row r="157" spans="1:7">
      <c r="A157" t="s">
        <v>6085</v>
      </c>
      <c r="B157" t="s">
        <v>2563</v>
      </c>
      <c r="C157" s="16" t="s">
        <v>1610</v>
      </c>
      <c r="D157" t="s">
        <v>2247</v>
      </c>
      <c r="E157" s="14">
        <v>5</v>
      </c>
      <c r="F157" s="16" t="s">
        <v>5973</v>
      </c>
      <c r="G157" s="19">
        <v>46269</v>
      </c>
    </row>
    <row r="158" spans="1:7">
      <c r="A158" t="s">
        <v>6086</v>
      </c>
      <c r="B158" t="s">
        <v>3874</v>
      </c>
      <c r="C158" s="16" t="s">
        <v>846</v>
      </c>
      <c r="D158" t="s">
        <v>2261</v>
      </c>
      <c r="E158" s="14">
        <v>1</v>
      </c>
      <c r="F158" s="16" t="s">
        <v>5946</v>
      </c>
      <c r="G158" s="19">
        <v>45938</v>
      </c>
    </row>
    <row r="159" spans="1:7">
      <c r="A159" t="s">
        <v>6087</v>
      </c>
      <c r="B159" t="s">
        <v>2382</v>
      </c>
      <c r="C159" s="16" t="s">
        <v>2069</v>
      </c>
      <c r="D159" t="s">
        <v>2228</v>
      </c>
      <c r="E159" s="14">
        <v>4</v>
      </c>
      <c r="F159" s="16" t="s">
        <v>5928</v>
      </c>
      <c r="G159" s="19">
        <v>45305</v>
      </c>
    </row>
    <row r="160" spans="1:7">
      <c r="A160" t="s">
        <v>6088</v>
      </c>
      <c r="B160" t="s">
        <v>2638</v>
      </c>
      <c r="C160" s="16" t="s">
        <v>2101</v>
      </c>
      <c r="D160" t="s">
        <v>2253</v>
      </c>
      <c r="E160" s="14">
        <v>4</v>
      </c>
      <c r="F160" s="16" t="s">
        <v>5938</v>
      </c>
      <c r="G160" s="19">
        <v>45445</v>
      </c>
    </row>
    <row r="161" spans="1:7">
      <c r="A161" t="s">
        <v>6089</v>
      </c>
      <c r="B161" t="s">
        <v>4797</v>
      </c>
      <c r="C161" s="16" t="s">
        <v>641</v>
      </c>
      <c r="D161" t="s">
        <v>2257</v>
      </c>
      <c r="E161" s="14">
        <v>1</v>
      </c>
      <c r="F161" s="16" t="s">
        <v>5917</v>
      </c>
      <c r="G161" s="19">
        <v>45357</v>
      </c>
    </row>
    <row r="162" spans="1:7">
      <c r="A162" t="s">
        <v>6090</v>
      </c>
      <c r="B162" t="s">
        <v>3424</v>
      </c>
      <c r="C162" s="16" t="s">
        <v>1520</v>
      </c>
      <c r="D162" t="s">
        <v>2193</v>
      </c>
      <c r="E162" s="14">
        <v>5</v>
      </c>
      <c r="F162" s="16" t="s">
        <v>5933</v>
      </c>
      <c r="G162" s="19">
        <v>45780</v>
      </c>
    </row>
    <row r="163" spans="1:7">
      <c r="A163" t="s">
        <v>6091</v>
      </c>
      <c r="B163" t="s">
        <v>5284</v>
      </c>
      <c r="C163" s="16" t="s">
        <v>2135</v>
      </c>
      <c r="D163" t="s">
        <v>2257</v>
      </c>
      <c r="E163" s="14">
        <v>5</v>
      </c>
      <c r="F163" s="16" t="s">
        <v>5979</v>
      </c>
      <c r="G163" s="19">
        <v>46137</v>
      </c>
    </row>
    <row r="164" spans="1:7">
      <c r="A164" t="s">
        <v>6092</v>
      </c>
      <c r="B164" t="s">
        <v>4927</v>
      </c>
      <c r="C164" s="16" t="s">
        <v>1666</v>
      </c>
      <c r="D164" t="s">
        <v>2216</v>
      </c>
      <c r="E164" s="14">
        <v>5</v>
      </c>
      <c r="F164" s="16" t="s">
        <v>5940</v>
      </c>
      <c r="G164" s="19">
        <v>45472</v>
      </c>
    </row>
    <row r="165" spans="1:7">
      <c r="A165" t="s">
        <v>6093</v>
      </c>
      <c r="B165" t="s">
        <v>4914</v>
      </c>
      <c r="C165" s="16" t="s">
        <v>1520</v>
      </c>
      <c r="D165" t="s">
        <v>2253</v>
      </c>
      <c r="E165" s="14">
        <v>4</v>
      </c>
      <c r="F165" s="16" t="s">
        <v>5928</v>
      </c>
      <c r="G165" s="19">
        <v>46139</v>
      </c>
    </row>
    <row r="166" spans="1:7">
      <c r="A166" t="s">
        <v>6094</v>
      </c>
      <c r="B166" t="s">
        <v>5059</v>
      </c>
      <c r="C166" s="16" t="s">
        <v>1911</v>
      </c>
      <c r="D166" t="s">
        <v>2233</v>
      </c>
      <c r="E166" s="14">
        <v>1</v>
      </c>
      <c r="F166" s="16" t="s">
        <v>5946</v>
      </c>
      <c r="G166" s="19">
        <v>46108</v>
      </c>
    </row>
    <row r="167" spans="1:7">
      <c r="A167" t="s">
        <v>6095</v>
      </c>
      <c r="B167" t="s">
        <v>2954</v>
      </c>
      <c r="C167" s="16" t="s">
        <v>832</v>
      </c>
      <c r="D167" t="s">
        <v>2205</v>
      </c>
      <c r="E167" s="14">
        <v>1</v>
      </c>
      <c r="F167" s="16" t="s">
        <v>5979</v>
      </c>
      <c r="G167" s="19">
        <v>45511</v>
      </c>
    </row>
    <row r="168" spans="1:7">
      <c r="A168" t="s">
        <v>6096</v>
      </c>
      <c r="B168" t="s">
        <v>3151</v>
      </c>
      <c r="C168" s="16" t="s">
        <v>1984</v>
      </c>
      <c r="D168" t="s">
        <v>2251</v>
      </c>
      <c r="E168" s="14">
        <v>1</v>
      </c>
      <c r="F168" s="16" t="s">
        <v>5933</v>
      </c>
      <c r="G168" s="19">
        <v>45317</v>
      </c>
    </row>
    <row r="169" spans="1:7">
      <c r="A169" t="s">
        <v>6097</v>
      </c>
      <c r="B169" t="s">
        <v>4287</v>
      </c>
      <c r="C169" s="16" t="s">
        <v>910</v>
      </c>
      <c r="D169" t="s">
        <v>2249</v>
      </c>
      <c r="E169" s="14">
        <v>2</v>
      </c>
      <c r="F169" s="16" t="s">
        <v>5920</v>
      </c>
      <c r="G169" s="19">
        <v>45803</v>
      </c>
    </row>
    <row r="170" spans="1:7">
      <c r="A170" t="s">
        <v>6098</v>
      </c>
      <c r="B170" t="s">
        <v>4178</v>
      </c>
      <c r="C170" s="16" t="s">
        <v>1933</v>
      </c>
      <c r="D170" t="s">
        <v>2205</v>
      </c>
      <c r="E170" s="14">
        <v>4</v>
      </c>
      <c r="F170" s="16" t="s">
        <v>5940</v>
      </c>
      <c r="G170" s="19">
        <v>45526</v>
      </c>
    </row>
    <row r="171" spans="1:7">
      <c r="A171" t="s">
        <v>6099</v>
      </c>
      <c r="B171" t="s">
        <v>3790</v>
      </c>
      <c r="C171" s="16" t="s">
        <v>1933</v>
      </c>
      <c r="D171" t="s">
        <v>2247</v>
      </c>
      <c r="E171" s="14">
        <v>4</v>
      </c>
      <c r="F171" s="16" t="s">
        <v>5946</v>
      </c>
      <c r="G171" s="19">
        <v>45058</v>
      </c>
    </row>
    <row r="172" spans="1:7">
      <c r="A172" t="s">
        <v>6100</v>
      </c>
      <c r="B172" t="s">
        <v>3292</v>
      </c>
      <c r="C172" s="16" t="s">
        <v>1330</v>
      </c>
      <c r="D172" t="s">
        <v>2209</v>
      </c>
      <c r="E172" s="14" t="s">
        <v>39</v>
      </c>
      <c r="F172" s="16" t="s">
        <v>5922</v>
      </c>
      <c r="G172" s="19">
        <v>45417</v>
      </c>
    </row>
    <row r="173" spans="1:7">
      <c r="A173" t="s">
        <v>6101</v>
      </c>
      <c r="B173" t="s">
        <v>3869</v>
      </c>
      <c r="C173" s="16" t="s">
        <v>695</v>
      </c>
      <c r="D173" t="s">
        <v>2259</v>
      </c>
      <c r="E173" s="14">
        <v>3</v>
      </c>
      <c r="F173" s="16" t="s">
        <v>5917</v>
      </c>
      <c r="G173" s="19">
        <v>45167</v>
      </c>
    </row>
    <row r="174" spans="1:7">
      <c r="A174" t="s">
        <v>6102</v>
      </c>
      <c r="B174" t="s">
        <v>3399</v>
      </c>
      <c r="C174" s="16" t="s">
        <v>1476</v>
      </c>
      <c r="D174" t="s">
        <v>2259</v>
      </c>
      <c r="E174" s="14">
        <v>4</v>
      </c>
      <c r="F174" s="16" t="s">
        <v>5979</v>
      </c>
      <c r="G174" s="19">
        <v>45299</v>
      </c>
    </row>
    <row r="175" spans="1:7">
      <c r="A175" t="s">
        <v>6103</v>
      </c>
      <c r="B175" t="s">
        <v>5187</v>
      </c>
      <c r="C175" s="16" t="s">
        <v>795</v>
      </c>
      <c r="D175" t="s">
        <v>2231</v>
      </c>
      <c r="E175" s="14">
        <v>2</v>
      </c>
      <c r="F175" s="16" t="s">
        <v>5917</v>
      </c>
      <c r="G175" s="19">
        <v>45310</v>
      </c>
    </row>
    <row r="176" spans="1:7">
      <c r="A176" t="s">
        <v>6104</v>
      </c>
      <c r="B176" t="s">
        <v>4345</v>
      </c>
      <c r="C176" s="16" t="s">
        <v>758</v>
      </c>
      <c r="D176" t="s">
        <v>2241</v>
      </c>
      <c r="E176" s="14">
        <v>1</v>
      </c>
      <c r="F176" s="16" t="s">
        <v>5928</v>
      </c>
      <c r="G176" s="19">
        <v>45967</v>
      </c>
    </row>
    <row r="177" spans="1:7">
      <c r="A177" t="s">
        <v>6105</v>
      </c>
      <c r="B177" t="s">
        <v>3054</v>
      </c>
      <c r="C177" s="16" t="s">
        <v>299</v>
      </c>
      <c r="D177" t="s">
        <v>2205</v>
      </c>
      <c r="E177" s="14">
        <v>2</v>
      </c>
      <c r="F177" s="16" t="s">
        <v>5928</v>
      </c>
      <c r="G177" s="19">
        <v>45579</v>
      </c>
    </row>
    <row r="178" spans="1:7">
      <c r="A178" t="s">
        <v>6106</v>
      </c>
      <c r="B178" t="s">
        <v>4642</v>
      </c>
      <c r="C178" s="16" t="s">
        <v>1544</v>
      </c>
      <c r="D178" t="s">
        <v>2267</v>
      </c>
      <c r="E178" s="14">
        <v>1</v>
      </c>
      <c r="F178" s="16" t="s">
        <v>5922</v>
      </c>
      <c r="G178" s="19">
        <v>46052</v>
      </c>
    </row>
    <row r="179" spans="1:7">
      <c r="A179" t="s">
        <v>6107</v>
      </c>
      <c r="B179" t="s">
        <v>2855</v>
      </c>
      <c r="C179" s="16" t="s">
        <v>2108</v>
      </c>
      <c r="D179" t="s">
        <v>2253</v>
      </c>
      <c r="E179" s="14">
        <v>2</v>
      </c>
      <c r="F179" s="16" t="s">
        <v>5961</v>
      </c>
      <c r="G179" s="19">
        <v>45055</v>
      </c>
    </row>
    <row r="180" spans="1:7">
      <c r="A180" t="s">
        <v>6108</v>
      </c>
      <c r="B180" t="s">
        <v>4781</v>
      </c>
      <c r="C180" s="16" t="s">
        <v>1126</v>
      </c>
      <c r="D180" t="s">
        <v>2261</v>
      </c>
      <c r="E180" s="14">
        <v>4</v>
      </c>
      <c r="F180" s="16" t="s">
        <v>5926</v>
      </c>
      <c r="G180" s="19">
        <v>45367</v>
      </c>
    </row>
    <row r="181" spans="1:7">
      <c r="A181" t="s">
        <v>6109</v>
      </c>
      <c r="B181" t="s">
        <v>4478</v>
      </c>
      <c r="C181" s="16" t="s">
        <v>729</v>
      </c>
      <c r="D181" t="s">
        <v>2205</v>
      </c>
      <c r="E181" s="14" t="s">
        <v>39</v>
      </c>
      <c r="F181" s="16" t="s">
        <v>5931</v>
      </c>
      <c r="G181" s="19">
        <v>45677</v>
      </c>
    </row>
    <row r="182" spans="1:7">
      <c r="A182" t="s">
        <v>6110</v>
      </c>
      <c r="B182" t="s">
        <v>2431</v>
      </c>
      <c r="C182" s="16" t="s">
        <v>376</v>
      </c>
      <c r="D182" t="s">
        <v>2241</v>
      </c>
      <c r="E182" s="14">
        <v>4</v>
      </c>
      <c r="F182" s="16" t="s">
        <v>5924</v>
      </c>
      <c r="G182" s="19">
        <v>45708</v>
      </c>
    </row>
    <row r="183" spans="1:7">
      <c r="A183" t="s">
        <v>6111</v>
      </c>
      <c r="B183" t="s">
        <v>5480</v>
      </c>
      <c r="C183" s="16" t="s">
        <v>1773</v>
      </c>
      <c r="D183" t="s">
        <v>2205</v>
      </c>
      <c r="E183" s="14" t="s">
        <v>39</v>
      </c>
      <c r="F183" s="16" t="s">
        <v>5926</v>
      </c>
      <c r="G183" s="19">
        <v>45255</v>
      </c>
    </row>
    <row r="184" spans="1:7">
      <c r="A184" t="s">
        <v>6112</v>
      </c>
      <c r="B184" t="s">
        <v>4007</v>
      </c>
      <c r="C184" s="16" t="s">
        <v>1165</v>
      </c>
      <c r="D184" t="s">
        <v>2253</v>
      </c>
      <c r="E184" s="14">
        <v>2</v>
      </c>
      <c r="F184" s="16" t="s">
        <v>23</v>
      </c>
      <c r="G184" s="19">
        <v>46154</v>
      </c>
    </row>
    <row r="185" spans="1:7">
      <c r="A185" t="s">
        <v>6113</v>
      </c>
      <c r="B185" t="s">
        <v>5561</v>
      </c>
      <c r="C185" s="16" t="s">
        <v>1083</v>
      </c>
      <c r="D185" t="s">
        <v>2251</v>
      </c>
      <c r="E185" s="14">
        <v>5</v>
      </c>
      <c r="F185" s="16" t="s">
        <v>5917</v>
      </c>
      <c r="G185" s="19">
        <v>45160</v>
      </c>
    </row>
    <row r="186" spans="1:7">
      <c r="A186" t="s">
        <v>6114</v>
      </c>
      <c r="B186" t="s">
        <v>2422</v>
      </c>
      <c r="C186" s="16" t="s">
        <v>2042</v>
      </c>
      <c r="D186" t="s">
        <v>2273</v>
      </c>
      <c r="E186" s="14" t="s">
        <v>39</v>
      </c>
      <c r="F186" s="16" t="s">
        <v>5940</v>
      </c>
      <c r="G186" s="19">
        <v>45848</v>
      </c>
    </row>
    <row r="187" spans="1:7">
      <c r="A187" t="s">
        <v>6115</v>
      </c>
      <c r="B187" t="s">
        <v>3751</v>
      </c>
      <c r="C187" s="16" t="s">
        <v>626</v>
      </c>
      <c r="D187" t="s">
        <v>2213</v>
      </c>
      <c r="E187" s="14">
        <v>5</v>
      </c>
      <c r="F187" s="16" t="s">
        <v>5922</v>
      </c>
      <c r="G187" s="19">
        <v>45547</v>
      </c>
    </row>
    <row r="188" spans="1:7">
      <c r="A188" t="s">
        <v>6116</v>
      </c>
      <c r="B188" t="s">
        <v>4040</v>
      </c>
      <c r="C188" s="16" t="s">
        <v>1306</v>
      </c>
      <c r="D188" t="s">
        <v>2205</v>
      </c>
      <c r="E188" s="14" t="s">
        <v>39</v>
      </c>
      <c r="F188" s="16" t="s">
        <v>5926</v>
      </c>
      <c r="G188" s="19">
        <v>45683</v>
      </c>
    </row>
    <row r="189" spans="1:7">
      <c r="A189" t="s">
        <v>6117</v>
      </c>
      <c r="B189" t="s">
        <v>5210</v>
      </c>
      <c r="C189" s="16" t="s">
        <v>1173</v>
      </c>
      <c r="D189" t="s">
        <v>2202</v>
      </c>
      <c r="E189" s="14">
        <v>2</v>
      </c>
      <c r="F189" s="16" t="s">
        <v>5979</v>
      </c>
      <c r="G189" s="19">
        <v>45775</v>
      </c>
    </row>
    <row r="190" spans="1:7">
      <c r="A190" t="s">
        <v>6118</v>
      </c>
      <c r="B190" t="s">
        <v>3292</v>
      </c>
      <c r="C190" s="16" t="s">
        <v>1330</v>
      </c>
      <c r="D190" t="s">
        <v>2209</v>
      </c>
      <c r="E190" s="14">
        <v>5</v>
      </c>
      <c r="F190" s="16" t="s">
        <v>5940</v>
      </c>
      <c r="G190" s="19">
        <v>45284</v>
      </c>
    </row>
    <row r="191" spans="1:7">
      <c r="A191" t="s">
        <v>6119</v>
      </c>
      <c r="B191" t="s">
        <v>5147</v>
      </c>
      <c r="C191" s="16" t="s">
        <v>1245</v>
      </c>
      <c r="D191" t="s">
        <v>2251</v>
      </c>
      <c r="E191" s="14">
        <v>1</v>
      </c>
      <c r="F191" s="16" t="s">
        <v>5922</v>
      </c>
      <c r="G191" s="19">
        <v>46238</v>
      </c>
    </row>
    <row r="192" spans="1:7">
      <c r="A192" t="s">
        <v>6120</v>
      </c>
      <c r="B192" t="s">
        <v>5536</v>
      </c>
      <c r="C192" s="16" t="s">
        <v>360</v>
      </c>
      <c r="D192" t="s">
        <v>2202</v>
      </c>
      <c r="E192" s="14" t="s">
        <v>39</v>
      </c>
      <c r="F192" s="16" t="s">
        <v>5946</v>
      </c>
      <c r="G192" s="19">
        <v>45503</v>
      </c>
    </row>
    <row r="193" spans="1:7">
      <c r="A193" t="s">
        <v>6121</v>
      </c>
      <c r="B193" t="s">
        <v>5610</v>
      </c>
      <c r="C193" s="16" t="s">
        <v>1898</v>
      </c>
      <c r="D193" t="s">
        <v>2264</v>
      </c>
      <c r="E193" s="14">
        <v>3</v>
      </c>
      <c r="F193" s="16" t="s">
        <v>5946</v>
      </c>
      <c r="G193" s="19">
        <v>45255</v>
      </c>
    </row>
    <row r="194" spans="1:7">
      <c r="A194" t="s">
        <v>6122</v>
      </c>
      <c r="B194" t="s">
        <v>5816</v>
      </c>
      <c r="C194" s="16" t="s">
        <v>1650</v>
      </c>
      <c r="D194" t="s">
        <v>2216</v>
      </c>
      <c r="E194" s="14">
        <v>5</v>
      </c>
      <c r="F194" s="16" t="s">
        <v>5973</v>
      </c>
      <c r="G194" s="19">
        <v>45270</v>
      </c>
    </row>
    <row r="195" spans="1:7">
      <c r="A195" t="s">
        <v>6123</v>
      </c>
      <c r="B195" t="s">
        <v>3745</v>
      </c>
      <c r="C195" s="16" t="s">
        <v>1274</v>
      </c>
      <c r="D195" t="s">
        <v>2269</v>
      </c>
      <c r="E195" s="14">
        <v>4</v>
      </c>
      <c r="F195" s="16" t="s">
        <v>5933</v>
      </c>
      <c r="G195" s="19">
        <v>45354</v>
      </c>
    </row>
    <row r="196" spans="1:7">
      <c r="A196" t="s">
        <v>6124</v>
      </c>
      <c r="B196" t="s">
        <v>5828</v>
      </c>
      <c r="C196" s="16" t="s">
        <v>491</v>
      </c>
      <c r="D196" t="s">
        <v>2251</v>
      </c>
      <c r="E196" s="14">
        <v>4</v>
      </c>
      <c r="F196" s="16" t="s">
        <v>5961</v>
      </c>
      <c r="G196" s="19">
        <v>45604</v>
      </c>
    </row>
    <row r="197" spans="1:7">
      <c r="A197" t="s">
        <v>6125</v>
      </c>
      <c r="B197" t="s">
        <v>5685</v>
      </c>
      <c r="C197" s="16" t="s">
        <v>1717</v>
      </c>
      <c r="D197" t="s">
        <v>2216</v>
      </c>
      <c r="E197" s="14" t="s">
        <v>39</v>
      </c>
      <c r="F197" s="16" t="s">
        <v>5940</v>
      </c>
      <c r="G197" s="19">
        <v>45714</v>
      </c>
    </row>
    <row r="198" spans="1:7">
      <c r="A198" t="s">
        <v>6126</v>
      </c>
      <c r="B198" t="s">
        <v>4551</v>
      </c>
      <c r="C198" s="16" t="s">
        <v>748</v>
      </c>
      <c r="D198" t="s">
        <v>2193</v>
      </c>
      <c r="E198" s="14">
        <v>4</v>
      </c>
      <c r="F198" s="16" t="s">
        <v>5926</v>
      </c>
      <c r="G198" s="19">
        <v>45989</v>
      </c>
    </row>
    <row r="199" spans="1:7">
      <c r="A199" t="s">
        <v>6127</v>
      </c>
      <c r="B199" t="s">
        <v>5904</v>
      </c>
      <c r="C199" s="16" t="s">
        <v>203</v>
      </c>
      <c r="D199" t="s">
        <v>2271</v>
      </c>
      <c r="E199" s="14">
        <v>3</v>
      </c>
      <c r="F199" s="16" t="s">
        <v>5979</v>
      </c>
      <c r="G199" s="19">
        <v>45940</v>
      </c>
    </row>
    <row r="200" spans="1:7">
      <c r="A200" t="s">
        <v>6128</v>
      </c>
      <c r="B200" t="s">
        <v>5793</v>
      </c>
      <c r="C200" s="16" t="s">
        <v>1945</v>
      </c>
      <c r="D200" t="s">
        <v>2269</v>
      </c>
      <c r="E200" s="14">
        <v>3</v>
      </c>
      <c r="F200" s="16" t="s">
        <v>5940</v>
      </c>
      <c r="G200" s="19">
        <v>45229</v>
      </c>
    </row>
    <row r="201" spans="1:7">
      <c r="A201" t="s">
        <v>6129</v>
      </c>
      <c r="B201" t="s">
        <v>5898</v>
      </c>
      <c r="C201" s="16" t="s">
        <v>2139</v>
      </c>
      <c r="D201" t="s">
        <v>2259</v>
      </c>
      <c r="E201" s="14">
        <v>4</v>
      </c>
      <c r="F201" s="16" t="s">
        <v>5917</v>
      </c>
      <c r="G201" s="19">
        <v>45344</v>
      </c>
    </row>
    <row r="202" spans="1:7">
      <c r="A202" t="s">
        <v>6130</v>
      </c>
      <c r="B202" t="s">
        <v>5770</v>
      </c>
      <c r="C202" s="16" t="s">
        <v>597</v>
      </c>
      <c r="D202" t="s">
        <v>2237</v>
      </c>
      <c r="E202" s="14">
        <v>2</v>
      </c>
      <c r="F202" s="16" t="s">
        <v>5917</v>
      </c>
      <c r="G202" s="19">
        <v>45786</v>
      </c>
    </row>
    <row r="203" spans="1:7">
      <c r="A203" t="s">
        <v>6131</v>
      </c>
      <c r="B203" t="s">
        <v>5421</v>
      </c>
      <c r="C203" s="16" t="s">
        <v>1759</v>
      </c>
      <c r="D203" t="s">
        <v>2231</v>
      </c>
      <c r="E203" s="14">
        <v>1</v>
      </c>
      <c r="F203" s="16" t="s">
        <v>23</v>
      </c>
      <c r="G203" s="19">
        <v>45715</v>
      </c>
    </row>
    <row r="204" spans="1:7">
      <c r="A204" t="s">
        <v>6132</v>
      </c>
      <c r="B204" t="s">
        <v>2640</v>
      </c>
      <c r="C204" s="16" t="s">
        <v>1524</v>
      </c>
      <c r="D204" t="s">
        <v>2193</v>
      </c>
      <c r="E204" s="14">
        <v>3</v>
      </c>
      <c r="F204" s="16" t="s">
        <v>5933</v>
      </c>
      <c r="G204" s="19">
        <v>45208</v>
      </c>
    </row>
    <row r="205" spans="1:7">
      <c r="A205" t="s">
        <v>6133</v>
      </c>
      <c r="B205" t="s">
        <v>3947</v>
      </c>
      <c r="C205" s="16" t="s">
        <v>896</v>
      </c>
      <c r="D205" t="s">
        <v>2205</v>
      </c>
      <c r="E205" s="14">
        <v>3</v>
      </c>
      <c r="F205" s="16" t="s">
        <v>5928</v>
      </c>
      <c r="G205" s="19">
        <v>45809</v>
      </c>
    </row>
    <row r="206" spans="1:7">
      <c r="A206" t="s">
        <v>6134</v>
      </c>
      <c r="B206" t="s">
        <v>2894</v>
      </c>
      <c r="C206" s="16" t="s">
        <v>2087</v>
      </c>
      <c r="D206" t="s">
        <v>2187</v>
      </c>
      <c r="E206" s="14">
        <v>5</v>
      </c>
      <c r="F206" s="16" t="s">
        <v>5924</v>
      </c>
      <c r="G206" s="19">
        <v>46096</v>
      </c>
    </row>
    <row r="207" spans="1:7">
      <c r="A207" t="s">
        <v>6135</v>
      </c>
      <c r="B207" t="s">
        <v>2880</v>
      </c>
      <c r="C207" s="16" t="s">
        <v>857</v>
      </c>
      <c r="D207" t="s">
        <v>2247</v>
      </c>
      <c r="E207" s="14">
        <v>4</v>
      </c>
      <c r="F207" s="16" t="s">
        <v>5920</v>
      </c>
      <c r="G207" s="19">
        <v>46125</v>
      </c>
    </row>
    <row r="208" spans="1:7">
      <c r="A208" t="s">
        <v>6136</v>
      </c>
      <c r="B208" t="s">
        <v>2352</v>
      </c>
      <c r="C208" s="16" t="s">
        <v>233</v>
      </c>
      <c r="D208" t="s">
        <v>2233</v>
      </c>
      <c r="E208" s="14" t="s">
        <v>39</v>
      </c>
      <c r="F208" s="16" t="s">
        <v>5961</v>
      </c>
      <c r="G208" s="19">
        <v>45804</v>
      </c>
    </row>
    <row r="209" spans="1:7">
      <c r="A209" t="s">
        <v>6137</v>
      </c>
      <c r="B209" t="s">
        <v>3474</v>
      </c>
      <c r="C209" s="16" t="s">
        <v>90</v>
      </c>
      <c r="D209" t="s">
        <v>2228</v>
      </c>
      <c r="E209" s="14">
        <v>1</v>
      </c>
      <c r="F209" s="16" t="s">
        <v>5961</v>
      </c>
      <c r="G209" s="19">
        <v>45407</v>
      </c>
    </row>
    <row r="210" spans="1:7">
      <c r="A210" t="s">
        <v>6138</v>
      </c>
      <c r="B210" t="s">
        <v>4313</v>
      </c>
      <c r="C210" s="16" t="s">
        <v>803</v>
      </c>
      <c r="D210" t="s">
        <v>2271</v>
      </c>
      <c r="E210" s="14">
        <v>2</v>
      </c>
      <c r="F210" s="16" t="s">
        <v>5931</v>
      </c>
      <c r="G210" s="19">
        <v>45773</v>
      </c>
    </row>
    <row r="211" spans="1:7">
      <c r="A211" t="s">
        <v>6139</v>
      </c>
      <c r="B211" t="s">
        <v>5517</v>
      </c>
      <c r="C211" s="16" t="s">
        <v>167</v>
      </c>
      <c r="D211" t="s">
        <v>2241</v>
      </c>
      <c r="E211" s="14">
        <v>1</v>
      </c>
      <c r="F211" s="16" t="s">
        <v>5973</v>
      </c>
      <c r="G211" s="19">
        <v>45590</v>
      </c>
    </row>
    <row r="212" spans="1:7">
      <c r="A212" t="s">
        <v>6140</v>
      </c>
      <c r="B212" t="s">
        <v>2340</v>
      </c>
      <c r="C212" s="16" t="s">
        <v>502</v>
      </c>
      <c r="D212" t="s">
        <v>2205</v>
      </c>
      <c r="E212" s="14">
        <v>5</v>
      </c>
      <c r="F212" s="16" t="s">
        <v>5940</v>
      </c>
      <c r="G212" s="19">
        <v>45917</v>
      </c>
    </row>
    <row r="213" spans="1:7">
      <c r="A213" t="s">
        <v>6141</v>
      </c>
      <c r="B213" t="s">
        <v>4578</v>
      </c>
      <c r="C213" s="16" t="s">
        <v>246</v>
      </c>
      <c r="D213" t="s">
        <v>2253</v>
      </c>
      <c r="E213" s="14" t="s">
        <v>39</v>
      </c>
      <c r="F213" s="16" t="s">
        <v>23</v>
      </c>
      <c r="G213" s="19">
        <v>45876</v>
      </c>
    </row>
    <row r="214" spans="1:7">
      <c r="A214" t="s">
        <v>6142</v>
      </c>
      <c r="B214" t="s">
        <v>2764</v>
      </c>
      <c r="C214" s="16" t="s">
        <v>1654</v>
      </c>
      <c r="D214" t="s">
        <v>2257</v>
      </c>
      <c r="E214" s="14">
        <v>1</v>
      </c>
      <c r="F214" s="16" t="s">
        <v>5933</v>
      </c>
      <c r="G214" s="19">
        <v>45769</v>
      </c>
    </row>
    <row r="215" spans="1:7">
      <c r="A215" t="s">
        <v>6143</v>
      </c>
      <c r="B215" t="s">
        <v>5195</v>
      </c>
      <c r="C215" s="16" t="s">
        <v>2080</v>
      </c>
      <c r="D215" t="s">
        <v>2257</v>
      </c>
      <c r="E215" s="14">
        <v>3</v>
      </c>
      <c r="F215" s="16" t="s">
        <v>5973</v>
      </c>
      <c r="G215" s="19">
        <v>45358</v>
      </c>
    </row>
    <row r="216" spans="1:7">
      <c r="A216" t="s">
        <v>6144</v>
      </c>
      <c r="B216" t="s">
        <v>3288</v>
      </c>
      <c r="C216" s="16" t="s">
        <v>1552</v>
      </c>
      <c r="D216" t="s">
        <v>2209</v>
      </c>
      <c r="E216" s="14">
        <v>3</v>
      </c>
      <c r="F216" s="16" t="s">
        <v>5922</v>
      </c>
      <c r="G216" s="19">
        <v>46180</v>
      </c>
    </row>
    <row r="217" spans="1:7">
      <c r="A217" t="s">
        <v>6145</v>
      </c>
      <c r="B217" t="s">
        <v>5446</v>
      </c>
      <c r="C217" s="16" t="s">
        <v>649</v>
      </c>
      <c r="D217" t="s">
        <v>2225</v>
      </c>
      <c r="E217" s="14">
        <v>4</v>
      </c>
      <c r="F217" s="16" t="s">
        <v>5926</v>
      </c>
      <c r="G217" s="19">
        <v>45596</v>
      </c>
    </row>
    <row r="218" spans="1:7">
      <c r="A218" t="s">
        <v>6146</v>
      </c>
      <c r="B218" t="s">
        <v>3874</v>
      </c>
      <c r="C218" s="16" t="s">
        <v>846</v>
      </c>
      <c r="D218" t="s">
        <v>2261</v>
      </c>
      <c r="E218" s="14">
        <v>1</v>
      </c>
      <c r="F218" s="16" t="s">
        <v>5938</v>
      </c>
      <c r="G218" s="19">
        <v>46105</v>
      </c>
    </row>
    <row r="219" spans="1:7">
      <c r="A219" t="s">
        <v>6147</v>
      </c>
      <c r="B219" t="s">
        <v>5819</v>
      </c>
      <c r="C219" s="16" t="s">
        <v>1380</v>
      </c>
      <c r="D219" t="s">
        <v>2202</v>
      </c>
      <c r="E219" s="14">
        <v>1</v>
      </c>
      <c r="F219" s="16" t="s">
        <v>5931</v>
      </c>
      <c r="G219" s="19">
        <v>45058</v>
      </c>
    </row>
    <row r="220" spans="1:7">
      <c r="A220" t="s">
        <v>6148</v>
      </c>
      <c r="B220" t="s">
        <v>5465</v>
      </c>
      <c r="C220" s="16" t="s">
        <v>1786</v>
      </c>
      <c r="D220" t="s">
        <v>2273</v>
      </c>
      <c r="E220" s="14" t="s">
        <v>39</v>
      </c>
      <c r="F220" s="16" t="s">
        <v>5938</v>
      </c>
      <c r="G220" s="19">
        <v>45685</v>
      </c>
    </row>
    <row r="221" spans="1:7">
      <c r="A221" t="s">
        <v>6149</v>
      </c>
      <c r="B221" t="s">
        <v>5508</v>
      </c>
      <c r="C221" s="16" t="s">
        <v>2014</v>
      </c>
      <c r="D221" t="s">
        <v>2193</v>
      </c>
      <c r="E221" s="14">
        <v>1</v>
      </c>
      <c r="F221" s="16" t="s">
        <v>5940</v>
      </c>
      <c r="G221" s="19">
        <v>45492</v>
      </c>
    </row>
    <row r="222" spans="1:7">
      <c r="A222" t="s">
        <v>6150</v>
      </c>
      <c r="B222" t="s">
        <v>4791</v>
      </c>
      <c r="C222" s="16" t="s">
        <v>1689</v>
      </c>
      <c r="D222" t="s">
        <v>2267</v>
      </c>
      <c r="E222" s="14">
        <v>4</v>
      </c>
      <c r="F222" s="16" t="s">
        <v>5938</v>
      </c>
      <c r="G222" s="19">
        <v>45256</v>
      </c>
    </row>
    <row r="223" spans="1:7">
      <c r="A223" t="s">
        <v>6151</v>
      </c>
      <c r="B223" t="s">
        <v>4446</v>
      </c>
      <c r="C223" s="16" t="s">
        <v>1373</v>
      </c>
      <c r="D223" t="s">
        <v>2216</v>
      </c>
      <c r="E223" s="14">
        <v>3</v>
      </c>
      <c r="F223" s="16" t="s">
        <v>5979</v>
      </c>
      <c r="G223" s="19">
        <v>45796</v>
      </c>
    </row>
    <row r="224" spans="1:7">
      <c r="A224" t="s">
        <v>6152</v>
      </c>
      <c r="B224" t="s">
        <v>5662</v>
      </c>
      <c r="C224" s="16" t="s">
        <v>523</v>
      </c>
      <c r="D224" t="s">
        <v>2257</v>
      </c>
      <c r="E224" s="14">
        <v>4</v>
      </c>
      <c r="F224" s="16" t="s">
        <v>5979</v>
      </c>
      <c r="G224" s="19">
        <v>45289</v>
      </c>
    </row>
    <row r="225" spans="1:7">
      <c r="A225" t="s">
        <v>6153</v>
      </c>
      <c r="B225" t="s">
        <v>4826</v>
      </c>
      <c r="C225" s="16" t="s">
        <v>1941</v>
      </c>
      <c r="D225" t="s">
        <v>2259</v>
      </c>
      <c r="E225" s="14" t="s">
        <v>39</v>
      </c>
      <c r="F225" s="16" t="s">
        <v>5922</v>
      </c>
      <c r="G225" s="19">
        <v>46158</v>
      </c>
    </row>
    <row r="226" spans="1:7">
      <c r="A226" t="s">
        <v>6154</v>
      </c>
      <c r="B226" t="s">
        <v>5861</v>
      </c>
      <c r="C226" s="16" t="s">
        <v>976</v>
      </c>
      <c r="D226" t="s">
        <v>2273</v>
      </c>
      <c r="E226" s="14">
        <v>5</v>
      </c>
      <c r="F226" s="16" t="s">
        <v>5961</v>
      </c>
      <c r="G226" s="19">
        <v>46193</v>
      </c>
    </row>
    <row r="227" spans="1:7">
      <c r="A227" t="s">
        <v>6155</v>
      </c>
      <c r="B227" t="s">
        <v>3069</v>
      </c>
      <c r="C227" s="16" t="s">
        <v>1719</v>
      </c>
      <c r="D227" t="s">
        <v>2269</v>
      </c>
      <c r="E227" s="14">
        <v>5</v>
      </c>
      <c r="F227" s="16" t="s">
        <v>5961</v>
      </c>
      <c r="G227" s="19">
        <v>46064</v>
      </c>
    </row>
    <row r="228" spans="1:7">
      <c r="A228" t="s">
        <v>6156</v>
      </c>
      <c r="B228" t="s">
        <v>5522</v>
      </c>
      <c r="C228" s="16" t="s">
        <v>762</v>
      </c>
      <c r="D228" t="s">
        <v>2235</v>
      </c>
      <c r="E228" s="14">
        <v>2</v>
      </c>
      <c r="F228" s="16" t="s">
        <v>5973</v>
      </c>
      <c r="G228" s="19">
        <v>45501</v>
      </c>
    </row>
    <row r="229" spans="1:7">
      <c r="A229" t="s">
        <v>6157</v>
      </c>
      <c r="B229" t="s">
        <v>5524</v>
      </c>
      <c r="C229" s="16" t="s">
        <v>1480</v>
      </c>
      <c r="D229" t="s">
        <v>2216</v>
      </c>
      <c r="E229" s="14">
        <v>4</v>
      </c>
      <c r="F229" s="16" t="s">
        <v>5928</v>
      </c>
      <c r="G229" s="19">
        <v>45120</v>
      </c>
    </row>
    <row r="230" spans="1:7">
      <c r="A230" t="s">
        <v>6158</v>
      </c>
      <c r="B230" t="s">
        <v>4543</v>
      </c>
      <c r="C230" s="16" t="s">
        <v>1831</v>
      </c>
      <c r="D230" t="s">
        <v>2228</v>
      </c>
      <c r="E230" s="14">
        <v>2</v>
      </c>
      <c r="F230" s="16" t="s">
        <v>5926</v>
      </c>
      <c r="G230" s="19">
        <v>45980</v>
      </c>
    </row>
    <row r="231" spans="1:7">
      <c r="A231" t="s">
        <v>6159</v>
      </c>
      <c r="B231" t="s">
        <v>4625</v>
      </c>
      <c r="C231" s="16" t="s">
        <v>527</v>
      </c>
      <c r="D231" t="s">
        <v>2253</v>
      </c>
      <c r="E231" s="14">
        <v>4</v>
      </c>
      <c r="F231" s="16" t="s">
        <v>5931</v>
      </c>
      <c r="G231" s="19">
        <v>45255</v>
      </c>
    </row>
    <row r="232" spans="1:7">
      <c r="A232" t="s">
        <v>6160</v>
      </c>
      <c r="B232" t="s">
        <v>5553</v>
      </c>
      <c r="C232" s="16" t="s">
        <v>1472</v>
      </c>
      <c r="D232" t="s">
        <v>2273</v>
      </c>
      <c r="E232" s="14">
        <v>4</v>
      </c>
      <c r="F232" s="16" t="s">
        <v>5961</v>
      </c>
      <c r="G232" s="19">
        <v>45454</v>
      </c>
    </row>
    <row r="233" spans="1:7">
      <c r="A233" t="s">
        <v>6161</v>
      </c>
      <c r="B233" t="s">
        <v>3250</v>
      </c>
      <c r="C233" s="16" t="s">
        <v>281</v>
      </c>
      <c r="D233" t="s">
        <v>2261</v>
      </c>
      <c r="E233" s="14">
        <v>4</v>
      </c>
      <c r="F233" s="16" t="s">
        <v>5961</v>
      </c>
      <c r="G233" s="19">
        <v>45876</v>
      </c>
    </row>
    <row r="234" spans="1:7">
      <c r="A234" t="s">
        <v>6162</v>
      </c>
      <c r="B234" t="s">
        <v>5758</v>
      </c>
      <c r="C234" s="16" t="s">
        <v>1820</v>
      </c>
      <c r="D234" t="s">
        <v>2261</v>
      </c>
      <c r="E234" s="14">
        <v>4</v>
      </c>
      <c r="F234" s="16" t="s">
        <v>5926</v>
      </c>
      <c r="G234" s="19">
        <v>45691</v>
      </c>
    </row>
    <row r="235" spans="1:7">
      <c r="A235" t="s">
        <v>6163</v>
      </c>
      <c r="B235" t="s">
        <v>2602</v>
      </c>
      <c r="C235" s="16" t="s">
        <v>735</v>
      </c>
      <c r="D235" t="s">
        <v>2267</v>
      </c>
      <c r="E235" s="14">
        <v>3</v>
      </c>
      <c r="F235" s="16" t="s">
        <v>5940</v>
      </c>
      <c r="G235" s="19">
        <v>45346</v>
      </c>
    </row>
    <row r="236" spans="1:7">
      <c r="A236" t="s">
        <v>6164</v>
      </c>
      <c r="B236" t="s">
        <v>5608</v>
      </c>
      <c r="C236" s="16" t="s">
        <v>1705</v>
      </c>
      <c r="D236" t="s">
        <v>2261</v>
      </c>
      <c r="E236" s="14">
        <v>4</v>
      </c>
      <c r="F236" s="16" t="s">
        <v>5938</v>
      </c>
      <c r="G236" s="19">
        <v>45360</v>
      </c>
    </row>
    <row r="237" spans="1:7">
      <c r="A237" t="s">
        <v>6165</v>
      </c>
      <c r="B237" t="s">
        <v>3073</v>
      </c>
      <c r="C237" s="16" t="s">
        <v>121</v>
      </c>
      <c r="D237" t="s">
        <v>2237</v>
      </c>
      <c r="E237" s="14" t="s">
        <v>39</v>
      </c>
      <c r="F237" s="16" t="s">
        <v>5920</v>
      </c>
      <c r="G237" s="19">
        <v>46018</v>
      </c>
    </row>
    <row r="238" spans="1:7">
      <c r="A238" t="s">
        <v>6166</v>
      </c>
      <c r="B238" t="s">
        <v>4790</v>
      </c>
      <c r="C238" s="16" t="s">
        <v>597</v>
      </c>
      <c r="D238" t="s">
        <v>2249</v>
      </c>
      <c r="E238" s="14">
        <v>1</v>
      </c>
      <c r="F238" s="16" t="s">
        <v>5924</v>
      </c>
      <c r="G238" s="19">
        <v>45484</v>
      </c>
    </row>
    <row r="239" spans="1:7">
      <c r="A239" t="s">
        <v>6167</v>
      </c>
      <c r="B239" t="s">
        <v>3733</v>
      </c>
      <c r="C239" s="16" t="s">
        <v>2077</v>
      </c>
      <c r="D239" t="s">
        <v>2251</v>
      </c>
      <c r="E239" s="14">
        <v>3</v>
      </c>
      <c r="F239" s="16" t="s">
        <v>5973</v>
      </c>
      <c r="G239" s="19">
        <v>46130</v>
      </c>
    </row>
    <row r="240" spans="1:7">
      <c r="A240" t="s">
        <v>6168</v>
      </c>
      <c r="B240" t="s">
        <v>4569</v>
      </c>
      <c r="C240" s="16" t="s">
        <v>1065</v>
      </c>
      <c r="D240" t="s">
        <v>2209</v>
      </c>
      <c r="E240" s="14">
        <v>5</v>
      </c>
      <c r="F240" s="16" t="s">
        <v>5922</v>
      </c>
      <c r="G240" s="19">
        <v>45559</v>
      </c>
    </row>
    <row r="241" spans="1:7">
      <c r="A241" t="s">
        <v>6169</v>
      </c>
      <c r="B241" t="s">
        <v>4651</v>
      </c>
      <c r="C241" s="16" t="s">
        <v>936</v>
      </c>
      <c r="D241" t="s">
        <v>2273</v>
      </c>
      <c r="E241" s="14">
        <v>1</v>
      </c>
      <c r="F241" s="16" t="s">
        <v>5926</v>
      </c>
      <c r="G241" s="19">
        <v>45555</v>
      </c>
    </row>
    <row r="242" spans="1:7">
      <c r="A242" t="s">
        <v>6170</v>
      </c>
      <c r="B242" t="s">
        <v>2734</v>
      </c>
      <c r="C242" s="16" t="s">
        <v>1306</v>
      </c>
      <c r="D242" t="s">
        <v>2259</v>
      </c>
      <c r="E242" s="14">
        <v>5</v>
      </c>
      <c r="F242" s="16" t="s">
        <v>5922</v>
      </c>
      <c r="G242" s="19">
        <v>45901</v>
      </c>
    </row>
    <row r="243" spans="1:7">
      <c r="A243" t="s">
        <v>6171</v>
      </c>
      <c r="B243" t="s">
        <v>4471</v>
      </c>
      <c r="C243" s="16" t="s">
        <v>1389</v>
      </c>
      <c r="D243" t="s">
        <v>2193</v>
      </c>
      <c r="E243" s="14" t="s">
        <v>39</v>
      </c>
      <c r="F243" s="16" t="s">
        <v>5946</v>
      </c>
      <c r="G243" s="19">
        <v>45584</v>
      </c>
    </row>
    <row r="244" spans="1:7">
      <c r="A244" t="s">
        <v>6172</v>
      </c>
      <c r="B244" t="s">
        <v>4953</v>
      </c>
      <c r="C244" s="16" t="s">
        <v>442</v>
      </c>
      <c r="D244" t="s">
        <v>2257</v>
      </c>
      <c r="E244" s="14">
        <v>4</v>
      </c>
      <c r="F244" s="16" t="s">
        <v>5938</v>
      </c>
      <c r="G244" s="19">
        <v>45523</v>
      </c>
    </row>
    <row r="245" spans="1:7">
      <c r="A245" t="s">
        <v>6173</v>
      </c>
      <c r="B245" t="s">
        <v>3264</v>
      </c>
      <c r="C245" s="16" t="s">
        <v>1236</v>
      </c>
      <c r="D245" t="s">
        <v>2213</v>
      </c>
      <c r="E245" s="14" t="s">
        <v>39</v>
      </c>
      <c r="F245" s="16" t="s">
        <v>5961</v>
      </c>
      <c r="G245" s="19">
        <v>45496</v>
      </c>
    </row>
    <row r="246" spans="1:7">
      <c r="A246" t="s">
        <v>6174</v>
      </c>
      <c r="B246" t="s">
        <v>3181</v>
      </c>
      <c r="C246" s="16" t="s">
        <v>2010</v>
      </c>
      <c r="D246" t="s">
        <v>2244</v>
      </c>
      <c r="E246" s="14">
        <v>4</v>
      </c>
      <c r="F246" s="16" t="s">
        <v>23</v>
      </c>
      <c r="G246" s="19">
        <v>45632</v>
      </c>
    </row>
    <row r="247" spans="1:7">
      <c r="A247" t="s">
        <v>6175</v>
      </c>
      <c r="B247" t="s">
        <v>2754</v>
      </c>
      <c r="C247" s="16" t="s">
        <v>1308</v>
      </c>
      <c r="D247" t="s">
        <v>2251</v>
      </c>
      <c r="E247" s="14">
        <v>2</v>
      </c>
      <c r="F247" s="16" t="s">
        <v>5940</v>
      </c>
      <c r="G247" s="19">
        <v>45535</v>
      </c>
    </row>
    <row r="248" spans="1:7">
      <c r="A248" t="s">
        <v>6176</v>
      </c>
      <c r="B248" t="s">
        <v>3723</v>
      </c>
      <c r="C248" s="16" t="s">
        <v>554</v>
      </c>
      <c r="D248" t="s">
        <v>2249</v>
      </c>
      <c r="E248" s="14">
        <v>1</v>
      </c>
      <c r="F248" s="16" t="s">
        <v>23</v>
      </c>
      <c r="G248" s="19">
        <v>45890</v>
      </c>
    </row>
    <row r="249" spans="1:7">
      <c r="A249" t="s">
        <v>6177</v>
      </c>
      <c r="B249" t="s">
        <v>5050</v>
      </c>
      <c r="C249" s="16" t="s">
        <v>1389</v>
      </c>
      <c r="D249" t="s">
        <v>2202</v>
      </c>
      <c r="E249" s="14">
        <v>4</v>
      </c>
      <c r="F249" s="16" t="s">
        <v>5926</v>
      </c>
      <c r="G249" s="19">
        <v>45293</v>
      </c>
    </row>
    <row r="250" spans="1:7">
      <c r="A250" t="s">
        <v>6178</v>
      </c>
      <c r="B250" t="s">
        <v>4582</v>
      </c>
      <c r="C250" s="16" t="s">
        <v>1214</v>
      </c>
      <c r="D250" t="s">
        <v>2237</v>
      </c>
      <c r="E250" s="14">
        <v>5</v>
      </c>
      <c r="F250" s="16" t="s">
        <v>5946</v>
      </c>
      <c r="G250" s="19">
        <v>45335</v>
      </c>
    </row>
    <row r="251" spans="1:7">
      <c r="A251" t="s">
        <v>6179</v>
      </c>
      <c r="B251" t="s">
        <v>3504</v>
      </c>
      <c r="C251" s="16" t="s">
        <v>357</v>
      </c>
      <c r="D251" t="s">
        <v>2267</v>
      </c>
      <c r="E251" s="14">
        <v>4</v>
      </c>
      <c r="F251" s="16" t="s">
        <v>5938</v>
      </c>
      <c r="G251" s="19">
        <v>45307</v>
      </c>
    </row>
    <row r="252" spans="1:7">
      <c r="A252" t="s">
        <v>6180</v>
      </c>
      <c r="B252" t="s">
        <v>4985</v>
      </c>
      <c r="C252" s="16" t="s">
        <v>328</v>
      </c>
      <c r="D252" t="s">
        <v>2216</v>
      </c>
      <c r="E252" s="14">
        <v>4</v>
      </c>
      <c r="F252" s="16" t="s">
        <v>5922</v>
      </c>
      <c r="G252" s="19">
        <v>45311</v>
      </c>
    </row>
    <row r="253" spans="1:7">
      <c r="A253" t="s">
        <v>6181</v>
      </c>
      <c r="B253" t="s">
        <v>4044</v>
      </c>
      <c r="C253" s="16" t="s">
        <v>824</v>
      </c>
      <c r="D253" t="s">
        <v>2228</v>
      </c>
      <c r="E253" s="14">
        <v>5</v>
      </c>
      <c r="F253" s="16" t="s">
        <v>5926</v>
      </c>
      <c r="G253" s="19">
        <v>46055</v>
      </c>
    </row>
    <row r="254" spans="1:7">
      <c r="A254" t="s">
        <v>6182</v>
      </c>
      <c r="B254" t="s">
        <v>3076</v>
      </c>
      <c r="C254" s="16" t="s">
        <v>1103</v>
      </c>
      <c r="D254" t="s">
        <v>2205</v>
      </c>
      <c r="E254" s="14">
        <v>4</v>
      </c>
      <c r="F254" s="16" t="s">
        <v>5979</v>
      </c>
      <c r="G254" s="19">
        <v>45997</v>
      </c>
    </row>
    <row r="255" spans="1:7">
      <c r="A255" t="s">
        <v>6183</v>
      </c>
      <c r="B255" t="s">
        <v>2615</v>
      </c>
      <c r="C255" s="16" t="s">
        <v>1414</v>
      </c>
      <c r="D255" t="s">
        <v>2257</v>
      </c>
      <c r="E255" s="14">
        <v>4</v>
      </c>
      <c r="F255" s="16" t="s">
        <v>5922</v>
      </c>
      <c r="G255" s="19">
        <v>45776</v>
      </c>
    </row>
    <row r="256" spans="1:7">
      <c r="A256" t="s">
        <v>6184</v>
      </c>
      <c r="B256" t="s">
        <v>4184</v>
      </c>
      <c r="C256" s="16" t="s">
        <v>1373</v>
      </c>
      <c r="D256" t="s">
        <v>2237</v>
      </c>
      <c r="E256" s="14" t="s">
        <v>39</v>
      </c>
      <c r="F256" s="16" t="s">
        <v>5961</v>
      </c>
      <c r="G256" s="19">
        <v>46084</v>
      </c>
    </row>
    <row r="257" spans="1:7">
      <c r="A257" t="s">
        <v>6185</v>
      </c>
      <c r="B257" t="s">
        <v>5042</v>
      </c>
      <c r="C257" s="16" t="s">
        <v>1442</v>
      </c>
      <c r="D257" t="s">
        <v>2269</v>
      </c>
      <c r="E257" s="14">
        <v>4</v>
      </c>
      <c r="F257" s="16" t="s">
        <v>5917</v>
      </c>
      <c r="G257" s="19">
        <v>45698</v>
      </c>
    </row>
    <row r="258" spans="1:7">
      <c r="A258" t="s">
        <v>6186</v>
      </c>
      <c r="B258" t="s">
        <v>5750</v>
      </c>
      <c r="C258" s="16" t="s">
        <v>932</v>
      </c>
      <c r="D258" t="s">
        <v>2235</v>
      </c>
      <c r="E258" s="14">
        <v>4</v>
      </c>
      <c r="F258" s="16" t="s">
        <v>5928</v>
      </c>
      <c r="G258" s="19">
        <v>45787</v>
      </c>
    </row>
    <row r="259" spans="1:7">
      <c r="A259" t="s">
        <v>6187</v>
      </c>
      <c r="B259" t="s">
        <v>2397</v>
      </c>
      <c r="C259" s="16" t="s">
        <v>1838</v>
      </c>
      <c r="D259" t="s">
        <v>2209</v>
      </c>
      <c r="E259" s="14">
        <v>1</v>
      </c>
      <c r="F259" s="16" t="s">
        <v>5917</v>
      </c>
      <c r="G259" s="19">
        <v>45574</v>
      </c>
    </row>
    <row r="260" spans="1:7">
      <c r="A260" t="s">
        <v>6188</v>
      </c>
      <c r="B260" t="s">
        <v>4365</v>
      </c>
      <c r="C260" s="16" t="s">
        <v>1242</v>
      </c>
      <c r="D260" t="s">
        <v>2213</v>
      </c>
      <c r="E260" s="14" t="s">
        <v>39</v>
      </c>
      <c r="F260" s="16" t="s">
        <v>5961</v>
      </c>
      <c r="G260" s="19">
        <v>45803</v>
      </c>
    </row>
    <row r="261" spans="1:7">
      <c r="A261" t="s">
        <v>6189</v>
      </c>
      <c r="B261" t="s">
        <v>4514</v>
      </c>
      <c r="C261" s="16" t="s">
        <v>910</v>
      </c>
      <c r="D261" t="s">
        <v>2231</v>
      </c>
      <c r="E261" s="14">
        <v>1</v>
      </c>
      <c r="F261" s="16" t="s">
        <v>23</v>
      </c>
      <c r="G261" s="19">
        <v>45567</v>
      </c>
    </row>
    <row r="262" spans="1:7">
      <c r="A262" t="s">
        <v>6190</v>
      </c>
      <c r="B262" t="s">
        <v>5838</v>
      </c>
      <c r="C262" s="16" t="s">
        <v>125</v>
      </c>
      <c r="D262" t="s">
        <v>2216</v>
      </c>
      <c r="E262" s="14">
        <v>4</v>
      </c>
      <c r="F262" s="16" t="s">
        <v>5922</v>
      </c>
      <c r="G262" s="19">
        <v>45252</v>
      </c>
    </row>
    <row r="263" spans="1:7">
      <c r="A263" t="s">
        <v>6191</v>
      </c>
      <c r="B263" t="s">
        <v>3970</v>
      </c>
      <c r="C263" s="16" t="s">
        <v>2014</v>
      </c>
      <c r="D263" t="s">
        <v>2233</v>
      </c>
      <c r="E263" s="14" t="s">
        <v>39</v>
      </c>
      <c r="F263" s="16" t="s">
        <v>5922</v>
      </c>
      <c r="G263" s="19">
        <v>45217</v>
      </c>
    </row>
    <row r="264" spans="1:7">
      <c r="A264" t="s">
        <v>6192</v>
      </c>
      <c r="B264" t="s">
        <v>2430</v>
      </c>
      <c r="C264" s="16" t="s">
        <v>2111</v>
      </c>
      <c r="D264" t="s">
        <v>2241</v>
      </c>
      <c r="E264" s="14" t="s">
        <v>39</v>
      </c>
      <c r="F264" s="16" t="s">
        <v>23</v>
      </c>
      <c r="G264" s="19">
        <v>45812</v>
      </c>
    </row>
    <row r="265" spans="1:7">
      <c r="A265" t="s">
        <v>6193</v>
      </c>
      <c r="B265" t="s">
        <v>2843</v>
      </c>
      <c r="C265" s="16" t="s">
        <v>274</v>
      </c>
      <c r="D265" t="s">
        <v>2271</v>
      </c>
      <c r="E265" s="14">
        <v>1</v>
      </c>
      <c r="F265" s="16" t="s">
        <v>5931</v>
      </c>
      <c r="G265" s="19">
        <v>45427</v>
      </c>
    </row>
    <row r="266" spans="1:7">
      <c r="A266" t="s">
        <v>6194</v>
      </c>
      <c r="B266" t="s">
        <v>5556</v>
      </c>
      <c r="C266" s="16" t="s">
        <v>1480</v>
      </c>
      <c r="D266" t="s">
        <v>2257</v>
      </c>
      <c r="E266" s="14">
        <v>4</v>
      </c>
      <c r="F266" s="16" t="s">
        <v>5917</v>
      </c>
      <c r="G266" s="19">
        <v>46010</v>
      </c>
    </row>
    <row r="267" spans="1:7">
      <c r="A267" t="s">
        <v>6195</v>
      </c>
      <c r="B267" t="s">
        <v>3342</v>
      </c>
      <c r="C267" s="16" t="s">
        <v>886</v>
      </c>
      <c r="D267" t="s">
        <v>2233</v>
      </c>
      <c r="E267" s="14">
        <v>2</v>
      </c>
      <c r="F267" s="16" t="s">
        <v>5920</v>
      </c>
      <c r="G267" s="19">
        <v>45946</v>
      </c>
    </row>
    <row r="268" spans="1:7">
      <c r="A268" t="s">
        <v>6196</v>
      </c>
      <c r="B268" t="s">
        <v>4506</v>
      </c>
      <c r="C268" s="16" t="s">
        <v>1835</v>
      </c>
      <c r="D268" t="s">
        <v>2253</v>
      </c>
      <c r="E268" s="14">
        <v>1</v>
      </c>
      <c r="F268" s="16" t="s">
        <v>5973</v>
      </c>
      <c r="G268" s="19">
        <v>45781</v>
      </c>
    </row>
    <row r="269" spans="1:7">
      <c r="A269" t="s">
        <v>6197</v>
      </c>
      <c r="B269" t="s">
        <v>4407</v>
      </c>
      <c r="C269" s="16" t="s">
        <v>1054</v>
      </c>
      <c r="D269" t="s">
        <v>2257</v>
      </c>
      <c r="E269" s="14">
        <v>1</v>
      </c>
      <c r="F269" s="16" t="s">
        <v>5961</v>
      </c>
      <c r="G269" s="19">
        <v>45153</v>
      </c>
    </row>
    <row r="270" spans="1:7">
      <c r="A270" t="s">
        <v>6198</v>
      </c>
      <c r="B270" t="s">
        <v>5368</v>
      </c>
      <c r="C270" s="16" t="s">
        <v>882</v>
      </c>
      <c r="D270" t="s">
        <v>2228</v>
      </c>
      <c r="E270" s="14">
        <v>5</v>
      </c>
      <c r="F270" s="16" t="s">
        <v>5961</v>
      </c>
      <c r="G270" s="19">
        <v>45336</v>
      </c>
    </row>
    <row r="271" spans="1:7">
      <c r="A271" t="s">
        <v>6199</v>
      </c>
      <c r="B271" t="s">
        <v>3789</v>
      </c>
      <c r="C271" s="16" t="s">
        <v>400</v>
      </c>
      <c r="D271" t="s">
        <v>2251</v>
      </c>
      <c r="E271" s="14">
        <v>5</v>
      </c>
      <c r="F271" s="16" t="s">
        <v>5917</v>
      </c>
      <c r="G271" s="19">
        <v>45702</v>
      </c>
    </row>
    <row r="272" spans="1:7">
      <c r="A272" t="s">
        <v>6200</v>
      </c>
      <c r="B272" t="s">
        <v>3210</v>
      </c>
      <c r="C272" s="16" t="s">
        <v>181</v>
      </c>
      <c r="D272" t="s">
        <v>2231</v>
      </c>
      <c r="E272" s="14">
        <v>4</v>
      </c>
      <c r="F272" s="16" t="s">
        <v>5961</v>
      </c>
      <c r="G272" s="19">
        <v>45269</v>
      </c>
    </row>
    <row r="273" spans="1:7">
      <c r="A273" t="s">
        <v>6201</v>
      </c>
      <c r="B273" t="s">
        <v>3589</v>
      </c>
      <c r="C273" s="16" t="s">
        <v>1884</v>
      </c>
      <c r="D273" t="s">
        <v>2193</v>
      </c>
      <c r="E273" s="14">
        <v>1</v>
      </c>
      <c r="F273" s="16" t="s">
        <v>5946</v>
      </c>
      <c r="G273" s="19">
        <v>45519</v>
      </c>
    </row>
    <row r="274" spans="1:7">
      <c r="A274" t="s">
        <v>6202</v>
      </c>
      <c r="B274" t="s">
        <v>3125</v>
      </c>
      <c r="C274" s="16" t="s">
        <v>729</v>
      </c>
      <c r="D274" t="s">
        <v>2216</v>
      </c>
      <c r="E274" s="14">
        <v>3</v>
      </c>
      <c r="F274" s="16" t="s">
        <v>5928</v>
      </c>
      <c r="G274" s="19">
        <v>45870</v>
      </c>
    </row>
    <row r="275" spans="1:7">
      <c r="A275" t="s">
        <v>6203</v>
      </c>
      <c r="B275" t="s">
        <v>4857</v>
      </c>
      <c r="C275" s="16" t="s">
        <v>1941</v>
      </c>
      <c r="D275" t="s">
        <v>2269</v>
      </c>
      <c r="E275" s="14">
        <v>1</v>
      </c>
      <c r="F275" s="16" t="s">
        <v>5926</v>
      </c>
      <c r="G275" s="19">
        <v>45295</v>
      </c>
    </row>
    <row r="276" spans="1:7">
      <c r="A276" t="s">
        <v>6204</v>
      </c>
      <c r="B276" t="s">
        <v>3793</v>
      </c>
      <c r="C276" s="16" t="s">
        <v>1428</v>
      </c>
      <c r="D276" t="s">
        <v>2244</v>
      </c>
      <c r="E276" s="14">
        <v>3</v>
      </c>
      <c r="F276" s="16" t="s">
        <v>5946</v>
      </c>
      <c r="G276" s="19">
        <v>45583</v>
      </c>
    </row>
    <row r="277" spans="1:7">
      <c r="A277" t="s">
        <v>6205</v>
      </c>
      <c r="B277" t="s">
        <v>4684</v>
      </c>
      <c r="C277" s="16" t="s">
        <v>653</v>
      </c>
      <c r="D277" t="s">
        <v>2261</v>
      </c>
      <c r="E277" s="14">
        <v>1</v>
      </c>
      <c r="F277" s="16" t="s">
        <v>5928</v>
      </c>
      <c r="G277" s="19">
        <v>45858</v>
      </c>
    </row>
    <row r="278" spans="1:7">
      <c r="A278" t="s">
        <v>6206</v>
      </c>
      <c r="B278" t="s">
        <v>3254</v>
      </c>
      <c r="C278" s="16" t="s">
        <v>1270</v>
      </c>
      <c r="D278" t="s">
        <v>2209</v>
      </c>
      <c r="E278" s="14">
        <v>5</v>
      </c>
      <c r="F278" s="16" t="s">
        <v>5973</v>
      </c>
      <c r="G278" s="19">
        <v>45521</v>
      </c>
    </row>
    <row r="279" spans="1:7">
      <c r="A279" t="s">
        <v>6207</v>
      </c>
      <c r="B279" t="s">
        <v>4339</v>
      </c>
      <c r="C279" s="16" t="s">
        <v>1576</v>
      </c>
      <c r="D279" t="s">
        <v>2269</v>
      </c>
      <c r="E279" s="14">
        <v>3</v>
      </c>
      <c r="F279" s="16" t="s">
        <v>5922</v>
      </c>
      <c r="G279" s="19">
        <v>45829</v>
      </c>
    </row>
    <row r="280" spans="1:7">
      <c r="A280" t="s">
        <v>6208</v>
      </c>
      <c r="B280" t="s">
        <v>4087</v>
      </c>
      <c r="C280" s="16" t="s">
        <v>531</v>
      </c>
      <c r="D280" t="s">
        <v>2267</v>
      </c>
      <c r="E280" s="14">
        <v>3</v>
      </c>
      <c r="F280" s="16" t="s">
        <v>5946</v>
      </c>
      <c r="G280" s="19">
        <v>45397</v>
      </c>
    </row>
    <row r="281" spans="1:7">
      <c r="A281" t="s">
        <v>6209</v>
      </c>
      <c r="B281" t="s">
        <v>5194</v>
      </c>
      <c r="C281" s="16" t="s">
        <v>1662</v>
      </c>
      <c r="D281" t="s">
        <v>2244</v>
      </c>
      <c r="E281" s="14">
        <v>2</v>
      </c>
      <c r="F281" s="16" t="s">
        <v>5973</v>
      </c>
      <c r="G281" s="19">
        <v>45915</v>
      </c>
    </row>
    <row r="282" spans="1:7">
      <c r="A282" t="s">
        <v>6210</v>
      </c>
      <c r="B282" t="s">
        <v>5821</v>
      </c>
      <c r="C282" s="16" t="s">
        <v>1492</v>
      </c>
      <c r="D282" t="s">
        <v>2273</v>
      </c>
      <c r="E282" s="14">
        <v>1</v>
      </c>
      <c r="F282" s="16" t="s">
        <v>5933</v>
      </c>
      <c r="G282" s="19">
        <v>45715</v>
      </c>
    </row>
    <row r="283" spans="1:7">
      <c r="A283" t="s">
        <v>6211</v>
      </c>
      <c r="B283" t="s">
        <v>2439</v>
      </c>
      <c r="C283" s="16" t="s">
        <v>394</v>
      </c>
      <c r="D283" t="s">
        <v>2225</v>
      </c>
      <c r="E283" s="14">
        <v>5</v>
      </c>
      <c r="F283" s="16" t="s">
        <v>5931</v>
      </c>
      <c r="G283" s="19">
        <v>45150</v>
      </c>
    </row>
    <row r="284" spans="1:7">
      <c r="A284" t="s">
        <v>6212</v>
      </c>
      <c r="B284" t="s">
        <v>3027</v>
      </c>
      <c r="C284" s="16" t="s">
        <v>2010</v>
      </c>
      <c r="D284" t="s">
        <v>2251</v>
      </c>
      <c r="E284" s="14" t="s">
        <v>39</v>
      </c>
      <c r="F284" s="16" t="s">
        <v>5933</v>
      </c>
      <c r="G284" s="19">
        <v>45538</v>
      </c>
    </row>
    <row r="285" spans="1:7">
      <c r="A285" t="s">
        <v>6213</v>
      </c>
      <c r="B285" t="s">
        <v>4664</v>
      </c>
      <c r="C285" s="16" t="s">
        <v>1079</v>
      </c>
      <c r="D285" t="s">
        <v>2225</v>
      </c>
      <c r="E285" s="14" t="s">
        <v>39</v>
      </c>
      <c r="F285" s="16" t="s">
        <v>5946</v>
      </c>
      <c r="G285" s="19">
        <v>45954</v>
      </c>
    </row>
    <row r="286" spans="1:7">
      <c r="A286" t="s">
        <v>6214</v>
      </c>
      <c r="B286" t="s">
        <v>4490</v>
      </c>
      <c r="C286" s="16" t="s">
        <v>1165</v>
      </c>
      <c r="D286" t="s">
        <v>2235</v>
      </c>
      <c r="E286" s="14" t="s">
        <v>39</v>
      </c>
      <c r="F286" s="16" t="s">
        <v>23</v>
      </c>
      <c r="G286" s="19">
        <v>45314</v>
      </c>
    </row>
    <row r="287" spans="1:7">
      <c r="A287" t="s">
        <v>6215</v>
      </c>
      <c r="B287" t="s">
        <v>5579</v>
      </c>
      <c r="C287" s="16" t="s">
        <v>626</v>
      </c>
      <c r="D287" t="s">
        <v>2202</v>
      </c>
      <c r="E287" s="14">
        <v>1</v>
      </c>
      <c r="F287" s="16" t="s">
        <v>5979</v>
      </c>
      <c r="G287" s="19">
        <v>45548</v>
      </c>
    </row>
    <row r="288" spans="1:7">
      <c r="A288" t="s">
        <v>6216</v>
      </c>
      <c r="B288" t="s">
        <v>3074</v>
      </c>
      <c r="C288" s="16" t="s">
        <v>1806</v>
      </c>
      <c r="D288" t="s">
        <v>2249</v>
      </c>
      <c r="E288" s="14">
        <v>2</v>
      </c>
      <c r="F288" s="16" t="s">
        <v>5920</v>
      </c>
      <c r="G288" s="19">
        <v>45611</v>
      </c>
    </row>
    <row r="289" spans="1:7">
      <c r="A289" t="s">
        <v>6217</v>
      </c>
      <c r="B289" t="s">
        <v>5205</v>
      </c>
      <c r="C289" s="16" t="s">
        <v>809</v>
      </c>
      <c r="D289" t="s">
        <v>2228</v>
      </c>
      <c r="E289" s="14">
        <v>2</v>
      </c>
      <c r="F289" s="16" t="s">
        <v>5961</v>
      </c>
      <c r="G289" s="19">
        <v>46049</v>
      </c>
    </row>
    <row r="290" spans="1:7">
      <c r="A290" t="s">
        <v>6218</v>
      </c>
      <c r="B290" t="s">
        <v>4330</v>
      </c>
      <c r="C290" s="16" t="s">
        <v>1713</v>
      </c>
      <c r="D290" t="s">
        <v>2237</v>
      </c>
      <c r="E290" s="14">
        <v>5</v>
      </c>
      <c r="F290" s="16" t="s">
        <v>5933</v>
      </c>
      <c r="G290" s="19">
        <v>45241</v>
      </c>
    </row>
    <row r="291" spans="1:7">
      <c r="A291" t="s">
        <v>6219</v>
      </c>
      <c r="B291" t="s">
        <v>5072</v>
      </c>
      <c r="C291" s="16" t="s">
        <v>1596</v>
      </c>
      <c r="D291" t="s">
        <v>2259</v>
      </c>
      <c r="E291" s="14">
        <v>1</v>
      </c>
      <c r="F291" s="16" t="s">
        <v>5973</v>
      </c>
      <c r="G291" s="19">
        <v>46118</v>
      </c>
    </row>
    <row r="292" spans="1:7">
      <c r="A292" t="s">
        <v>6220</v>
      </c>
      <c r="B292" t="s">
        <v>4372</v>
      </c>
      <c r="C292" s="16" t="s">
        <v>1887</v>
      </c>
      <c r="D292" t="s">
        <v>2267</v>
      </c>
      <c r="E292" s="14">
        <v>2</v>
      </c>
      <c r="F292" s="16" t="s">
        <v>5938</v>
      </c>
      <c r="G292" s="19">
        <v>45297</v>
      </c>
    </row>
    <row r="293" spans="1:7">
      <c r="A293" t="s">
        <v>6221</v>
      </c>
      <c r="B293" t="s">
        <v>3894</v>
      </c>
      <c r="C293" s="16" t="s">
        <v>366</v>
      </c>
      <c r="D293" t="s">
        <v>2233</v>
      </c>
      <c r="E293" s="14">
        <v>2</v>
      </c>
      <c r="F293" s="16" t="s">
        <v>5931</v>
      </c>
      <c r="G293" s="19">
        <v>46120</v>
      </c>
    </row>
    <row r="294" spans="1:7">
      <c r="A294" t="s">
        <v>6222</v>
      </c>
      <c r="B294" t="s">
        <v>5420</v>
      </c>
      <c r="C294" s="16" t="s">
        <v>2151</v>
      </c>
      <c r="D294" t="s">
        <v>2244</v>
      </c>
      <c r="E294" s="14">
        <v>1</v>
      </c>
      <c r="F294" s="16" t="s">
        <v>5928</v>
      </c>
      <c r="G294" s="19">
        <v>45769</v>
      </c>
    </row>
    <row r="295" spans="1:7">
      <c r="A295" t="s">
        <v>6223</v>
      </c>
      <c r="B295" t="s">
        <v>4466</v>
      </c>
      <c r="C295" s="16" t="s">
        <v>1520</v>
      </c>
      <c r="D295" t="s">
        <v>2209</v>
      </c>
      <c r="E295" s="14">
        <v>1</v>
      </c>
      <c r="F295" s="16" t="s">
        <v>5917</v>
      </c>
      <c r="G295" s="19">
        <v>45903</v>
      </c>
    </row>
    <row r="296" spans="1:7">
      <c r="A296" t="s">
        <v>6224</v>
      </c>
      <c r="B296" t="s">
        <v>2527</v>
      </c>
      <c r="C296" s="16" t="s">
        <v>791</v>
      </c>
      <c r="D296" t="s">
        <v>2257</v>
      </c>
      <c r="E296" s="14">
        <v>5</v>
      </c>
      <c r="F296" s="16" t="s">
        <v>5933</v>
      </c>
      <c r="G296" s="19">
        <v>46144</v>
      </c>
    </row>
    <row r="297" spans="1:7">
      <c r="A297" t="s">
        <v>6225</v>
      </c>
      <c r="B297" t="s">
        <v>3464</v>
      </c>
      <c r="C297" s="16" t="s">
        <v>221</v>
      </c>
      <c r="D297" t="s">
        <v>2205</v>
      </c>
      <c r="E297" s="14">
        <v>4</v>
      </c>
      <c r="F297" s="16" t="s">
        <v>5924</v>
      </c>
      <c r="G297" s="19">
        <v>45839</v>
      </c>
    </row>
    <row r="298" spans="1:7">
      <c r="A298" t="s">
        <v>6226</v>
      </c>
      <c r="B298" t="s">
        <v>4162</v>
      </c>
      <c r="C298" s="16" t="s">
        <v>1203</v>
      </c>
      <c r="D298" t="s">
        <v>2198</v>
      </c>
      <c r="E298" s="14">
        <v>4</v>
      </c>
      <c r="F298" s="16" t="s">
        <v>5920</v>
      </c>
      <c r="G298" s="19">
        <v>45960</v>
      </c>
    </row>
    <row r="299" spans="1:7">
      <c r="A299" t="s">
        <v>6227</v>
      </c>
      <c r="B299" t="s">
        <v>3300</v>
      </c>
      <c r="C299" s="16" t="s">
        <v>531</v>
      </c>
      <c r="D299" t="s">
        <v>2267</v>
      </c>
      <c r="E299" s="14" t="s">
        <v>39</v>
      </c>
      <c r="F299" s="16" t="s">
        <v>5926</v>
      </c>
      <c r="G299" s="19">
        <v>45191</v>
      </c>
    </row>
    <row r="300" spans="1:7">
      <c r="A300" t="s">
        <v>6228</v>
      </c>
      <c r="B300" t="s">
        <v>5781</v>
      </c>
      <c r="C300" s="16" t="s">
        <v>75</v>
      </c>
      <c r="D300" t="s">
        <v>2202</v>
      </c>
      <c r="E300" s="14">
        <v>3</v>
      </c>
      <c r="F300" s="16" t="s">
        <v>5940</v>
      </c>
      <c r="G300" s="19">
        <v>45107</v>
      </c>
    </row>
    <row r="301" spans="1:7">
      <c r="A301" t="s">
        <v>6229</v>
      </c>
      <c r="B301" t="s">
        <v>4065</v>
      </c>
      <c r="C301" s="16" t="s">
        <v>1995</v>
      </c>
      <c r="D301" t="s">
        <v>2249</v>
      </c>
      <c r="E301" s="14">
        <v>5</v>
      </c>
      <c r="F301" s="16" t="s">
        <v>5928</v>
      </c>
      <c r="G301" s="19">
        <v>46043</v>
      </c>
    </row>
    <row r="302" spans="1:7">
      <c r="A302" t="s">
        <v>6230</v>
      </c>
      <c r="B302" t="s">
        <v>3367</v>
      </c>
      <c r="C302" s="16" t="s">
        <v>366</v>
      </c>
      <c r="D302" t="s">
        <v>2241</v>
      </c>
      <c r="E302" s="14" t="s">
        <v>39</v>
      </c>
      <c r="F302" s="16" t="s">
        <v>5938</v>
      </c>
      <c r="G302" s="19">
        <v>45155</v>
      </c>
    </row>
    <row r="303" spans="1:7">
      <c r="A303" t="s">
        <v>6231</v>
      </c>
      <c r="B303" t="s">
        <v>4770</v>
      </c>
      <c r="C303" s="16" t="s">
        <v>1336</v>
      </c>
      <c r="D303" t="s">
        <v>2261</v>
      </c>
      <c r="E303" s="14">
        <v>4</v>
      </c>
      <c r="F303" s="16" t="s">
        <v>5922</v>
      </c>
      <c r="G303" s="19">
        <v>46032</v>
      </c>
    </row>
    <row r="304" spans="1:7">
      <c r="A304" t="s">
        <v>6232</v>
      </c>
      <c r="B304" t="s">
        <v>3591</v>
      </c>
      <c r="C304" s="16" t="s">
        <v>1823</v>
      </c>
      <c r="D304" t="s">
        <v>2222</v>
      </c>
      <c r="E304" s="14">
        <v>3</v>
      </c>
      <c r="F304" s="16" t="s">
        <v>23</v>
      </c>
      <c r="G304" s="19">
        <v>45441</v>
      </c>
    </row>
    <row r="305" spans="1:7">
      <c r="A305" t="s">
        <v>6233</v>
      </c>
      <c r="B305" t="s">
        <v>2426</v>
      </c>
      <c r="C305" s="16" t="s">
        <v>589</v>
      </c>
      <c r="D305" t="s">
        <v>2261</v>
      </c>
      <c r="E305" s="14">
        <v>3</v>
      </c>
      <c r="F305" s="16" t="s">
        <v>5938</v>
      </c>
      <c r="G305" s="19">
        <v>46086</v>
      </c>
    </row>
    <row r="306" spans="1:7">
      <c r="A306" t="s">
        <v>6234</v>
      </c>
      <c r="B306" t="s">
        <v>4674</v>
      </c>
      <c r="C306" s="16" t="s">
        <v>1472</v>
      </c>
      <c r="D306" t="s">
        <v>2233</v>
      </c>
      <c r="E306" s="14">
        <v>1</v>
      </c>
      <c r="F306" s="16" t="s">
        <v>5926</v>
      </c>
      <c r="G306" s="19">
        <v>45320</v>
      </c>
    </row>
    <row r="307" spans="1:7">
      <c r="A307" t="s">
        <v>6235</v>
      </c>
      <c r="B307" t="s">
        <v>4795</v>
      </c>
      <c r="C307" s="16" t="s">
        <v>1540</v>
      </c>
      <c r="D307" t="s">
        <v>2225</v>
      </c>
      <c r="E307" s="14">
        <v>5</v>
      </c>
      <c r="F307" s="16" t="s">
        <v>5926</v>
      </c>
      <c r="G307" s="19">
        <v>45263</v>
      </c>
    </row>
    <row r="308" spans="1:7">
      <c r="A308" t="s">
        <v>6236</v>
      </c>
      <c r="B308" t="s">
        <v>5378</v>
      </c>
      <c r="C308" s="16" t="s">
        <v>481</v>
      </c>
      <c r="D308" t="s">
        <v>2259</v>
      </c>
      <c r="E308" s="14">
        <v>4</v>
      </c>
      <c r="F308" s="16" t="s">
        <v>5940</v>
      </c>
      <c r="G308" s="19">
        <v>45331</v>
      </c>
    </row>
    <row r="309" spans="1:7">
      <c r="A309" t="s">
        <v>6237</v>
      </c>
      <c r="B309" t="s">
        <v>4714</v>
      </c>
      <c r="C309" s="16" t="s">
        <v>729</v>
      </c>
      <c r="D309" t="s">
        <v>2249</v>
      </c>
      <c r="E309" s="14" t="s">
        <v>39</v>
      </c>
      <c r="F309" s="16" t="s">
        <v>5933</v>
      </c>
      <c r="G309" s="19">
        <v>46019</v>
      </c>
    </row>
    <row r="310" spans="1:7">
      <c r="A310" t="s">
        <v>6238</v>
      </c>
      <c r="B310" t="s">
        <v>2471</v>
      </c>
      <c r="C310" s="16" t="s">
        <v>1544</v>
      </c>
      <c r="D310" t="s">
        <v>2233</v>
      </c>
      <c r="E310" s="14">
        <v>5</v>
      </c>
      <c r="F310" s="16" t="s">
        <v>5938</v>
      </c>
      <c r="G310" s="19">
        <v>45495</v>
      </c>
    </row>
    <row r="311" spans="1:7">
      <c r="A311" t="s">
        <v>6239</v>
      </c>
      <c r="B311" t="s">
        <v>5716</v>
      </c>
      <c r="C311" s="16" t="s">
        <v>660</v>
      </c>
      <c r="D311" t="s">
        <v>2259</v>
      </c>
      <c r="E311" s="14">
        <v>4</v>
      </c>
      <c r="F311" s="16" t="s">
        <v>5928</v>
      </c>
      <c r="G311" s="19">
        <v>46094</v>
      </c>
    </row>
    <row r="312" spans="1:7">
      <c r="A312" t="s">
        <v>6240</v>
      </c>
      <c r="B312" t="s">
        <v>3411</v>
      </c>
      <c r="C312" s="16" t="s">
        <v>1520</v>
      </c>
      <c r="D312" t="s">
        <v>2213</v>
      </c>
      <c r="E312" s="14">
        <v>5</v>
      </c>
      <c r="F312" s="16" t="s">
        <v>5924</v>
      </c>
      <c r="G312" s="19">
        <v>45737</v>
      </c>
    </row>
    <row r="313" spans="1:7">
      <c r="A313" t="s">
        <v>6241</v>
      </c>
      <c r="B313" t="s">
        <v>4298</v>
      </c>
      <c r="C313" s="16" t="s">
        <v>1058</v>
      </c>
      <c r="D313" t="s">
        <v>2209</v>
      </c>
      <c r="E313" s="14">
        <v>3</v>
      </c>
      <c r="F313" s="16" t="s">
        <v>23</v>
      </c>
      <c r="G313" s="19">
        <v>46005</v>
      </c>
    </row>
    <row r="314" spans="1:7">
      <c r="A314" t="s">
        <v>6242</v>
      </c>
      <c r="B314" t="s">
        <v>4355</v>
      </c>
      <c r="C314" s="16" t="s">
        <v>520</v>
      </c>
      <c r="D314" t="s">
        <v>2253</v>
      </c>
      <c r="E314" s="14">
        <v>2</v>
      </c>
      <c r="F314" s="16" t="s">
        <v>5924</v>
      </c>
      <c r="G314" s="19">
        <v>45618</v>
      </c>
    </row>
    <row r="315" spans="1:7">
      <c r="A315" t="s">
        <v>6243</v>
      </c>
      <c r="B315" t="s">
        <v>2390</v>
      </c>
      <c r="C315" s="16" t="s">
        <v>1058</v>
      </c>
      <c r="D315" t="s">
        <v>2273</v>
      </c>
      <c r="E315" s="14">
        <v>4</v>
      </c>
      <c r="F315" s="16" t="s">
        <v>5926</v>
      </c>
      <c r="G315" s="19">
        <v>45869</v>
      </c>
    </row>
    <row r="316" spans="1:7">
      <c r="A316" t="s">
        <v>6244</v>
      </c>
      <c r="B316" t="s">
        <v>3807</v>
      </c>
      <c r="C316" s="16" t="s">
        <v>1700</v>
      </c>
      <c r="D316" t="s">
        <v>2235</v>
      </c>
      <c r="E316" s="14">
        <v>5</v>
      </c>
      <c r="F316" s="16" t="s">
        <v>5938</v>
      </c>
      <c r="G316" s="19">
        <v>45415</v>
      </c>
    </row>
    <row r="317" spans="1:7">
      <c r="A317" t="s">
        <v>6245</v>
      </c>
      <c r="B317" t="s">
        <v>3506</v>
      </c>
      <c r="C317" s="16" t="s">
        <v>678</v>
      </c>
      <c r="D317" t="s">
        <v>2228</v>
      </c>
      <c r="E317" s="14">
        <v>4</v>
      </c>
      <c r="F317" s="16" t="s">
        <v>5917</v>
      </c>
      <c r="G317" s="19">
        <v>45209</v>
      </c>
    </row>
    <row r="318" spans="1:7">
      <c r="A318" t="s">
        <v>6246</v>
      </c>
      <c r="B318" t="s">
        <v>5417</v>
      </c>
      <c r="C318" s="16" t="s">
        <v>1001</v>
      </c>
      <c r="D318" t="s">
        <v>2202</v>
      </c>
      <c r="E318" s="14">
        <v>4</v>
      </c>
      <c r="F318" s="16" t="s">
        <v>5973</v>
      </c>
      <c r="G318" s="19">
        <v>45713</v>
      </c>
    </row>
    <row r="319" spans="1:7">
      <c r="A319" t="s">
        <v>6247</v>
      </c>
      <c r="B319" t="s">
        <v>3246</v>
      </c>
      <c r="C319" s="16" t="s">
        <v>1242</v>
      </c>
      <c r="D319" t="s">
        <v>2241</v>
      </c>
      <c r="E319" s="14">
        <v>4</v>
      </c>
      <c r="F319" s="16" t="s">
        <v>5933</v>
      </c>
      <c r="G319" s="19">
        <v>46085</v>
      </c>
    </row>
    <row r="320" spans="1:7">
      <c r="A320" t="s">
        <v>6248</v>
      </c>
      <c r="B320" t="s">
        <v>4968</v>
      </c>
      <c r="C320" s="16" t="s">
        <v>1686</v>
      </c>
      <c r="D320" t="s">
        <v>2261</v>
      </c>
      <c r="E320" s="14">
        <v>5</v>
      </c>
      <c r="F320" s="16" t="s">
        <v>5961</v>
      </c>
      <c r="G320" s="19">
        <v>45264</v>
      </c>
    </row>
    <row r="321" spans="1:7">
      <c r="A321" t="s">
        <v>6249</v>
      </c>
      <c r="B321" t="s">
        <v>4082</v>
      </c>
      <c r="C321" s="16" t="s">
        <v>261</v>
      </c>
      <c r="D321" t="s">
        <v>2257</v>
      </c>
      <c r="E321" s="14">
        <v>5</v>
      </c>
      <c r="F321" s="16" t="s">
        <v>5979</v>
      </c>
      <c r="G321" s="19">
        <v>45553</v>
      </c>
    </row>
    <row r="322" spans="1:7">
      <c r="A322" t="s">
        <v>6250</v>
      </c>
      <c r="B322" t="s">
        <v>5031</v>
      </c>
      <c r="C322" s="16" t="s">
        <v>538</v>
      </c>
      <c r="D322" t="s">
        <v>2202</v>
      </c>
      <c r="E322" s="14">
        <v>5</v>
      </c>
      <c r="F322" s="16" t="s">
        <v>5973</v>
      </c>
      <c r="G322" s="19">
        <v>45681</v>
      </c>
    </row>
    <row r="323" spans="1:7">
      <c r="A323" t="s">
        <v>6251</v>
      </c>
      <c r="B323" t="s">
        <v>3242</v>
      </c>
      <c r="C323" s="16" t="s">
        <v>842</v>
      </c>
      <c r="D323" t="s">
        <v>2235</v>
      </c>
      <c r="E323" s="14">
        <v>2</v>
      </c>
      <c r="F323" s="16" t="s">
        <v>5973</v>
      </c>
      <c r="G323" s="19">
        <v>45775</v>
      </c>
    </row>
    <row r="324" spans="1:7">
      <c r="A324" t="s">
        <v>6252</v>
      </c>
      <c r="B324" t="s">
        <v>5480</v>
      </c>
      <c r="C324" s="16" t="s">
        <v>1773</v>
      </c>
      <c r="D324" t="s">
        <v>2205</v>
      </c>
      <c r="E324" s="14">
        <v>5</v>
      </c>
      <c r="F324" s="16" t="s">
        <v>5933</v>
      </c>
      <c r="G324" s="19">
        <v>45242</v>
      </c>
    </row>
    <row r="325" spans="1:7">
      <c r="A325" t="s">
        <v>6253</v>
      </c>
      <c r="B325" t="s">
        <v>5483</v>
      </c>
      <c r="C325" s="16" t="s">
        <v>1967</v>
      </c>
      <c r="D325" t="s">
        <v>2244</v>
      </c>
      <c r="E325" s="14">
        <v>4</v>
      </c>
      <c r="F325" s="16" t="s">
        <v>5979</v>
      </c>
      <c r="G325" s="19">
        <v>45703</v>
      </c>
    </row>
    <row r="326" spans="1:7">
      <c r="A326" t="s">
        <v>6254</v>
      </c>
      <c r="B326" t="s">
        <v>5381</v>
      </c>
      <c r="C326" s="16" t="s">
        <v>1857</v>
      </c>
      <c r="D326" t="s">
        <v>2264</v>
      </c>
      <c r="E326" s="14">
        <v>2</v>
      </c>
      <c r="F326" s="16" t="s">
        <v>5946</v>
      </c>
      <c r="G326" s="19">
        <v>45612</v>
      </c>
    </row>
    <row r="327" spans="1:7">
      <c r="A327" t="s">
        <v>6255</v>
      </c>
      <c r="B327" t="s">
        <v>4877</v>
      </c>
      <c r="C327" s="16" t="s">
        <v>80</v>
      </c>
      <c r="D327" t="s">
        <v>2198</v>
      </c>
      <c r="E327" s="14" t="s">
        <v>39</v>
      </c>
      <c r="F327" s="16" t="s">
        <v>5961</v>
      </c>
      <c r="G327" s="19">
        <v>46059</v>
      </c>
    </row>
    <row r="328" spans="1:7">
      <c r="A328" t="s">
        <v>6256</v>
      </c>
      <c r="B328" t="s">
        <v>5362</v>
      </c>
      <c r="C328" s="16" t="s">
        <v>1308</v>
      </c>
      <c r="D328" t="s">
        <v>2209</v>
      </c>
      <c r="E328" s="14">
        <v>4</v>
      </c>
      <c r="F328" s="16" t="s">
        <v>5920</v>
      </c>
      <c r="G328" s="19">
        <v>45854</v>
      </c>
    </row>
    <row r="329" spans="1:7">
      <c r="A329" t="s">
        <v>6257</v>
      </c>
      <c r="B329" t="s">
        <v>5763</v>
      </c>
      <c r="C329" s="16" t="s">
        <v>411</v>
      </c>
      <c r="D329" t="s">
        <v>2222</v>
      </c>
      <c r="E329" s="14">
        <v>1</v>
      </c>
      <c r="F329" s="16" t="s">
        <v>5931</v>
      </c>
      <c r="G329" s="19">
        <v>46088</v>
      </c>
    </row>
    <row r="330" spans="1:7">
      <c r="A330" t="s">
        <v>6258</v>
      </c>
      <c r="B330" t="s">
        <v>3049</v>
      </c>
      <c r="C330" s="16" t="s">
        <v>1517</v>
      </c>
      <c r="D330" t="s">
        <v>2257</v>
      </c>
      <c r="E330" s="14">
        <v>1</v>
      </c>
      <c r="F330" s="16" t="s">
        <v>5917</v>
      </c>
      <c r="G330" s="19">
        <v>46167</v>
      </c>
    </row>
    <row r="331" spans="1:7">
      <c r="A331" t="s">
        <v>6259</v>
      </c>
      <c r="B331" t="s">
        <v>4015</v>
      </c>
      <c r="C331" s="16" t="s">
        <v>1926</v>
      </c>
      <c r="D331" t="s">
        <v>2202</v>
      </c>
      <c r="E331" s="14">
        <v>4</v>
      </c>
      <c r="F331" s="16" t="s">
        <v>5920</v>
      </c>
      <c r="G331" s="19">
        <v>45825</v>
      </c>
    </row>
    <row r="332" spans="1:7">
      <c r="A332" t="s">
        <v>6260</v>
      </c>
      <c r="B332" t="s">
        <v>5270</v>
      </c>
      <c r="C332" s="16" t="s">
        <v>1380</v>
      </c>
      <c r="D332" t="s">
        <v>2241</v>
      </c>
      <c r="E332" s="14">
        <v>4</v>
      </c>
      <c r="F332" s="16" t="s">
        <v>5933</v>
      </c>
      <c r="G332" s="19">
        <v>45258</v>
      </c>
    </row>
    <row r="333" spans="1:7">
      <c r="A333" t="s">
        <v>6261</v>
      </c>
      <c r="B333" t="s">
        <v>4573</v>
      </c>
      <c r="C333" s="16" t="s">
        <v>1285</v>
      </c>
      <c r="D333" t="s">
        <v>2247</v>
      </c>
      <c r="E333" s="14">
        <v>4</v>
      </c>
      <c r="F333" s="16" t="s">
        <v>5922</v>
      </c>
      <c r="G333" s="19">
        <v>45585</v>
      </c>
    </row>
    <row r="334" spans="1:7">
      <c r="A334" t="s">
        <v>6262</v>
      </c>
      <c r="B334" t="s">
        <v>4691</v>
      </c>
      <c r="C334" s="16" t="s">
        <v>442</v>
      </c>
      <c r="D334" t="s">
        <v>2209</v>
      </c>
      <c r="E334" s="14">
        <v>5</v>
      </c>
      <c r="F334" s="16" t="s">
        <v>5922</v>
      </c>
      <c r="G334" s="19">
        <v>45926</v>
      </c>
    </row>
    <row r="335" spans="1:7">
      <c r="A335" t="s">
        <v>6263</v>
      </c>
      <c r="B335" t="s">
        <v>3685</v>
      </c>
      <c r="C335" s="16" t="s">
        <v>281</v>
      </c>
      <c r="D335" t="s">
        <v>2237</v>
      </c>
      <c r="E335" s="14">
        <v>3</v>
      </c>
      <c r="F335" s="16" t="s">
        <v>5928</v>
      </c>
      <c r="G335" s="19">
        <v>45246</v>
      </c>
    </row>
    <row r="336" spans="1:7">
      <c r="A336" t="s">
        <v>6264</v>
      </c>
      <c r="B336" t="s">
        <v>5812</v>
      </c>
      <c r="C336" s="16" t="s">
        <v>1864</v>
      </c>
      <c r="D336" t="s">
        <v>2202</v>
      </c>
      <c r="E336" s="14">
        <v>5</v>
      </c>
      <c r="F336" s="16" t="s">
        <v>5922</v>
      </c>
      <c r="G336" s="19">
        <v>45515</v>
      </c>
    </row>
    <row r="337" spans="1:7">
      <c r="A337" t="s">
        <v>6265</v>
      </c>
      <c r="B337" t="s">
        <v>4286</v>
      </c>
      <c r="C337" s="16" t="s">
        <v>213</v>
      </c>
      <c r="D337" t="s">
        <v>2193</v>
      </c>
      <c r="E337" s="14">
        <v>5</v>
      </c>
      <c r="F337" s="16" t="s">
        <v>5920</v>
      </c>
      <c r="G337" s="19">
        <v>45513</v>
      </c>
    </row>
    <row r="338" spans="1:7">
      <c r="A338" t="s">
        <v>6266</v>
      </c>
      <c r="B338" t="s">
        <v>4619</v>
      </c>
      <c r="C338" s="16" t="s">
        <v>1676</v>
      </c>
      <c r="D338" t="s">
        <v>2222</v>
      </c>
      <c r="E338" s="14">
        <v>4</v>
      </c>
      <c r="F338" s="16" t="s">
        <v>5961</v>
      </c>
      <c r="G338" s="19">
        <v>45284</v>
      </c>
    </row>
    <row r="339" spans="1:7">
      <c r="A339" t="s">
        <v>6267</v>
      </c>
      <c r="B339" t="s">
        <v>5468</v>
      </c>
      <c r="C339" s="16" t="s">
        <v>1763</v>
      </c>
      <c r="D339" t="s">
        <v>2244</v>
      </c>
      <c r="E339" s="14">
        <v>4</v>
      </c>
      <c r="F339" s="16" t="s">
        <v>5946</v>
      </c>
      <c r="G339" s="19">
        <v>45267</v>
      </c>
    </row>
    <row r="340" spans="1:7">
      <c r="A340" t="s">
        <v>6268</v>
      </c>
      <c r="B340" t="s">
        <v>3142</v>
      </c>
      <c r="C340" s="16" t="s">
        <v>1504</v>
      </c>
      <c r="D340" t="s">
        <v>2187</v>
      </c>
      <c r="E340" s="14" t="s">
        <v>39</v>
      </c>
      <c r="F340" s="16" t="s">
        <v>5922</v>
      </c>
      <c r="G340" s="19">
        <v>45852</v>
      </c>
    </row>
    <row r="341" spans="1:7">
      <c r="A341" t="s">
        <v>6269</v>
      </c>
      <c r="B341" t="s">
        <v>4533</v>
      </c>
      <c r="C341" s="16" t="s">
        <v>1902</v>
      </c>
      <c r="D341" t="s">
        <v>2261</v>
      </c>
      <c r="E341" s="14">
        <v>3</v>
      </c>
      <c r="F341" s="16" t="s">
        <v>5926</v>
      </c>
      <c r="G341" s="19">
        <v>45994</v>
      </c>
    </row>
    <row r="342" spans="1:7">
      <c r="A342" t="s">
        <v>6270</v>
      </c>
      <c r="B342" t="s">
        <v>5884</v>
      </c>
      <c r="C342" s="16" t="s">
        <v>1827</v>
      </c>
      <c r="D342" t="s">
        <v>2198</v>
      </c>
      <c r="E342" s="14">
        <v>3</v>
      </c>
      <c r="F342" s="16" t="s">
        <v>5928</v>
      </c>
      <c r="G342" s="19">
        <v>46177</v>
      </c>
    </row>
    <row r="343" spans="1:7">
      <c r="A343" t="s">
        <v>6271</v>
      </c>
      <c r="B343" t="s">
        <v>5308</v>
      </c>
      <c r="C343" s="16" t="s">
        <v>1782</v>
      </c>
      <c r="D343" t="s">
        <v>2193</v>
      </c>
      <c r="E343" s="14" t="s">
        <v>39</v>
      </c>
      <c r="F343" s="16" t="s">
        <v>5979</v>
      </c>
      <c r="G343" s="19">
        <v>45739</v>
      </c>
    </row>
    <row r="344" spans="1:7">
      <c r="A344" t="s">
        <v>6272</v>
      </c>
      <c r="B344" t="s">
        <v>4508</v>
      </c>
      <c r="C344" s="16" t="s">
        <v>1454</v>
      </c>
      <c r="D344" t="s">
        <v>2193</v>
      </c>
      <c r="E344" s="14">
        <v>4</v>
      </c>
      <c r="F344" s="16" t="s">
        <v>5926</v>
      </c>
      <c r="G344" s="19">
        <v>45297</v>
      </c>
    </row>
    <row r="345" spans="1:7">
      <c r="A345" t="s">
        <v>6273</v>
      </c>
      <c r="B345" t="s">
        <v>4120</v>
      </c>
      <c r="C345" s="16" t="s">
        <v>174</v>
      </c>
      <c r="D345" t="s">
        <v>2193</v>
      </c>
      <c r="E345" s="14">
        <v>4</v>
      </c>
      <c r="F345" s="16" t="s">
        <v>5946</v>
      </c>
      <c r="G345" s="19">
        <v>46077</v>
      </c>
    </row>
    <row r="346" spans="1:7">
      <c r="A346" t="s">
        <v>6274</v>
      </c>
      <c r="B346" t="s">
        <v>3582</v>
      </c>
      <c r="C346" s="16" t="s">
        <v>277</v>
      </c>
      <c r="D346" t="s">
        <v>2228</v>
      </c>
      <c r="E346" s="14">
        <v>5</v>
      </c>
      <c r="F346" s="16" t="s">
        <v>5920</v>
      </c>
      <c r="G346" s="19">
        <v>46161</v>
      </c>
    </row>
    <row r="347" spans="1:7">
      <c r="A347" t="s">
        <v>6275</v>
      </c>
      <c r="B347" t="s">
        <v>4617</v>
      </c>
      <c r="C347" s="16" t="s">
        <v>1091</v>
      </c>
      <c r="D347" t="s">
        <v>2271</v>
      </c>
      <c r="E347" s="14">
        <v>4</v>
      </c>
      <c r="F347" s="16" t="s">
        <v>5946</v>
      </c>
      <c r="G347" s="19">
        <v>46135</v>
      </c>
    </row>
    <row r="348" spans="1:7">
      <c r="A348" t="s">
        <v>6276</v>
      </c>
      <c r="B348" t="s">
        <v>3248</v>
      </c>
      <c r="C348" s="16" t="s">
        <v>1723</v>
      </c>
      <c r="D348" t="s">
        <v>2271</v>
      </c>
      <c r="E348" s="14">
        <v>3</v>
      </c>
      <c r="F348" s="16" t="s">
        <v>5920</v>
      </c>
      <c r="G348" s="19">
        <v>45719</v>
      </c>
    </row>
    <row r="349" spans="1:7">
      <c r="A349" t="s">
        <v>6277</v>
      </c>
      <c r="B349" t="s">
        <v>4435</v>
      </c>
      <c r="C349" s="16" t="s">
        <v>267</v>
      </c>
      <c r="D349" t="s">
        <v>2216</v>
      </c>
      <c r="E349" s="14">
        <v>1</v>
      </c>
      <c r="F349" s="16" t="s">
        <v>5924</v>
      </c>
      <c r="G349" s="19">
        <v>46068</v>
      </c>
    </row>
    <row r="350" spans="1:7">
      <c r="A350" t="s">
        <v>6278</v>
      </c>
      <c r="B350" t="s">
        <v>5848</v>
      </c>
      <c r="C350" s="16" t="s">
        <v>1902</v>
      </c>
      <c r="D350" t="s">
        <v>2237</v>
      </c>
      <c r="E350" s="14">
        <v>1</v>
      </c>
      <c r="F350" s="16" t="s">
        <v>5933</v>
      </c>
      <c r="G350" s="19">
        <v>46180</v>
      </c>
    </row>
    <row r="351" spans="1:7">
      <c r="A351" t="s">
        <v>6279</v>
      </c>
      <c r="B351" t="s">
        <v>3258</v>
      </c>
      <c r="C351" s="16" t="s">
        <v>1177</v>
      </c>
      <c r="D351" t="s">
        <v>2225</v>
      </c>
      <c r="E351" s="14">
        <v>3</v>
      </c>
      <c r="F351" s="16" t="s">
        <v>5917</v>
      </c>
      <c r="G351" s="19">
        <v>46069</v>
      </c>
    </row>
    <row r="352" spans="1:7">
      <c r="A352" t="s">
        <v>6280</v>
      </c>
      <c r="B352" t="s">
        <v>5744</v>
      </c>
      <c r="C352" s="16" t="s">
        <v>1483</v>
      </c>
      <c r="D352" t="s">
        <v>2253</v>
      </c>
      <c r="E352" s="14" t="s">
        <v>39</v>
      </c>
      <c r="F352" s="16" t="s">
        <v>5922</v>
      </c>
      <c r="G352" s="19">
        <v>45173</v>
      </c>
    </row>
    <row r="353" spans="1:7">
      <c r="A353" t="s">
        <v>6281</v>
      </c>
      <c r="B353" t="s">
        <v>2568</v>
      </c>
      <c r="C353" s="16" t="s">
        <v>2022</v>
      </c>
      <c r="D353" t="s">
        <v>2209</v>
      </c>
      <c r="E353" s="14" t="s">
        <v>39</v>
      </c>
      <c r="F353" s="16" t="s">
        <v>5973</v>
      </c>
      <c r="G353" s="19">
        <v>45245</v>
      </c>
    </row>
    <row r="354" spans="1:7">
      <c r="A354" t="s">
        <v>6282</v>
      </c>
      <c r="B354" t="s">
        <v>2585</v>
      </c>
      <c r="C354" s="16" t="s">
        <v>581</v>
      </c>
      <c r="D354" t="s">
        <v>2187</v>
      </c>
      <c r="E354" s="14">
        <v>4</v>
      </c>
      <c r="F354" s="16" t="s">
        <v>5931</v>
      </c>
      <c r="G354" s="19">
        <v>45426</v>
      </c>
    </row>
    <row r="355" spans="1:7">
      <c r="A355" t="s">
        <v>6283</v>
      </c>
      <c r="B355" t="s">
        <v>3224</v>
      </c>
      <c r="C355" s="16" t="s">
        <v>1867</v>
      </c>
      <c r="D355" t="s">
        <v>2269</v>
      </c>
      <c r="E355" s="14">
        <v>1</v>
      </c>
      <c r="F355" s="16" t="s">
        <v>5924</v>
      </c>
      <c r="G355" s="19">
        <v>45529</v>
      </c>
    </row>
    <row r="356" spans="1:7">
      <c r="A356" t="s">
        <v>6284</v>
      </c>
      <c r="B356" t="s">
        <v>5124</v>
      </c>
      <c r="C356" s="16" t="s">
        <v>1751</v>
      </c>
      <c r="D356" t="s">
        <v>2271</v>
      </c>
      <c r="E356" s="14">
        <v>4</v>
      </c>
      <c r="F356" s="16" t="s">
        <v>5938</v>
      </c>
      <c r="G356" s="19">
        <v>45261</v>
      </c>
    </row>
    <row r="357" spans="1:7">
      <c r="A357" t="s">
        <v>6285</v>
      </c>
      <c r="B357" t="s">
        <v>5419</v>
      </c>
      <c r="C357" s="16" t="s">
        <v>1809</v>
      </c>
      <c r="D357" t="s">
        <v>2241</v>
      </c>
      <c r="E357" s="14">
        <v>4</v>
      </c>
      <c r="F357" s="16" t="s">
        <v>5928</v>
      </c>
      <c r="G357" s="19">
        <v>46186</v>
      </c>
    </row>
    <row r="358" spans="1:7">
      <c r="A358" t="s">
        <v>6286</v>
      </c>
      <c r="B358" t="s">
        <v>4637</v>
      </c>
      <c r="C358" s="16" t="s">
        <v>701</v>
      </c>
      <c r="D358" t="s">
        <v>2244</v>
      </c>
      <c r="E358" s="14">
        <v>3</v>
      </c>
      <c r="F358" s="16" t="s">
        <v>5946</v>
      </c>
      <c r="G358" s="19">
        <v>45964</v>
      </c>
    </row>
    <row r="359" spans="1:7">
      <c r="A359" t="s">
        <v>6287</v>
      </c>
      <c r="B359" t="s">
        <v>3173</v>
      </c>
      <c r="C359" s="16" t="s">
        <v>574</v>
      </c>
      <c r="D359" t="s">
        <v>2261</v>
      </c>
      <c r="E359" s="14">
        <v>2</v>
      </c>
      <c r="F359" s="16" t="s">
        <v>5961</v>
      </c>
      <c r="G359" s="19">
        <v>45831</v>
      </c>
    </row>
    <row r="360" spans="1:7">
      <c r="A360" t="s">
        <v>6288</v>
      </c>
      <c r="B360" t="s">
        <v>3168</v>
      </c>
      <c r="C360" s="16" t="s">
        <v>2091</v>
      </c>
      <c r="D360" t="s">
        <v>2209</v>
      </c>
      <c r="E360" s="14">
        <v>4</v>
      </c>
      <c r="F360" s="16" t="s">
        <v>5922</v>
      </c>
      <c r="G360" s="19">
        <v>46151</v>
      </c>
    </row>
    <row r="361" spans="1:7">
      <c r="A361" t="s">
        <v>6289</v>
      </c>
      <c r="B361" t="s">
        <v>3228</v>
      </c>
      <c r="C361" s="16" t="s">
        <v>870</v>
      </c>
      <c r="D361" t="s">
        <v>2271</v>
      </c>
      <c r="E361" s="14">
        <v>4</v>
      </c>
      <c r="F361" s="16" t="s">
        <v>5940</v>
      </c>
      <c r="G361" s="19">
        <v>45449</v>
      </c>
    </row>
    <row r="362" spans="1:7">
      <c r="A362" t="s">
        <v>6290</v>
      </c>
      <c r="B362" t="s">
        <v>3384</v>
      </c>
      <c r="C362" s="16" t="s">
        <v>997</v>
      </c>
      <c r="D362" t="s">
        <v>2251</v>
      </c>
      <c r="E362" s="14">
        <v>2</v>
      </c>
      <c r="F362" s="16" t="s">
        <v>5961</v>
      </c>
      <c r="G362" s="19">
        <v>45877</v>
      </c>
    </row>
    <row r="363" spans="1:7">
      <c r="A363" t="s">
        <v>6291</v>
      </c>
      <c r="B363" t="s">
        <v>4395</v>
      </c>
      <c r="C363" s="16" t="s">
        <v>1967</v>
      </c>
      <c r="D363" t="s">
        <v>2205</v>
      </c>
      <c r="E363" s="14" t="s">
        <v>39</v>
      </c>
      <c r="F363" s="16" t="s">
        <v>5924</v>
      </c>
      <c r="G363" s="19">
        <v>46137</v>
      </c>
    </row>
    <row r="364" spans="1:7">
      <c r="A364" t="s">
        <v>6292</v>
      </c>
      <c r="B364" t="s">
        <v>4526</v>
      </c>
      <c r="C364" s="16" t="s">
        <v>1654</v>
      </c>
      <c r="D364" t="s">
        <v>2257</v>
      </c>
      <c r="E364" s="14">
        <v>5</v>
      </c>
      <c r="F364" s="16" t="s">
        <v>5979</v>
      </c>
      <c r="G364" s="19">
        <v>45189</v>
      </c>
    </row>
    <row r="365" spans="1:7">
      <c r="A365" t="s">
        <v>6293</v>
      </c>
      <c r="B365" t="s">
        <v>4522</v>
      </c>
      <c r="C365" s="16" t="s">
        <v>1763</v>
      </c>
      <c r="D365" t="s">
        <v>2257</v>
      </c>
      <c r="E365" s="14">
        <v>5</v>
      </c>
      <c r="F365" s="16" t="s">
        <v>5931</v>
      </c>
      <c r="G365" s="19">
        <v>45758</v>
      </c>
    </row>
    <row r="366" spans="1:7">
      <c r="A366" t="s">
        <v>6294</v>
      </c>
      <c r="B366" t="s">
        <v>3427</v>
      </c>
      <c r="C366" s="16" t="s">
        <v>95</v>
      </c>
      <c r="D366" t="s">
        <v>2257</v>
      </c>
      <c r="E366" s="14">
        <v>5</v>
      </c>
      <c r="F366" s="16" t="s">
        <v>5926</v>
      </c>
      <c r="G366" s="19">
        <v>45974</v>
      </c>
    </row>
    <row r="367" spans="1:7">
      <c r="A367" t="s">
        <v>6295</v>
      </c>
      <c r="B367" t="s">
        <v>2757</v>
      </c>
      <c r="C367" s="16" t="s">
        <v>1397</v>
      </c>
      <c r="D367" t="s">
        <v>2247</v>
      </c>
      <c r="E367" s="14">
        <v>1</v>
      </c>
      <c r="F367" s="16" t="s">
        <v>5926</v>
      </c>
      <c r="G367" s="19">
        <v>45115</v>
      </c>
    </row>
    <row r="368" spans="1:7">
      <c r="A368" t="s">
        <v>6296</v>
      </c>
      <c r="B368" t="s">
        <v>2498</v>
      </c>
      <c r="C368" s="16" t="s">
        <v>832</v>
      </c>
      <c r="D368" t="s">
        <v>2269</v>
      </c>
      <c r="E368" s="14">
        <v>2</v>
      </c>
      <c r="F368" s="16" t="s">
        <v>23</v>
      </c>
      <c r="G368" s="19">
        <v>46074</v>
      </c>
    </row>
    <row r="369" spans="1:7">
      <c r="A369" t="s">
        <v>6297</v>
      </c>
      <c r="B369" t="s">
        <v>3303</v>
      </c>
      <c r="C369" s="16" t="s">
        <v>987</v>
      </c>
      <c r="D369" t="s">
        <v>2267</v>
      </c>
      <c r="E369" s="14">
        <v>3</v>
      </c>
      <c r="F369" s="16" t="s">
        <v>5931</v>
      </c>
      <c r="G369" s="19">
        <v>45555</v>
      </c>
    </row>
    <row r="370" spans="1:7">
      <c r="A370" t="s">
        <v>6298</v>
      </c>
      <c r="B370" t="s">
        <v>2978</v>
      </c>
      <c r="C370" s="16" t="s">
        <v>394</v>
      </c>
      <c r="D370" t="s">
        <v>2269</v>
      </c>
      <c r="E370" s="14">
        <v>5</v>
      </c>
      <c r="F370" s="16" t="s">
        <v>5933</v>
      </c>
      <c r="G370" s="19">
        <v>45283</v>
      </c>
    </row>
    <row r="371" spans="1:7">
      <c r="A371" t="s">
        <v>6299</v>
      </c>
      <c r="B371" t="s">
        <v>4264</v>
      </c>
      <c r="C371" s="16" t="s">
        <v>1723</v>
      </c>
      <c r="D371" t="s">
        <v>2267</v>
      </c>
      <c r="E371" s="14" t="s">
        <v>39</v>
      </c>
      <c r="F371" s="16" t="s">
        <v>5924</v>
      </c>
      <c r="G371" s="19">
        <v>46235</v>
      </c>
    </row>
    <row r="372" spans="1:7">
      <c r="A372" t="s">
        <v>6300</v>
      </c>
      <c r="B372" t="s">
        <v>5310</v>
      </c>
      <c r="C372" s="16" t="s">
        <v>626</v>
      </c>
      <c r="D372" t="s">
        <v>2273</v>
      </c>
      <c r="E372" s="14">
        <v>1</v>
      </c>
      <c r="F372" s="16" t="s">
        <v>5920</v>
      </c>
      <c r="G372" s="19">
        <v>45308</v>
      </c>
    </row>
    <row r="373" spans="1:7">
      <c r="A373" t="s">
        <v>6301</v>
      </c>
      <c r="B373" t="s">
        <v>4701</v>
      </c>
      <c r="C373" s="16" t="s">
        <v>2132</v>
      </c>
      <c r="D373" t="s">
        <v>2251</v>
      </c>
      <c r="E373" s="14">
        <v>1</v>
      </c>
      <c r="F373" s="16" t="s">
        <v>5946</v>
      </c>
      <c r="G373" s="19">
        <v>45405</v>
      </c>
    </row>
    <row r="374" spans="1:7">
      <c r="A374" t="s">
        <v>6302</v>
      </c>
      <c r="B374" t="s">
        <v>4290</v>
      </c>
      <c r="C374" s="16" t="s">
        <v>1251</v>
      </c>
      <c r="D374" t="s">
        <v>2228</v>
      </c>
      <c r="E374" s="14">
        <v>4</v>
      </c>
      <c r="F374" s="16" t="s">
        <v>5917</v>
      </c>
      <c r="G374" s="19">
        <v>45668</v>
      </c>
    </row>
    <row r="375" spans="1:7">
      <c r="A375" t="s">
        <v>6303</v>
      </c>
      <c r="B375" t="s">
        <v>5351</v>
      </c>
      <c r="C375" s="16" t="s">
        <v>618</v>
      </c>
      <c r="D375" t="s">
        <v>2247</v>
      </c>
      <c r="E375" s="14">
        <v>1</v>
      </c>
      <c r="F375" s="16" t="s">
        <v>5924</v>
      </c>
      <c r="G375" s="19">
        <v>46101</v>
      </c>
    </row>
    <row r="376" spans="1:7">
      <c r="A376" t="s">
        <v>6304</v>
      </c>
      <c r="B376" t="s">
        <v>4211</v>
      </c>
      <c r="C376" s="16" t="s">
        <v>1336</v>
      </c>
      <c r="D376" t="s">
        <v>2253</v>
      </c>
      <c r="E376" s="14">
        <v>5</v>
      </c>
      <c r="F376" s="16" t="s">
        <v>5961</v>
      </c>
      <c r="G376" s="19">
        <v>45634</v>
      </c>
    </row>
    <row r="377" spans="1:7">
      <c r="A377" t="s">
        <v>6305</v>
      </c>
      <c r="B377" t="s">
        <v>5451</v>
      </c>
      <c r="C377" s="16" t="s">
        <v>1802</v>
      </c>
      <c r="D377" t="s">
        <v>2261</v>
      </c>
      <c r="E377" s="14">
        <v>5</v>
      </c>
      <c r="F377" s="16" t="s">
        <v>5917</v>
      </c>
      <c r="G377" s="19">
        <v>46090</v>
      </c>
    </row>
    <row r="378" spans="1:7">
      <c r="A378" t="s">
        <v>6306</v>
      </c>
      <c r="B378" t="s">
        <v>2523</v>
      </c>
      <c r="C378" s="16" t="s">
        <v>1030</v>
      </c>
      <c r="D378" t="s">
        <v>2257</v>
      </c>
      <c r="E378" s="14" t="s">
        <v>39</v>
      </c>
      <c r="F378" s="16" t="s">
        <v>5946</v>
      </c>
      <c r="G378" s="19">
        <v>45155</v>
      </c>
    </row>
    <row r="379" spans="1:7">
      <c r="A379" t="s">
        <v>6307</v>
      </c>
      <c r="B379" t="s">
        <v>2773</v>
      </c>
      <c r="C379" s="16" t="s">
        <v>1308</v>
      </c>
      <c r="D379" t="s">
        <v>2237</v>
      </c>
      <c r="E379" s="14">
        <v>1</v>
      </c>
      <c r="F379" s="16" t="s">
        <v>5938</v>
      </c>
      <c r="G379" s="19">
        <v>45507</v>
      </c>
    </row>
    <row r="380" spans="1:7">
      <c r="A380" t="s">
        <v>6308</v>
      </c>
      <c r="B380" t="s">
        <v>3115</v>
      </c>
      <c r="C380" s="16" t="s">
        <v>949</v>
      </c>
      <c r="D380" t="s">
        <v>2198</v>
      </c>
      <c r="E380" s="14">
        <v>4</v>
      </c>
      <c r="F380" s="16" t="s">
        <v>5920</v>
      </c>
      <c r="G380" s="19">
        <v>45434</v>
      </c>
    </row>
    <row r="381" spans="1:7">
      <c r="A381" t="s">
        <v>6309</v>
      </c>
      <c r="B381" t="s">
        <v>4885</v>
      </c>
      <c r="C381" s="16" t="s">
        <v>846</v>
      </c>
      <c r="D381" t="s">
        <v>2198</v>
      </c>
      <c r="E381" s="14">
        <v>4</v>
      </c>
      <c r="F381" s="16" t="s">
        <v>5961</v>
      </c>
      <c r="G381" s="19">
        <v>45590</v>
      </c>
    </row>
    <row r="382" spans="1:7">
      <c r="A382" t="s">
        <v>6310</v>
      </c>
      <c r="B382" t="s">
        <v>2759</v>
      </c>
      <c r="C382" s="16" t="s">
        <v>725</v>
      </c>
      <c r="D382" t="s">
        <v>2273</v>
      </c>
      <c r="E382" s="14">
        <v>4</v>
      </c>
      <c r="F382" s="16" t="s">
        <v>5961</v>
      </c>
      <c r="G382" s="19">
        <v>45572</v>
      </c>
    </row>
    <row r="383" spans="1:7">
      <c r="A383" t="s">
        <v>6311</v>
      </c>
      <c r="B383" t="s">
        <v>4738</v>
      </c>
      <c r="C383" s="16" t="s">
        <v>748</v>
      </c>
      <c r="D383" t="s">
        <v>2225</v>
      </c>
      <c r="E383" s="14" t="s">
        <v>39</v>
      </c>
      <c r="F383" s="16" t="s">
        <v>5961</v>
      </c>
      <c r="G383" s="19">
        <v>45142</v>
      </c>
    </row>
    <row r="384" spans="1:7">
      <c r="A384" t="s">
        <v>6312</v>
      </c>
      <c r="B384" t="s">
        <v>3634</v>
      </c>
      <c r="C384" s="16" t="s">
        <v>787</v>
      </c>
      <c r="D384" t="s">
        <v>2257</v>
      </c>
      <c r="E384" s="14">
        <v>3</v>
      </c>
      <c r="F384" s="16" t="s">
        <v>5926</v>
      </c>
      <c r="G384" s="19">
        <v>45919</v>
      </c>
    </row>
    <row r="385" spans="1:7">
      <c r="A385" t="s">
        <v>6313</v>
      </c>
      <c r="B385" t="s">
        <v>5349</v>
      </c>
      <c r="C385" s="16" t="s">
        <v>1572</v>
      </c>
      <c r="D385" t="s">
        <v>2247</v>
      </c>
      <c r="E385" s="14">
        <v>3</v>
      </c>
      <c r="F385" s="16" t="s">
        <v>5933</v>
      </c>
      <c r="G385" s="19">
        <v>45930</v>
      </c>
    </row>
    <row r="386" spans="1:7">
      <c r="A386" t="s">
        <v>6314</v>
      </c>
      <c r="B386" t="s">
        <v>5734</v>
      </c>
      <c r="C386" s="16" t="s">
        <v>2030</v>
      </c>
      <c r="D386" t="s">
        <v>2271</v>
      </c>
      <c r="E386" s="14">
        <v>2</v>
      </c>
      <c r="F386" s="16" t="s">
        <v>23</v>
      </c>
      <c r="G386" s="19">
        <v>45600</v>
      </c>
    </row>
    <row r="387" spans="1:7">
      <c r="A387" t="s">
        <v>6315</v>
      </c>
      <c r="B387" t="s">
        <v>2506</v>
      </c>
      <c r="C387" s="16" t="s">
        <v>1486</v>
      </c>
      <c r="D387" t="s">
        <v>2187</v>
      </c>
      <c r="E387" s="14">
        <v>1</v>
      </c>
      <c r="F387" s="16" t="s">
        <v>5926</v>
      </c>
      <c r="G387" s="19">
        <v>45185</v>
      </c>
    </row>
    <row r="388" spans="1:7">
      <c r="A388" t="s">
        <v>6316</v>
      </c>
      <c r="B388" t="s">
        <v>2641</v>
      </c>
      <c r="C388" s="16" t="s">
        <v>1642</v>
      </c>
      <c r="D388" t="s">
        <v>2209</v>
      </c>
      <c r="E388" s="14">
        <v>4</v>
      </c>
      <c r="F388" s="16" t="s">
        <v>5979</v>
      </c>
      <c r="G388" s="19">
        <v>45702</v>
      </c>
    </row>
    <row r="389" spans="1:7">
      <c r="A389" t="s">
        <v>6317</v>
      </c>
      <c r="B389" t="s">
        <v>2900</v>
      </c>
      <c r="C389" s="16" t="s">
        <v>618</v>
      </c>
      <c r="D389" t="s">
        <v>2202</v>
      </c>
      <c r="E389" s="14">
        <v>4</v>
      </c>
      <c r="F389" s="16" t="s">
        <v>5917</v>
      </c>
      <c r="G389" s="19">
        <v>45241</v>
      </c>
    </row>
    <row r="390" spans="1:7">
      <c r="A390" t="s">
        <v>6318</v>
      </c>
      <c r="B390" t="s">
        <v>5739</v>
      </c>
      <c r="C390" s="16" t="s">
        <v>1347</v>
      </c>
      <c r="D390" t="s">
        <v>2257</v>
      </c>
      <c r="E390" s="14">
        <v>5</v>
      </c>
      <c r="F390" s="16" t="s">
        <v>5961</v>
      </c>
      <c r="G390" s="19">
        <v>46170</v>
      </c>
    </row>
    <row r="391" spans="1:7">
      <c r="A391" t="s">
        <v>6319</v>
      </c>
      <c r="B391" t="s">
        <v>3472</v>
      </c>
      <c r="C391" s="16" t="s">
        <v>125</v>
      </c>
      <c r="D391" t="s">
        <v>2237</v>
      </c>
      <c r="E391" s="14" t="s">
        <v>39</v>
      </c>
      <c r="F391" s="16" t="s">
        <v>23</v>
      </c>
      <c r="G391" s="19">
        <v>45782</v>
      </c>
    </row>
    <row r="392" spans="1:7">
      <c r="A392" t="s">
        <v>6320</v>
      </c>
      <c r="B392" t="s">
        <v>3834</v>
      </c>
      <c r="C392" s="16" t="s">
        <v>1884</v>
      </c>
      <c r="D392" t="s">
        <v>2198</v>
      </c>
      <c r="E392" s="14">
        <v>5</v>
      </c>
      <c r="F392" s="16" t="s">
        <v>5920</v>
      </c>
      <c r="G392" s="19">
        <v>45903</v>
      </c>
    </row>
    <row r="393" spans="1:7">
      <c r="A393" t="s">
        <v>6321</v>
      </c>
      <c r="B393" t="s">
        <v>5450</v>
      </c>
      <c r="C393" s="16" t="s">
        <v>239</v>
      </c>
      <c r="D393" t="s">
        <v>2273</v>
      </c>
      <c r="E393" s="14">
        <v>1</v>
      </c>
      <c r="F393" s="16" t="s">
        <v>5946</v>
      </c>
      <c r="G393" s="19">
        <v>45267</v>
      </c>
    </row>
    <row r="394" spans="1:7">
      <c r="A394" t="s">
        <v>6322</v>
      </c>
      <c r="B394" t="s">
        <v>2733</v>
      </c>
      <c r="C394" s="16" t="s">
        <v>481</v>
      </c>
      <c r="D394" t="s">
        <v>2244</v>
      </c>
      <c r="E394" s="14">
        <v>1</v>
      </c>
      <c r="F394" s="16" t="s">
        <v>5938</v>
      </c>
      <c r="G394" s="19">
        <v>45515</v>
      </c>
    </row>
    <row r="395" spans="1:7">
      <c r="A395" t="s">
        <v>6323</v>
      </c>
      <c r="B395" t="s">
        <v>2998</v>
      </c>
      <c r="C395" s="16" t="s">
        <v>1809</v>
      </c>
      <c r="D395" t="s">
        <v>2218</v>
      </c>
      <c r="E395" s="14">
        <v>4</v>
      </c>
      <c r="F395" s="16" t="s">
        <v>5928</v>
      </c>
      <c r="G395" s="19">
        <v>46089</v>
      </c>
    </row>
    <row r="396" spans="1:7">
      <c r="A396" t="s">
        <v>6324</v>
      </c>
      <c r="B396" t="s">
        <v>3910</v>
      </c>
      <c r="C396" s="16" t="s">
        <v>745</v>
      </c>
      <c r="D396" t="s">
        <v>2222</v>
      </c>
      <c r="E396" s="14">
        <v>3</v>
      </c>
      <c r="F396" s="16" t="s">
        <v>5961</v>
      </c>
      <c r="G396" s="19">
        <v>45514</v>
      </c>
    </row>
    <row r="397" spans="1:7">
      <c r="A397" t="s">
        <v>6325</v>
      </c>
      <c r="B397" t="s">
        <v>2694</v>
      </c>
      <c r="C397" s="16" t="s">
        <v>116</v>
      </c>
      <c r="D397" t="s">
        <v>2264</v>
      </c>
      <c r="E397" s="14">
        <v>5</v>
      </c>
      <c r="F397" s="16" t="s">
        <v>5979</v>
      </c>
      <c r="G397" s="19">
        <v>45137</v>
      </c>
    </row>
    <row r="398" spans="1:7">
      <c r="A398" t="s">
        <v>6326</v>
      </c>
      <c r="B398" t="s">
        <v>2440</v>
      </c>
      <c r="C398" s="16" t="s">
        <v>1770</v>
      </c>
      <c r="D398" t="s">
        <v>2247</v>
      </c>
      <c r="E398" s="14" t="s">
        <v>39</v>
      </c>
      <c r="F398" s="16" t="s">
        <v>5933</v>
      </c>
      <c r="G398" s="19">
        <v>45834</v>
      </c>
    </row>
    <row r="399" spans="1:7">
      <c r="A399" t="s">
        <v>6327</v>
      </c>
      <c r="B399" t="s">
        <v>3721</v>
      </c>
      <c r="C399" s="16" t="s">
        <v>1809</v>
      </c>
      <c r="D399" t="s">
        <v>2222</v>
      </c>
      <c r="E399" s="14">
        <v>4</v>
      </c>
      <c r="F399" s="16" t="s">
        <v>5979</v>
      </c>
      <c r="G399" s="19">
        <v>45861</v>
      </c>
    </row>
    <row r="400" spans="1:7">
      <c r="A400" t="s">
        <v>6328</v>
      </c>
      <c r="B400" t="s">
        <v>3073</v>
      </c>
      <c r="C400" s="16" t="s">
        <v>121</v>
      </c>
      <c r="D400" t="s">
        <v>2237</v>
      </c>
      <c r="E400" s="14" t="s">
        <v>39</v>
      </c>
      <c r="F400" s="16" t="s">
        <v>5922</v>
      </c>
      <c r="G400" s="19">
        <v>45465</v>
      </c>
    </row>
    <row r="401" spans="1:7">
      <c r="A401" t="s">
        <v>6329</v>
      </c>
      <c r="B401" t="s">
        <v>3835</v>
      </c>
      <c r="C401" s="16" t="s">
        <v>2122</v>
      </c>
      <c r="D401" t="s">
        <v>2231</v>
      </c>
      <c r="E401" s="14">
        <v>2</v>
      </c>
      <c r="F401" s="16" t="s">
        <v>5973</v>
      </c>
      <c r="G401" s="19">
        <v>45978</v>
      </c>
    </row>
    <row r="402" spans="1:7">
      <c r="A402" t="s">
        <v>6330</v>
      </c>
      <c r="B402" t="s">
        <v>3247</v>
      </c>
      <c r="C402" s="16" t="s">
        <v>983</v>
      </c>
      <c r="D402" t="s">
        <v>2202</v>
      </c>
      <c r="E402" s="14" t="s">
        <v>39</v>
      </c>
      <c r="F402" s="16" t="s">
        <v>5946</v>
      </c>
      <c r="G402" s="19">
        <v>46033</v>
      </c>
    </row>
    <row r="403" spans="1:7">
      <c r="A403" t="s">
        <v>6331</v>
      </c>
      <c r="B403" t="s">
        <v>3986</v>
      </c>
      <c r="C403" s="16" t="s">
        <v>697</v>
      </c>
      <c r="D403" t="s">
        <v>2218</v>
      </c>
      <c r="E403" s="14">
        <v>2</v>
      </c>
      <c r="F403" s="16" t="s">
        <v>5920</v>
      </c>
      <c r="G403" s="19">
        <v>45957</v>
      </c>
    </row>
    <row r="404" spans="1:7">
      <c r="A404" t="s">
        <v>6332</v>
      </c>
      <c r="B404" t="s">
        <v>3262</v>
      </c>
      <c r="C404" s="16" t="s">
        <v>163</v>
      </c>
      <c r="D404" t="s">
        <v>2231</v>
      </c>
      <c r="E404" s="14" t="s">
        <v>39</v>
      </c>
      <c r="F404" s="16" t="s">
        <v>5920</v>
      </c>
      <c r="G404" s="19">
        <v>45544</v>
      </c>
    </row>
    <row r="405" spans="1:7">
      <c r="A405" t="s">
        <v>6333</v>
      </c>
      <c r="B405" t="s">
        <v>3881</v>
      </c>
      <c r="C405" s="16" t="s">
        <v>103</v>
      </c>
      <c r="D405" t="s">
        <v>2218</v>
      </c>
      <c r="E405" s="14">
        <v>2</v>
      </c>
      <c r="F405" s="16" t="s">
        <v>5917</v>
      </c>
      <c r="G405" s="19">
        <v>45472</v>
      </c>
    </row>
    <row r="406" spans="1:7">
      <c r="A406" t="s">
        <v>6334</v>
      </c>
      <c r="B406" t="s">
        <v>3363</v>
      </c>
      <c r="C406" s="16" t="s">
        <v>239</v>
      </c>
      <c r="D406" t="s">
        <v>2241</v>
      </c>
      <c r="E406" s="14">
        <v>2</v>
      </c>
      <c r="F406" s="16" t="s">
        <v>5938</v>
      </c>
      <c r="G406" s="19">
        <v>46131</v>
      </c>
    </row>
    <row r="407" spans="1:7">
      <c r="A407" t="s">
        <v>6335</v>
      </c>
      <c r="B407" t="s">
        <v>4406</v>
      </c>
      <c r="C407" s="16" t="s">
        <v>1327</v>
      </c>
      <c r="D407" t="s">
        <v>2269</v>
      </c>
      <c r="E407" s="14">
        <v>5</v>
      </c>
      <c r="F407" s="16" t="s">
        <v>5926</v>
      </c>
      <c r="G407" s="19">
        <v>45886</v>
      </c>
    </row>
    <row r="408" spans="1:7">
      <c r="A408" t="s">
        <v>6336</v>
      </c>
      <c r="B408" t="s">
        <v>4669</v>
      </c>
      <c r="C408" s="16" t="s">
        <v>1339</v>
      </c>
      <c r="D408" t="s">
        <v>2231</v>
      </c>
      <c r="E408" s="14">
        <v>5</v>
      </c>
      <c r="F408" s="16" t="s">
        <v>5928</v>
      </c>
      <c r="G408" s="19">
        <v>45703</v>
      </c>
    </row>
    <row r="409" spans="1:7">
      <c r="A409" t="s">
        <v>6337</v>
      </c>
      <c r="B409" t="s">
        <v>2970</v>
      </c>
      <c r="C409" s="16" t="s">
        <v>1520</v>
      </c>
      <c r="D409" t="s">
        <v>2231</v>
      </c>
      <c r="E409" s="14">
        <v>5</v>
      </c>
      <c r="F409" s="16" t="s">
        <v>5979</v>
      </c>
      <c r="G409" s="19">
        <v>45485</v>
      </c>
    </row>
    <row r="410" spans="1:7">
      <c r="A410" t="s">
        <v>6338</v>
      </c>
      <c r="B410" t="s">
        <v>4117</v>
      </c>
      <c r="C410" s="16" t="s">
        <v>675</v>
      </c>
      <c r="D410" t="s">
        <v>2233</v>
      </c>
      <c r="E410" s="14">
        <v>4</v>
      </c>
      <c r="F410" s="16" t="s">
        <v>5920</v>
      </c>
      <c r="G410" s="19">
        <v>45390</v>
      </c>
    </row>
    <row r="411" spans="1:7">
      <c r="A411" t="s">
        <v>6339</v>
      </c>
      <c r="B411" t="s">
        <v>3148</v>
      </c>
      <c r="C411" s="16" t="s">
        <v>1740</v>
      </c>
      <c r="D411" t="s">
        <v>2193</v>
      </c>
      <c r="E411" s="14" t="s">
        <v>39</v>
      </c>
      <c r="F411" s="16" t="s">
        <v>5946</v>
      </c>
      <c r="G411" s="19">
        <v>46099</v>
      </c>
    </row>
    <row r="412" spans="1:7">
      <c r="A412" t="s">
        <v>6340</v>
      </c>
      <c r="B412" t="s">
        <v>2482</v>
      </c>
      <c r="C412" s="16" t="s">
        <v>1468</v>
      </c>
      <c r="D412" t="s">
        <v>2267</v>
      </c>
      <c r="E412" s="14" t="s">
        <v>39</v>
      </c>
      <c r="F412" s="16" t="s">
        <v>5920</v>
      </c>
      <c r="G412" s="19">
        <v>46104</v>
      </c>
    </row>
    <row r="413" spans="1:7">
      <c r="A413" t="s">
        <v>6341</v>
      </c>
      <c r="B413" t="s">
        <v>4070</v>
      </c>
      <c r="C413" s="16" t="s">
        <v>339</v>
      </c>
      <c r="D413" t="s">
        <v>2247</v>
      </c>
      <c r="E413" s="14">
        <v>1</v>
      </c>
      <c r="F413" s="16" t="s">
        <v>5973</v>
      </c>
      <c r="G413" s="19">
        <v>45190</v>
      </c>
    </row>
    <row r="414" spans="1:7">
      <c r="A414" t="s">
        <v>6342</v>
      </c>
      <c r="B414" t="s">
        <v>4753</v>
      </c>
      <c r="C414" s="16" t="s">
        <v>343</v>
      </c>
      <c r="D414" t="s">
        <v>2231</v>
      </c>
      <c r="E414" s="14" t="s">
        <v>39</v>
      </c>
      <c r="F414" s="16" t="s">
        <v>5926</v>
      </c>
      <c r="G414" s="19">
        <v>45828</v>
      </c>
    </row>
    <row r="415" spans="1:7">
      <c r="A415" t="s">
        <v>6343</v>
      </c>
      <c r="B415" t="s">
        <v>5707</v>
      </c>
      <c r="C415" s="16" t="s">
        <v>137</v>
      </c>
      <c r="D415" t="s">
        <v>2271</v>
      </c>
      <c r="E415" s="14">
        <v>3</v>
      </c>
      <c r="F415" s="16" t="s">
        <v>5922</v>
      </c>
      <c r="G415" s="19">
        <v>45447</v>
      </c>
    </row>
    <row r="416" spans="1:7">
      <c r="A416" t="s">
        <v>6344</v>
      </c>
      <c r="B416" t="s">
        <v>2739</v>
      </c>
      <c r="C416" s="16" t="s">
        <v>1820</v>
      </c>
      <c r="D416" t="s">
        <v>2209</v>
      </c>
      <c r="E416" s="14">
        <v>5</v>
      </c>
      <c r="F416" s="16" t="s">
        <v>5938</v>
      </c>
      <c r="G416" s="19">
        <v>45655</v>
      </c>
    </row>
    <row r="417" spans="1:7">
      <c r="A417" t="s">
        <v>6345</v>
      </c>
      <c r="B417" t="s">
        <v>4020</v>
      </c>
      <c r="C417" s="16" t="s">
        <v>1303</v>
      </c>
      <c r="D417" t="s">
        <v>2259</v>
      </c>
      <c r="E417" s="14" t="s">
        <v>39</v>
      </c>
      <c r="F417" s="16" t="s">
        <v>5946</v>
      </c>
      <c r="G417" s="19">
        <v>45222</v>
      </c>
    </row>
    <row r="418" spans="1:7">
      <c r="A418" t="s">
        <v>6346</v>
      </c>
      <c r="B418" t="s">
        <v>4183</v>
      </c>
      <c r="C418" s="16" t="s">
        <v>1436</v>
      </c>
      <c r="D418" t="s">
        <v>2267</v>
      </c>
      <c r="E418" s="14">
        <v>4</v>
      </c>
      <c r="F418" s="16" t="s">
        <v>5917</v>
      </c>
      <c r="G418" s="19">
        <v>45986</v>
      </c>
    </row>
    <row r="419" spans="1:7">
      <c r="A419" t="s">
        <v>6347</v>
      </c>
      <c r="B419" t="s">
        <v>3659</v>
      </c>
      <c r="C419" s="16" t="s">
        <v>239</v>
      </c>
      <c r="D419" t="s">
        <v>2187</v>
      </c>
      <c r="E419" s="14">
        <v>2</v>
      </c>
      <c r="F419" s="16" t="s">
        <v>5973</v>
      </c>
      <c r="G419" s="19">
        <v>45981</v>
      </c>
    </row>
    <row r="420" spans="1:7">
      <c r="A420" t="s">
        <v>6348</v>
      </c>
      <c r="B420" t="s">
        <v>4454</v>
      </c>
      <c r="C420" s="16" t="s">
        <v>1558</v>
      </c>
      <c r="D420" t="s">
        <v>2205</v>
      </c>
      <c r="E420" s="14" t="s">
        <v>39</v>
      </c>
      <c r="F420" s="16" t="s">
        <v>5917</v>
      </c>
      <c r="G420" s="19">
        <v>45215</v>
      </c>
    </row>
    <row r="421" spans="1:7">
      <c r="A421" t="s">
        <v>6349</v>
      </c>
      <c r="B421" t="s">
        <v>4814</v>
      </c>
      <c r="C421" s="16" t="s">
        <v>250</v>
      </c>
      <c r="D421" t="s">
        <v>2273</v>
      </c>
      <c r="E421" s="14">
        <v>4</v>
      </c>
      <c r="F421" s="16" t="s">
        <v>5931</v>
      </c>
      <c r="G421" s="19">
        <v>45179</v>
      </c>
    </row>
    <row r="422" spans="1:7">
      <c r="A422" t="s">
        <v>6350</v>
      </c>
      <c r="B422" t="s">
        <v>3332</v>
      </c>
      <c r="C422" s="16" t="s">
        <v>99</v>
      </c>
      <c r="D422" t="s">
        <v>2261</v>
      </c>
      <c r="E422" s="14" t="s">
        <v>39</v>
      </c>
      <c r="F422" s="16" t="s">
        <v>5946</v>
      </c>
      <c r="G422" s="19">
        <v>45507</v>
      </c>
    </row>
    <row r="423" spans="1:7">
      <c r="A423" t="s">
        <v>6351</v>
      </c>
      <c r="B423" t="s">
        <v>5489</v>
      </c>
      <c r="C423" s="16" t="s">
        <v>1295</v>
      </c>
      <c r="D423" t="s">
        <v>2205</v>
      </c>
      <c r="E423" s="14">
        <v>5</v>
      </c>
      <c r="F423" s="16" t="s">
        <v>5938</v>
      </c>
      <c r="G423" s="19">
        <v>45089</v>
      </c>
    </row>
    <row r="424" spans="1:7">
      <c r="A424" t="s">
        <v>6352</v>
      </c>
      <c r="B424" t="s">
        <v>3289</v>
      </c>
      <c r="C424" s="16" t="s">
        <v>1173</v>
      </c>
      <c r="D424" t="s">
        <v>2244</v>
      </c>
      <c r="E424" s="14">
        <v>5</v>
      </c>
      <c r="F424" s="16" t="s">
        <v>23</v>
      </c>
      <c r="G424" s="19">
        <v>45976</v>
      </c>
    </row>
    <row r="425" spans="1:7">
      <c r="A425" t="s">
        <v>6353</v>
      </c>
      <c r="B425" t="s">
        <v>5028</v>
      </c>
      <c r="C425" s="16" t="s">
        <v>2077</v>
      </c>
      <c r="D425" t="s">
        <v>2259</v>
      </c>
      <c r="E425" s="14">
        <v>5</v>
      </c>
      <c r="F425" s="16" t="s">
        <v>5961</v>
      </c>
      <c r="G425" s="19">
        <v>45951</v>
      </c>
    </row>
    <row r="426" spans="1:7">
      <c r="A426" t="s">
        <v>6354</v>
      </c>
      <c r="B426" t="s">
        <v>2841</v>
      </c>
      <c r="C426" s="16" t="s">
        <v>936</v>
      </c>
      <c r="D426" t="s">
        <v>2218</v>
      </c>
      <c r="E426" s="14">
        <v>5</v>
      </c>
      <c r="F426" s="16" t="s">
        <v>5931</v>
      </c>
      <c r="G426" s="19">
        <v>46044</v>
      </c>
    </row>
    <row r="427" spans="1:7">
      <c r="A427" t="s">
        <v>6355</v>
      </c>
      <c r="B427" t="s">
        <v>4171</v>
      </c>
      <c r="C427" s="16" t="s">
        <v>745</v>
      </c>
      <c r="D427" t="s">
        <v>2233</v>
      </c>
      <c r="E427" s="14">
        <v>5</v>
      </c>
      <c r="F427" s="16" t="s">
        <v>5946</v>
      </c>
      <c r="G427" s="19">
        <v>44933</v>
      </c>
    </row>
    <row r="428" spans="1:7">
      <c r="A428" t="s">
        <v>6356</v>
      </c>
      <c r="B428" t="s">
        <v>4868</v>
      </c>
      <c r="C428" s="16" t="s">
        <v>965</v>
      </c>
      <c r="D428" t="s">
        <v>2231</v>
      </c>
      <c r="E428" s="14">
        <v>4</v>
      </c>
      <c r="F428" s="16" t="s">
        <v>5928</v>
      </c>
      <c r="G428" s="19">
        <v>45112</v>
      </c>
    </row>
    <row r="429" spans="1:7">
      <c r="A429" t="s">
        <v>6357</v>
      </c>
      <c r="B429" t="s">
        <v>2534</v>
      </c>
      <c r="C429" s="16" t="s">
        <v>922</v>
      </c>
      <c r="D429" t="s">
        <v>2187</v>
      </c>
      <c r="E429" s="14">
        <v>3</v>
      </c>
      <c r="F429" s="16" t="s">
        <v>5924</v>
      </c>
      <c r="G429" s="19">
        <v>45982</v>
      </c>
    </row>
    <row r="430" spans="1:7">
      <c r="A430" t="s">
        <v>6358</v>
      </c>
      <c r="B430" t="s">
        <v>5183</v>
      </c>
      <c r="C430" s="16" t="s">
        <v>842</v>
      </c>
      <c r="D430" t="s">
        <v>2235</v>
      </c>
      <c r="E430" s="14">
        <v>1</v>
      </c>
      <c r="F430" s="16" t="s">
        <v>5928</v>
      </c>
      <c r="G430" s="19">
        <v>46051</v>
      </c>
    </row>
    <row r="431" spans="1:7">
      <c r="A431" t="s">
        <v>6359</v>
      </c>
      <c r="B431" t="s">
        <v>4701</v>
      </c>
      <c r="C431" s="16" t="s">
        <v>2132</v>
      </c>
      <c r="D431" t="s">
        <v>2251</v>
      </c>
      <c r="E431" s="14">
        <v>3</v>
      </c>
      <c r="F431" s="16" t="s">
        <v>5979</v>
      </c>
      <c r="G431" s="19">
        <v>45774</v>
      </c>
    </row>
    <row r="432" spans="1:7">
      <c r="A432" t="s">
        <v>6360</v>
      </c>
      <c r="B432" t="s">
        <v>4193</v>
      </c>
      <c r="C432" s="16" t="s">
        <v>574</v>
      </c>
      <c r="D432" t="s">
        <v>2205</v>
      </c>
      <c r="E432" s="14" t="s">
        <v>39</v>
      </c>
      <c r="F432" s="16" t="s">
        <v>5924</v>
      </c>
      <c r="G432" s="19">
        <v>45181</v>
      </c>
    </row>
    <row r="433" spans="1:7">
      <c r="A433" t="s">
        <v>6361</v>
      </c>
      <c r="B433" t="s">
        <v>4901</v>
      </c>
      <c r="C433" s="16" t="s">
        <v>1981</v>
      </c>
      <c r="D433" t="s">
        <v>2244</v>
      </c>
      <c r="E433" s="14">
        <v>1</v>
      </c>
      <c r="F433" s="16" t="s">
        <v>5926</v>
      </c>
      <c r="G433" s="19">
        <v>45784</v>
      </c>
    </row>
    <row r="434" spans="1:7">
      <c r="A434" t="s">
        <v>6362</v>
      </c>
      <c r="B434" t="s">
        <v>5871</v>
      </c>
      <c r="C434" s="16" t="s">
        <v>1565</v>
      </c>
      <c r="D434" t="s">
        <v>2249</v>
      </c>
      <c r="E434" s="14">
        <v>1</v>
      </c>
      <c r="F434" s="16" t="s">
        <v>5933</v>
      </c>
      <c r="G434" s="19">
        <v>46052</v>
      </c>
    </row>
    <row r="435" spans="1:7">
      <c r="A435" t="s">
        <v>6363</v>
      </c>
      <c r="B435" t="s">
        <v>5693</v>
      </c>
      <c r="C435" s="16" t="s">
        <v>299</v>
      </c>
      <c r="D435" t="s">
        <v>2257</v>
      </c>
      <c r="E435" s="14">
        <v>5</v>
      </c>
      <c r="F435" s="16" t="s">
        <v>5933</v>
      </c>
      <c r="G435" s="19">
        <v>45602</v>
      </c>
    </row>
    <row r="436" spans="1:7">
      <c r="A436" t="s">
        <v>6364</v>
      </c>
      <c r="B436" t="s">
        <v>2879</v>
      </c>
      <c r="C436" s="16" t="s">
        <v>1456</v>
      </c>
      <c r="D436" t="s">
        <v>2187</v>
      </c>
      <c r="E436" s="14">
        <v>3</v>
      </c>
      <c r="F436" s="16" t="s">
        <v>5928</v>
      </c>
      <c r="G436" s="19">
        <v>46055</v>
      </c>
    </row>
    <row r="437" spans="1:7">
      <c r="A437" t="s">
        <v>6365</v>
      </c>
      <c r="B437" t="s">
        <v>5697</v>
      </c>
      <c r="C437" s="16" t="s">
        <v>626</v>
      </c>
      <c r="D437" t="s">
        <v>2233</v>
      </c>
      <c r="E437" s="14">
        <v>4</v>
      </c>
      <c r="F437" s="16" t="s">
        <v>5946</v>
      </c>
      <c r="G437" s="19">
        <v>45959</v>
      </c>
    </row>
    <row r="438" spans="1:7">
      <c r="A438" t="s">
        <v>6366</v>
      </c>
      <c r="B438" t="s">
        <v>3720</v>
      </c>
      <c r="C438" s="16" t="s">
        <v>1711</v>
      </c>
      <c r="D438" t="s">
        <v>2237</v>
      </c>
      <c r="E438" s="14">
        <v>4</v>
      </c>
      <c r="F438" s="16" t="s">
        <v>5920</v>
      </c>
      <c r="G438" s="19">
        <v>45213</v>
      </c>
    </row>
    <row r="439" spans="1:7">
      <c r="A439" t="s">
        <v>6367</v>
      </c>
      <c r="B439" t="s">
        <v>3525</v>
      </c>
      <c r="C439" s="16" t="s">
        <v>48</v>
      </c>
      <c r="D439" t="s">
        <v>2205</v>
      </c>
      <c r="E439" s="14">
        <v>3</v>
      </c>
      <c r="F439" s="16" t="s">
        <v>5940</v>
      </c>
      <c r="G439" s="19">
        <v>45231</v>
      </c>
    </row>
    <row r="440" spans="1:7">
      <c r="A440" t="s">
        <v>6368</v>
      </c>
      <c r="B440" t="s">
        <v>3767</v>
      </c>
      <c r="C440" s="16" t="s">
        <v>1306</v>
      </c>
      <c r="D440" t="s">
        <v>2261</v>
      </c>
      <c r="E440" s="14">
        <v>4</v>
      </c>
      <c r="F440" s="16" t="s">
        <v>5931</v>
      </c>
      <c r="G440" s="19">
        <v>45869</v>
      </c>
    </row>
    <row r="441" spans="1:7">
      <c r="A441" t="s">
        <v>6369</v>
      </c>
      <c r="B441" t="s">
        <v>3286</v>
      </c>
      <c r="C441" s="16" t="s">
        <v>85</v>
      </c>
      <c r="D441" t="s">
        <v>2253</v>
      </c>
      <c r="E441" s="14">
        <v>5</v>
      </c>
      <c r="F441" s="16" t="s">
        <v>23</v>
      </c>
      <c r="G441" s="19">
        <v>45316</v>
      </c>
    </row>
    <row r="442" spans="1:7">
      <c r="A442" t="s">
        <v>6370</v>
      </c>
      <c r="B442" t="s">
        <v>2915</v>
      </c>
      <c r="C442" s="16" t="s">
        <v>1165</v>
      </c>
      <c r="D442" t="s">
        <v>2235</v>
      </c>
      <c r="E442" s="14">
        <v>4</v>
      </c>
      <c r="F442" s="16" t="s">
        <v>23</v>
      </c>
      <c r="G442" s="19">
        <v>45915</v>
      </c>
    </row>
    <row r="443" spans="1:7">
      <c r="A443" t="s">
        <v>6371</v>
      </c>
      <c r="B443" t="s">
        <v>2986</v>
      </c>
      <c r="C443" s="16" t="s">
        <v>1114</v>
      </c>
      <c r="D443" t="s">
        <v>2251</v>
      </c>
      <c r="E443" s="14">
        <v>4</v>
      </c>
      <c r="F443" s="16" t="s">
        <v>5931</v>
      </c>
      <c r="G443" s="19">
        <v>45186</v>
      </c>
    </row>
    <row r="444" spans="1:7">
      <c r="A444" t="s">
        <v>6372</v>
      </c>
      <c r="B444" t="s">
        <v>3928</v>
      </c>
      <c r="C444" s="16" t="s">
        <v>896</v>
      </c>
      <c r="D444" t="s">
        <v>2187</v>
      </c>
      <c r="E444" s="14">
        <v>4</v>
      </c>
      <c r="F444" s="16" t="s">
        <v>5961</v>
      </c>
      <c r="G444" s="19">
        <v>45198</v>
      </c>
    </row>
    <row r="445" spans="1:7">
      <c r="A445" t="s">
        <v>6373</v>
      </c>
      <c r="B445" t="s">
        <v>3038</v>
      </c>
      <c r="C445" s="16" t="s">
        <v>1428</v>
      </c>
      <c r="D445" t="s">
        <v>2237</v>
      </c>
      <c r="E445" s="14">
        <v>2</v>
      </c>
      <c r="F445" s="16" t="s">
        <v>5922</v>
      </c>
      <c r="G445" s="19">
        <v>46140</v>
      </c>
    </row>
    <row r="446" spans="1:7">
      <c r="A446" t="s">
        <v>6374</v>
      </c>
      <c r="B446" t="s">
        <v>4614</v>
      </c>
      <c r="C446" s="16" t="s">
        <v>1303</v>
      </c>
      <c r="D446" t="s">
        <v>2259</v>
      </c>
      <c r="E446" s="14">
        <v>5</v>
      </c>
      <c r="F446" s="16" t="s">
        <v>5926</v>
      </c>
      <c r="G446" s="19">
        <v>45102</v>
      </c>
    </row>
    <row r="447" spans="1:7">
      <c r="A447" t="s">
        <v>6375</v>
      </c>
      <c r="B447" t="s">
        <v>3370</v>
      </c>
      <c r="C447" s="16" t="s">
        <v>2159</v>
      </c>
      <c r="D447" t="s">
        <v>2198</v>
      </c>
      <c r="E447" s="14" t="s">
        <v>39</v>
      </c>
      <c r="F447" s="16" t="s">
        <v>5917</v>
      </c>
      <c r="G447" s="19">
        <v>45965</v>
      </c>
    </row>
    <row r="448" spans="1:7">
      <c r="A448" t="s">
        <v>6376</v>
      </c>
      <c r="B448" t="s">
        <v>3542</v>
      </c>
      <c r="C448" s="16" t="s">
        <v>842</v>
      </c>
      <c r="D448" t="s">
        <v>2209</v>
      </c>
      <c r="E448" s="14">
        <v>1</v>
      </c>
      <c r="F448" s="16" t="s">
        <v>5946</v>
      </c>
      <c r="G448" s="19">
        <v>45325</v>
      </c>
    </row>
    <row r="449" spans="1:7">
      <c r="A449" t="s">
        <v>6377</v>
      </c>
      <c r="B449" t="s">
        <v>5758</v>
      </c>
      <c r="C449" s="16" t="s">
        <v>1820</v>
      </c>
      <c r="D449" t="s">
        <v>2261</v>
      </c>
      <c r="E449" s="14">
        <v>4</v>
      </c>
      <c r="F449" s="16" t="s">
        <v>5928</v>
      </c>
      <c r="G449" s="19">
        <v>45152</v>
      </c>
    </row>
    <row r="450" spans="1:7">
      <c r="A450" t="s">
        <v>6378</v>
      </c>
      <c r="B450" t="s">
        <v>4275</v>
      </c>
      <c r="C450" s="16" t="s">
        <v>453</v>
      </c>
      <c r="D450" t="s">
        <v>2269</v>
      </c>
      <c r="E450" s="14">
        <v>2</v>
      </c>
      <c r="F450" s="16" t="s">
        <v>5979</v>
      </c>
      <c r="G450" s="19">
        <v>45185</v>
      </c>
    </row>
    <row r="451" spans="1:7">
      <c r="A451" t="s">
        <v>6379</v>
      </c>
      <c r="B451" t="s">
        <v>3638</v>
      </c>
      <c r="C451" s="16" t="s">
        <v>1599</v>
      </c>
      <c r="D451" t="s">
        <v>2225</v>
      </c>
      <c r="E451" s="14">
        <v>3</v>
      </c>
      <c r="F451" s="16" t="s">
        <v>5926</v>
      </c>
      <c r="G451" s="19">
        <v>45449</v>
      </c>
    </row>
    <row r="452" spans="1:7">
      <c r="A452" t="s">
        <v>6380</v>
      </c>
      <c r="B452" t="s">
        <v>4318</v>
      </c>
      <c r="C452" s="16" t="s">
        <v>498</v>
      </c>
      <c r="D452" t="s">
        <v>2253</v>
      </c>
      <c r="E452" s="14" t="s">
        <v>39</v>
      </c>
      <c r="F452" s="16" t="s">
        <v>5920</v>
      </c>
      <c r="G452" s="19">
        <v>45678</v>
      </c>
    </row>
    <row r="453" spans="1:7">
      <c r="A453" t="s">
        <v>6381</v>
      </c>
      <c r="B453" t="s">
        <v>4055</v>
      </c>
      <c r="C453" s="16" t="s">
        <v>1842</v>
      </c>
      <c r="D453" t="s">
        <v>2198</v>
      </c>
      <c r="E453" s="14">
        <v>5</v>
      </c>
      <c r="F453" s="16" t="s">
        <v>5922</v>
      </c>
      <c r="G453" s="19">
        <v>45619</v>
      </c>
    </row>
    <row r="454" spans="1:7">
      <c r="A454" t="s">
        <v>6382</v>
      </c>
      <c r="B454" t="s">
        <v>3248</v>
      </c>
      <c r="C454" s="16" t="s">
        <v>1723</v>
      </c>
      <c r="D454" t="s">
        <v>2271</v>
      </c>
      <c r="E454" s="14">
        <v>4</v>
      </c>
      <c r="F454" s="16" t="s">
        <v>5922</v>
      </c>
      <c r="G454" s="19">
        <v>45314</v>
      </c>
    </row>
    <row r="455" spans="1:7">
      <c r="A455" t="s">
        <v>6383</v>
      </c>
      <c r="B455" t="s">
        <v>5278</v>
      </c>
      <c r="C455" s="16" t="s">
        <v>907</v>
      </c>
      <c r="D455" t="s">
        <v>2193</v>
      </c>
      <c r="E455" s="14">
        <v>2</v>
      </c>
      <c r="F455" s="16" t="s">
        <v>5931</v>
      </c>
      <c r="G455" s="19">
        <v>46209</v>
      </c>
    </row>
    <row r="456" spans="1:7">
      <c r="A456" t="s">
        <v>6384</v>
      </c>
      <c r="B456" t="s">
        <v>2780</v>
      </c>
      <c r="C456" s="16" t="s">
        <v>1693</v>
      </c>
      <c r="D456" t="s">
        <v>2187</v>
      </c>
      <c r="E456" s="14">
        <v>4</v>
      </c>
      <c r="F456" s="16" t="s">
        <v>5938</v>
      </c>
      <c r="G456" s="19">
        <v>45761</v>
      </c>
    </row>
    <row r="457" spans="1:7">
      <c r="A457" t="s">
        <v>6385</v>
      </c>
      <c r="B457" t="s">
        <v>3531</v>
      </c>
      <c r="C457" s="16" t="s">
        <v>1319</v>
      </c>
      <c r="D457" t="s">
        <v>2237</v>
      </c>
      <c r="E457" s="14">
        <v>4</v>
      </c>
      <c r="F457" s="16" t="s">
        <v>23</v>
      </c>
      <c r="G457" s="19">
        <v>45301</v>
      </c>
    </row>
    <row r="458" spans="1:7">
      <c r="A458" t="s">
        <v>6386</v>
      </c>
      <c r="B458" t="s">
        <v>3038</v>
      </c>
      <c r="C458" s="16" t="s">
        <v>1428</v>
      </c>
      <c r="D458" t="s">
        <v>2237</v>
      </c>
      <c r="E458" s="14">
        <v>4</v>
      </c>
      <c r="F458" s="16" t="s">
        <v>5933</v>
      </c>
      <c r="G458" s="19">
        <v>45296</v>
      </c>
    </row>
    <row r="459" spans="1:7">
      <c r="A459" t="s">
        <v>6387</v>
      </c>
      <c r="B459" t="s">
        <v>2529</v>
      </c>
      <c r="C459" s="16" t="s">
        <v>1736</v>
      </c>
      <c r="D459" t="s">
        <v>2267</v>
      </c>
      <c r="E459" s="14">
        <v>1</v>
      </c>
      <c r="F459" s="16" t="s">
        <v>5924</v>
      </c>
      <c r="G459" s="19">
        <v>45839</v>
      </c>
    </row>
    <row r="460" spans="1:7">
      <c r="A460" t="s">
        <v>6388</v>
      </c>
      <c r="B460" t="s">
        <v>5421</v>
      </c>
      <c r="C460" s="16" t="s">
        <v>1759</v>
      </c>
      <c r="D460" t="s">
        <v>2231</v>
      </c>
      <c r="E460" s="14">
        <v>1</v>
      </c>
      <c r="F460" s="16" t="s">
        <v>5922</v>
      </c>
      <c r="G460" s="19">
        <v>46046</v>
      </c>
    </row>
    <row r="461" spans="1:7">
      <c r="A461" t="s">
        <v>6389</v>
      </c>
      <c r="B461" t="s">
        <v>3364</v>
      </c>
      <c r="C461" s="16" t="s">
        <v>1884</v>
      </c>
      <c r="D461" t="s">
        <v>2269</v>
      </c>
      <c r="E461" s="14">
        <v>2</v>
      </c>
      <c r="F461" s="16" t="s">
        <v>5926</v>
      </c>
      <c r="G461" s="19">
        <v>45165</v>
      </c>
    </row>
    <row r="462" spans="1:7">
      <c r="A462" t="s">
        <v>6390</v>
      </c>
      <c r="B462" t="s">
        <v>2775</v>
      </c>
      <c r="C462" s="16" t="s">
        <v>324</v>
      </c>
      <c r="D462" t="s">
        <v>2251</v>
      </c>
      <c r="E462" s="14">
        <v>5</v>
      </c>
      <c r="F462" s="16" t="s">
        <v>5938</v>
      </c>
      <c r="G462" s="19">
        <v>45300</v>
      </c>
    </row>
    <row r="463" spans="1:7">
      <c r="A463" t="s">
        <v>6391</v>
      </c>
      <c r="B463" t="s">
        <v>3571</v>
      </c>
      <c r="C463" s="16" t="s">
        <v>2101</v>
      </c>
      <c r="D463" t="s">
        <v>2249</v>
      </c>
      <c r="E463" s="14">
        <v>5</v>
      </c>
      <c r="F463" s="16" t="s">
        <v>5917</v>
      </c>
      <c r="G463" s="19">
        <v>45104</v>
      </c>
    </row>
    <row r="464" spans="1:7">
      <c r="A464" t="s">
        <v>6392</v>
      </c>
      <c r="B464" t="s">
        <v>5063</v>
      </c>
      <c r="C464" s="16" t="s">
        <v>1779</v>
      </c>
      <c r="D464" t="s">
        <v>2267</v>
      </c>
      <c r="E464" s="14">
        <v>5</v>
      </c>
      <c r="F464" s="16" t="s">
        <v>5961</v>
      </c>
      <c r="G464" s="19">
        <v>45290</v>
      </c>
    </row>
    <row r="465" spans="1:7">
      <c r="A465" t="s">
        <v>6393</v>
      </c>
      <c r="B465" t="s">
        <v>4665</v>
      </c>
      <c r="C465" s="16" t="s">
        <v>1137</v>
      </c>
      <c r="D465" t="s">
        <v>2261</v>
      </c>
      <c r="E465" s="14">
        <v>4</v>
      </c>
      <c r="F465" s="16" t="s">
        <v>5922</v>
      </c>
      <c r="G465" s="19">
        <v>45314</v>
      </c>
    </row>
    <row r="466" spans="1:7">
      <c r="A466" t="s">
        <v>6394</v>
      </c>
      <c r="B466" t="s">
        <v>5003</v>
      </c>
      <c r="C466" s="16" t="s">
        <v>1666</v>
      </c>
      <c r="D466" t="s">
        <v>2257</v>
      </c>
      <c r="E466" s="14">
        <v>2</v>
      </c>
      <c r="F466" s="16" t="s">
        <v>5928</v>
      </c>
      <c r="G466" s="19">
        <v>45255</v>
      </c>
    </row>
    <row r="467" spans="1:7">
      <c r="A467" t="s">
        <v>6395</v>
      </c>
      <c r="B467" t="s">
        <v>5003</v>
      </c>
      <c r="C467" s="16" t="s">
        <v>1666</v>
      </c>
      <c r="D467" t="s">
        <v>2257</v>
      </c>
      <c r="E467" s="14">
        <v>5</v>
      </c>
      <c r="F467" s="16" t="s">
        <v>5938</v>
      </c>
      <c r="G467" s="19">
        <v>45749</v>
      </c>
    </row>
    <row r="468" spans="1:7">
      <c r="A468" t="s">
        <v>6396</v>
      </c>
      <c r="B468" t="s">
        <v>3947</v>
      </c>
      <c r="C468" s="16" t="s">
        <v>896</v>
      </c>
      <c r="D468" t="s">
        <v>2205</v>
      </c>
      <c r="E468" s="14">
        <v>3</v>
      </c>
      <c r="F468" s="16" t="s">
        <v>23</v>
      </c>
      <c r="G468" s="19">
        <v>46164</v>
      </c>
    </row>
    <row r="469" spans="1:7">
      <c r="A469" t="s">
        <v>6397</v>
      </c>
      <c r="B469" t="s">
        <v>3689</v>
      </c>
      <c r="C469" s="16" t="s">
        <v>1782</v>
      </c>
      <c r="D469" t="s">
        <v>2247</v>
      </c>
      <c r="E469" s="14" t="s">
        <v>39</v>
      </c>
      <c r="F469" s="16" t="s">
        <v>5979</v>
      </c>
      <c r="G469" s="19">
        <v>45865</v>
      </c>
    </row>
    <row r="470" spans="1:7">
      <c r="A470" t="s">
        <v>6398</v>
      </c>
      <c r="B470" t="s">
        <v>5610</v>
      </c>
      <c r="C470" s="16" t="s">
        <v>1898</v>
      </c>
      <c r="D470" t="s">
        <v>2264</v>
      </c>
      <c r="E470" s="14">
        <v>3</v>
      </c>
      <c r="F470" s="16" t="s">
        <v>5940</v>
      </c>
      <c r="G470" s="19">
        <v>45868</v>
      </c>
    </row>
    <row r="471" spans="1:7">
      <c r="A471" t="s">
        <v>6399</v>
      </c>
      <c r="B471" t="s">
        <v>3950</v>
      </c>
      <c r="C471" s="16" t="s">
        <v>707</v>
      </c>
      <c r="D471" t="s">
        <v>2209</v>
      </c>
      <c r="E471" s="14">
        <v>5</v>
      </c>
      <c r="F471" s="16" t="s">
        <v>5931</v>
      </c>
      <c r="G471" s="19">
        <v>45181</v>
      </c>
    </row>
    <row r="472" spans="1:7">
      <c r="A472" t="s">
        <v>6400</v>
      </c>
      <c r="B472" t="s">
        <v>5053</v>
      </c>
      <c r="C472" s="16" t="s">
        <v>1285</v>
      </c>
      <c r="D472" t="s">
        <v>2267</v>
      </c>
      <c r="E472" s="14">
        <v>3</v>
      </c>
      <c r="F472" s="16" t="s">
        <v>5973</v>
      </c>
      <c r="G472" s="19">
        <v>45303</v>
      </c>
    </row>
    <row r="473" spans="1:7">
      <c r="A473" t="s">
        <v>6401</v>
      </c>
      <c r="B473" t="s">
        <v>2984</v>
      </c>
      <c r="C473" s="16" t="s">
        <v>34</v>
      </c>
      <c r="D473" t="s">
        <v>2202</v>
      </c>
      <c r="E473" s="14" t="s">
        <v>39</v>
      </c>
      <c r="F473" s="16" t="s">
        <v>23</v>
      </c>
      <c r="G473" s="19">
        <v>45450</v>
      </c>
    </row>
    <row r="474" spans="1:7">
      <c r="A474" t="s">
        <v>6402</v>
      </c>
      <c r="B474" t="s">
        <v>4621</v>
      </c>
      <c r="C474" s="16" t="s">
        <v>2119</v>
      </c>
      <c r="D474" t="s">
        <v>2259</v>
      </c>
      <c r="E474" s="14">
        <v>1</v>
      </c>
      <c r="F474" s="16" t="s">
        <v>5928</v>
      </c>
      <c r="G474" s="19">
        <v>46185</v>
      </c>
    </row>
    <row r="475" spans="1:7">
      <c r="A475" t="s">
        <v>6403</v>
      </c>
      <c r="B475" t="s">
        <v>2663</v>
      </c>
      <c r="C475" s="16" t="s">
        <v>1118</v>
      </c>
      <c r="D475" t="s">
        <v>2202</v>
      </c>
      <c r="E475" s="14">
        <v>3</v>
      </c>
      <c r="F475" s="16" t="s">
        <v>5933</v>
      </c>
      <c r="G475" s="19">
        <v>45276</v>
      </c>
    </row>
    <row r="476" spans="1:7">
      <c r="A476" t="s">
        <v>6404</v>
      </c>
      <c r="B476" t="s">
        <v>4935</v>
      </c>
      <c r="C476" s="16" t="s">
        <v>1007</v>
      </c>
      <c r="D476" t="s">
        <v>2205</v>
      </c>
      <c r="E476" s="14">
        <v>4</v>
      </c>
      <c r="F476" s="16" t="s">
        <v>5973</v>
      </c>
      <c r="G476" s="19">
        <v>45794</v>
      </c>
    </row>
    <row r="477" spans="1:7">
      <c r="A477" t="s">
        <v>6405</v>
      </c>
      <c r="B477" t="s">
        <v>2724</v>
      </c>
      <c r="C477" s="16" t="s">
        <v>972</v>
      </c>
      <c r="D477" t="s">
        <v>2244</v>
      </c>
      <c r="E477" s="14">
        <v>2</v>
      </c>
      <c r="F477" s="16" t="s">
        <v>5922</v>
      </c>
      <c r="G477" s="19">
        <v>45747</v>
      </c>
    </row>
    <row r="478" spans="1:7">
      <c r="A478" t="s">
        <v>6406</v>
      </c>
      <c r="B478" t="s">
        <v>2717</v>
      </c>
      <c r="C478" s="16" t="s">
        <v>2084</v>
      </c>
      <c r="D478" t="s">
        <v>2251</v>
      </c>
      <c r="E478" s="14" t="s">
        <v>39</v>
      </c>
      <c r="F478" s="16" t="s">
        <v>5922</v>
      </c>
      <c r="G478" s="19">
        <v>45757</v>
      </c>
    </row>
    <row r="479" spans="1:7">
      <c r="A479" t="s">
        <v>6407</v>
      </c>
      <c r="B479" t="s">
        <v>2587</v>
      </c>
      <c r="C479" s="16" t="s">
        <v>548</v>
      </c>
      <c r="D479" t="s">
        <v>2235</v>
      </c>
      <c r="E479" s="14">
        <v>4</v>
      </c>
      <c r="F479" s="16" t="s">
        <v>5940</v>
      </c>
      <c r="G479" s="19">
        <v>45653</v>
      </c>
    </row>
    <row r="480" spans="1:7">
      <c r="A480" t="s">
        <v>6408</v>
      </c>
      <c r="B480" t="s">
        <v>4349</v>
      </c>
      <c r="C480" s="16" t="s">
        <v>213</v>
      </c>
      <c r="D480" t="s">
        <v>2225</v>
      </c>
      <c r="E480" s="14">
        <v>2</v>
      </c>
      <c r="F480" s="16" t="s">
        <v>5938</v>
      </c>
      <c r="G480" s="19">
        <v>45410</v>
      </c>
    </row>
    <row r="481" spans="1:7">
      <c r="A481" t="s">
        <v>6409</v>
      </c>
      <c r="B481" t="s">
        <v>2674</v>
      </c>
      <c r="C481" s="16" t="s">
        <v>1385</v>
      </c>
      <c r="D481" t="s">
        <v>2213</v>
      </c>
      <c r="E481" s="14">
        <v>2</v>
      </c>
      <c r="F481" s="16" t="s">
        <v>5920</v>
      </c>
      <c r="G481" s="19">
        <v>45565</v>
      </c>
    </row>
    <row r="482" spans="1:7">
      <c r="A482" t="s">
        <v>6410</v>
      </c>
      <c r="B482" t="s">
        <v>5257</v>
      </c>
      <c r="C482" s="16" t="s">
        <v>957</v>
      </c>
      <c r="D482" t="s">
        <v>2264</v>
      </c>
      <c r="E482" s="14">
        <v>5</v>
      </c>
      <c r="F482" s="16" t="s">
        <v>5922</v>
      </c>
      <c r="G482" s="19">
        <v>46001</v>
      </c>
    </row>
    <row r="483" spans="1:7">
      <c r="A483" t="s">
        <v>6411</v>
      </c>
      <c r="B483" t="s">
        <v>2479</v>
      </c>
      <c r="C483" s="16" t="s">
        <v>1165</v>
      </c>
      <c r="D483" t="s">
        <v>2267</v>
      </c>
      <c r="E483" s="14">
        <v>3</v>
      </c>
      <c r="F483" s="16" t="s">
        <v>5973</v>
      </c>
      <c r="G483" s="19">
        <v>45904</v>
      </c>
    </row>
    <row r="484" spans="1:7">
      <c r="A484" t="s">
        <v>6412</v>
      </c>
      <c r="B484" t="s">
        <v>4596</v>
      </c>
      <c r="C484" s="16" t="s">
        <v>840</v>
      </c>
      <c r="D484" t="s">
        <v>2202</v>
      </c>
      <c r="E484" s="14">
        <v>1</v>
      </c>
      <c r="F484" s="16" t="s">
        <v>5926</v>
      </c>
      <c r="G484" s="19">
        <v>45679</v>
      </c>
    </row>
    <row r="485" spans="1:7">
      <c r="A485" t="s">
        <v>6413</v>
      </c>
      <c r="B485" t="s">
        <v>2775</v>
      </c>
      <c r="C485" s="16" t="s">
        <v>324</v>
      </c>
      <c r="D485" t="s">
        <v>2251</v>
      </c>
      <c r="E485" s="14">
        <v>3</v>
      </c>
      <c r="F485" s="16" t="s">
        <v>5931</v>
      </c>
      <c r="G485" s="19">
        <v>45844</v>
      </c>
    </row>
    <row r="486" spans="1:7">
      <c r="A486" t="s">
        <v>6414</v>
      </c>
      <c r="B486" t="s">
        <v>4486</v>
      </c>
      <c r="C486" s="16" t="s">
        <v>1373</v>
      </c>
      <c r="D486" t="s">
        <v>2241</v>
      </c>
      <c r="E486" s="14">
        <v>4</v>
      </c>
      <c r="F486" s="16" t="s">
        <v>5961</v>
      </c>
      <c r="G486" s="19">
        <v>46159</v>
      </c>
    </row>
    <row r="487" spans="1:7">
      <c r="A487" t="s">
        <v>6415</v>
      </c>
      <c r="B487" t="s">
        <v>5298</v>
      </c>
      <c r="C487" s="16" t="s">
        <v>965</v>
      </c>
      <c r="D487" t="s">
        <v>2218</v>
      </c>
      <c r="E487" s="14">
        <v>4</v>
      </c>
      <c r="F487" s="16" t="s">
        <v>5917</v>
      </c>
      <c r="G487" s="19">
        <v>45373</v>
      </c>
    </row>
    <row r="488" spans="1:7">
      <c r="A488" t="s">
        <v>6416</v>
      </c>
      <c r="B488" t="s">
        <v>4216</v>
      </c>
      <c r="C488" s="16" t="s">
        <v>426</v>
      </c>
      <c r="D488" t="s">
        <v>2233</v>
      </c>
      <c r="E488" s="14">
        <v>5</v>
      </c>
      <c r="F488" s="16" t="s">
        <v>5940</v>
      </c>
      <c r="G488" s="19">
        <v>45924</v>
      </c>
    </row>
    <row r="489" spans="1:7">
      <c r="A489" t="s">
        <v>6417</v>
      </c>
      <c r="B489" t="s">
        <v>4974</v>
      </c>
      <c r="C489" s="16" t="s">
        <v>397</v>
      </c>
      <c r="D489" t="s">
        <v>2216</v>
      </c>
      <c r="E489" s="14">
        <v>4</v>
      </c>
      <c r="F489" s="16" t="s">
        <v>5973</v>
      </c>
      <c r="G489" s="19">
        <v>45168</v>
      </c>
    </row>
    <row r="490" spans="1:7">
      <c r="A490" t="s">
        <v>6418</v>
      </c>
      <c r="B490" t="s">
        <v>5207</v>
      </c>
      <c r="C490" s="16" t="s">
        <v>1095</v>
      </c>
      <c r="D490" t="s">
        <v>2249</v>
      </c>
      <c r="E490" s="14">
        <v>4</v>
      </c>
      <c r="F490" s="16" t="s">
        <v>23</v>
      </c>
      <c r="G490" s="19">
        <v>45166</v>
      </c>
    </row>
    <row r="491" spans="1:7">
      <c r="A491" t="s">
        <v>6419</v>
      </c>
      <c r="B491" t="s">
        <v>5020</v>
      </c>
      <c r="C491" s="16" t="s">
        <v>604</v>
      </c>
      <c r="D491" t="s">
        <v>2205</v>
      </c>
      <c r="E491" s="14">
        <v>5</v>
      </c>
      <c r="F491" s="16" t="s">
        <v>5922</v>
      </c>
      <c r="G491" s="19">
        <v>45329</v>
      </c>
    </row>
    <row r="492" spans="1:7">
      <c r="A492" t="s">
        <v>6420</v>
      </c>
      <c r="B492" t="s">
        <v>4201</v>
      </c>
      <c r="C492" s="16" t="s">
        <v>277</v>
      </c>
      <c r="D492" t="s">
        <v>2241</v>
      </c>
      <c r="E492" s="14">
        <v>4</v>
      </c>
      <c r="F492" s="16" t="s">
        <v>5917</v>
      </c>
      <c r="G492" s="19">
        <v>45666</v>
      </c>
    </row>
    <row r="493" spans="1:7">
      <c r="A493" t="s">
        <v>6421</v>
      </c>
      <c r="B493" t="s">
        <v>3387</v>
      </c>
      <c r="C493" s="16" t="s">
        <v>554</v>
      </c>
      <c r="D493" t="s">
        <v>2257</v>
      </c>
      <c r="E493" s="14" t="s">
        <v>39</v>
      </c>
      <c r="F493" s="16" t="s">
        <v>23</v>
      </c>
      <c r="G493" s="19">
        <v>45777</v>
      </c>
    </row>
    <row r="494" spans="1:7">
      <c r="A494" t="s">
        <v>6422</v>
      </c>
      <c r="B494" t="s">
        <v>2607</v>
      </c>
      <c r="C494" s="16" t="s">
        <v>1489</v>
      </c>
      <c r="D494" t="s">
        <v>2249</v>
      </c>
      <c r="E494" s="14">
        <v>2</v>
      </c>
      <c r="F494" s="16" t="s">
        <v>5933</v>
      </c>
      <c r="G494" s="19">
        <v>45728</v>
      </c>
    </row>
    <row r="495" spans="1:7">
      <c r="A495" t="s">
        <v>6423</v>
      </c>
      <c r="B495" t="s">
        <v>4902</v>
      </c>
      <c r="C495" s="16" t="s">
        <v>1948</v>
      </c>
      <c r="D495" t="s">
        <v>2233</v>
      </c>
      <c r="E495" s="14">
        <v>1</v>
      </c>
      <c r="F495" s="16" t="s">
        <v>5931</v>
      </c>
      <c r="G495" s="19">
        <v>45185</v>
      </c>
    </row>
    <row r="496" spans="1:7">
      <c r="A496" t="s">
        <v>6424</v>
      </c>
      <c r="B496" t="s">
        <v>4481</v>
      </c>
      <c r="C496" s="16" t="s">
        <v>1075</v>
      </c>
      <c r="D496" t="s">
        <v>2261</v>
      </c>
      <c r="E496" s="14">
        <v>5</v>
      </c>
      <c r="F496" s="16" t="s">
        <v>5979</v>
      </c>
      <c r="G496" s="19">
        <v>45935</v>
      </c>
    </row>
    <row r="497" spans="1:7">
      <c r="A497" t="s">
        <v>6425</v>
      </c>
      <c r="B497" t="s">
        <v>3995</v>
      </c>
      <c r="C497" s="16" t="s">
        <v>1960</v>
      </c>
      <c r="D497" t="s">
        <v>2237</v>
      </c>
      <c r="E497" s="14">
        <v>5</v>
      </c>
      <c r="F497" s="16" t="s">
        <v>5920</v>
      </c>
      <c r="G497" s="19">
        <v>45882</v>
      </c>
    </row>
    <row r="498" spans="1:7">
      <c r="A498" t="s">
        <v>6426</v>
      </c>
      <c r="B498" t="s">
        <v>4952</v>
      </c>
      <c r="C498" s="16" t="s">
        <v>1748</v>
      </c>
      <c r="D498" t="s">
        <v>2228</v>
      </c>
      <c r="E498" s="14" t="s">
        <v>39</v>
      </c>
      <c r="F498" s="16" t="s">
        <v>5973</v>
      </c>
      <c r="G498" s="19">
        <v>45023</v>
      </c>
    </row>
    <row r="499" spans="1:7">
      <c r="A499" t="s">
        <v>6427</v>
      </c>
      <c r="B499" t="s">
        <v>3865</v>
      </c>
      <c r="C499" s="16" t="s">
        <v>1773</v>
      </c>
      <c r="D499" t="s">
        <v>2213</v>
      </c>
      <c r="E499" s="14" t="s">
        <v>39</v>
      </c>
      <c r="F499" s="16" t="s">
        <v>5961</v>
      </c>
      <c r="G499" s="19">
        <v>45913</v>
      </c>
    </row>
    <row r="500" spans="1:7">
      <c r="A500" t="s">
        <v>6428</v>
      </c>
      <c r="B500" t="s">
        <v>4055</v>
      </c>
      <c r="C500" s="16" t="s">
        <v>1842</v>
      </c>
      <c r="D500" t="s">
        <v>2198</v>
      </c>
      <c r="E500" s="14">
        <v>3</v>
      </c>
      <c r="F500" s="16" t="s">
        <v>5922</v>
      </c>
      <c r="G500" s="19">
        <v>45194</v>
      </c>
    </row>
    <row r="501" spans="1:7">
      <c r="A501" t="s">
        <v>6429</v>
      </c>
      <c r="B501" t="s">
        <v>4105</v>
      </c>
      <c r="C501" s="16" t="s">
        <v>1511</v>
      </c>
      <c r="D501" t="s">
        <v>2222</v>
      </c>
      <c r="E501" s="14">
        <v>2</v>
      </c>
      <c r="F501" s="16" t="s">
        <v>23</v>
      </c>
      <c r="G501" s="19">
        <v>45742</v>
      </c>
    </row>
    <row r="502" spans="1:7">
      <c r="A502" t="s">
        <v>6430</v>
      </c>
      <c r="B502" t="s">
        <v>5552</v>
      </c>
      <c r="C502" s="16" t="s">
        <v>2129</v>
      </c>
      <c r="D502" t="s">
        <v>2271</v>
      </c>
      <c r="E502" s="14">
        <v>5</v>
      </c>
      <c r="F502" s="16" t="s">
        <v>5931</v>
      </c>
      <c r="G502" s="19">
        <v>46102</v>
      </c>
    </row>
    <row r="503" spans="1:7">
      <c r="A503" t="s">
        <v>6431</v>
      </c>
      <c r="B503" t="s">
        <v>5849</v>
      </c>
      <c r="C503" s="16" t="s">
        <v>95</v>
      </c>
      <c r="D503" t="s">
        <v>2253</v>
      </c>
      <c r="E503" s="14">
        <v>3</v>
      </c>
      <c r="F503" s="16" t="s">
        <v>5940</v>
      </c>
      <c r="G503" s="19">
        <v>45494</v>
      </c>
    </row>
    <row r="504" spans="1:7">
      <c r="A504" t="s">
        <v>6432</v>
      </c>
      <c r="B504" t="s">
        <v>4817</v>
      </c>
      <c r="C504" s="16" t="s">
        <v>597</v>
      </c>
      <c r="D504" t="s">
        <v>2187</v>
      </c>
      <c r="E504" s="14">
        <v>1</v>
      </c>
      <c r="F504" s="16" t="s">
        <v>5940</v>
      </c>
      <c r="G504" s="19">
        <v>45844</v>
      </c>
    </row>
    <row r="505" spans="1:7">
      <c r="A505" t="s">
        <v>6433</v>
      </c>
      <c r="B505" t="s">
        <v>3744</v>
      </c>
      <c r="C505" s="16" t="s">
        <v>821</v>
      </c>
      <c r="D505" t="s">
        <v>2271</v>
      </c>
      <c r="E505" s="14">
        <v>4</v>
      </c>
      <c r="F505" s="16" t="s">
        <v>5961</v>
      </c>
      <c r="G505" s="19">
        <v>45723</v>
      </c>
    </row>
    <row r="506" spans="1:7">
      <c r="A506" t="s">
        <v>6434</v>
      </c>
      <c r="B506" t="s">
        <v>5486</v>
      </c>
      <c r="C506" s="16" t="s">
        <v>1624</v>
      </c>
      <c r="D506" t="s">
        <v>2249</v>
      </c>
      <c r="E506" s="14">
        <v>4</v>
      </c>
      <c r="F506" s="16" t="s">
        <v>5922</v>
      </c>
      <c r="G506" s="19">
        <v>45170</v>
      </c>
    </row>
    <row r="507" spans="1:7">
      <c r="A507" t="s">
        <v>6435</v>
      </c>
      <c r="B507" t="s">
        <v>3448</v>
      </c>
      <c r="C507" s="16" t="s">
        <v>1867</v>
      </c>
      <c r="D507" t="s">
        <v>2213</v>
      </c>
      <c r="E507" s="14">
        <v>4</v>
      </c>
      <c r="F507" s="16" t="s">
        <v>23</v>
      </c>
      <c r="G507" s="19">
        <v>45385</v>
      </c>
    </row>
    <row r="508" spans="1:7">
      <c r="A508" t="s">
        <v>6436</v>
      </c>
      <c r="B508" t="s">
        <v>4281</v>
      </c>
      <c r="C508" s="16" t="s">
        <v>258</v>
      </c>
      <c r="D508" t="s">
        <v>2205</v>
      </c>
      <c r="E508" s="14" t="s">
        <v>39</v>
      </c>
      <c r="F508" s="16" t="s">
        <v>5928</v>
      </c>
      <c r="G508" s="19">
        <v>46018</v>
      </c>
    </row>
    <row r="509" spans="1:7">
      <c r="A509" t="s">
        <v>6437</v>
      </c>
      <c r="B509" t="s">
        <v>5620</v>
      </c>
      <c r="C509" s="16" t="s">
        <v>1779</v>
      </c>
      <c r="D509" t="s">
        <v>2235</v>
      </c>
      <c r="E509" s="14">
        <v>5</v>
      </c>
      <c r="F509" s="16" t="s">
        <v>5917</v>
      </c>
      <c r="G509" s="19">
        <v>45592</v>
      </c>
    </row>
    <row r="510" spans="1:7">
      <c r="A510" t="s">
        <v>6438</v>
      </c>
      <c r="B510" t="s">
        <v>4685</v>
      </c>
      <c r="C510" s="16" t="s">
        <v>2051</v>
      </c>
      <c r="D510" t="s">
        <v>2271</v>
      </c>
      <c r="E510" s="14">
        <v>5</v>
      </c>
      <c r="F510" s="16" t="s">
        <v>5920</v>
      </c>
      <c r="G510" s="19">
        <v>45911</v>
      </c>
    </row>
    <row r="511" spans="1:7">
      <c r="A511" t="s">
        <v>6439</v>
      </c>
      <c r="B511" t="s">
        <v>3861</v>
      </c>
      <c r="C511" s="16" t="s">
        <v>1894</v>
      </c>
      <c r="D511" t="s">
        <v>2209</v>
      </c>
      <c r="E511" s="14">
        <v>3</v>
      </c>
      <c r="F511" s="16" t="s">
        <v>5924</v>
      </c>
      <c r="G511" s="19">
        <v>45624</v>
      </c>
    </row>
    <row r="512" spans="1:7">
      <c r="A512" t="s">
        <v>6440</v>
      </c>
      <c r="B512" t="s">
        <v>4432</v>
      </c>
      <c r="C512" s="16" t="s">
        <v>1820</v>
      </c>
      <c r="D512" t="s">
        <v>2218</v>
      </c>
      <c r="E512" s="14">
        <v>5</v>
      </c>
      <c r="F512" s="16" t="s">
        <v>5973</v>
      </c>
      <c r="G512" s="19">
        <v>45645</v>
      </c>
    </row>
    <row r="513" spans="1:7">
      <c r="A513" t="s">
        <v>6441</v>
      </c>
      <c r="B513" t="s">
        <v>3346</v>
      </c>
      <c r="C513" s="16" t="s">
        <v>481</v>
      </c>
      <c r="D513" t="s">
        <v>2218</v>
      </c>
      <c r="E513" s="14" t="s">
        <v>39</v>
      </c>
      <c r="F513" s="16" t="s">
        <v>5946</v>
      </c>
      <c r="G513" s="19">
        <v>45757</v>
      </c>
    </row>
    <row r="514" spans="1:7">
      <c r="A514" t="s">
        <v>6442</v>
      </c>
      <c r="B514" t="s">
        <v>5151</v>
      </c>
      <c r="C514" s="16" t="s">
        <v>1065</v>
      </c>
      <c r="D514" t="s">
        <v>2237</v>
      </c>
      <c r="E514" s="14" t="s">
        <v>39</v>
      </c>
      <c r="F514" s="16" t="s">
        <v>5979</v>
      </c>
      <c r="G514" s="19">
        <v>45441</v>
      </c>
    </row>
    <row r="515" spans="1:7">
      <c r="A515" t="s">
        <v>6443</v>
      </c>
      <c r="B515" t="s">
        <v>4956</v>
      </c>
      <c r="C515" s="16" t="s">
        <v>1794</v>
      </c>
      <c r="D515" t="s">
        <v>2202</v>
      </c>
      <c r="E515" s="14">
        <v>5</v>
      </c>
      <c r="F515" s="16" t="s">
        <v>5961</v>
      </c>
      <c r="G515" s="19">
        <v>46193</v>
      </c>
    </row>
    <row r="516" spans="1:7">
      <c r="A516" t="s">
        <v>6444</v>
      </c>
      <c r="B516" t="s">
        <v>3493</v>
      </c>
      <c r="C516" s="16" t="s">
        <v>1941</v>
      </c>
      <c r="D516" t="s">
        <v>2231</v>
      </c>
      <c r="E516" s="14">
        <v>1</v>
      </c>
      <c r="F516" s="16" t="s">
        <v>5917</v>
      </c>
      <c r="G516" s="19">
        <v>45306</v>
      </c>
    </row>
    <row r="517" spans="1:7">
      <c r="A517" t="s">
        <v>6445</v>
      </c>
      <c r="B517" t="s">
        <v>4546</v>
      </c>
      <c r="C517" s="16" t="s">
        <v>1432</v>
      </c>
      <c r="D517" t="s">
        <v>2228</v>
      </c>
      <c r="E517" s="14" t="s">
        <v>39</v>
      </c>
      <c r="F517" s="16" t="s">
        <v>5931</v>
      </c>
      <c r="G517" s="19">
        <v>45741</v>
      </c>
    </row>
    <row r="518" spans="1:7">
      <c r="A518" t="s">
        <v>6446</v>
      </c>
      <c r="B518" t="s">
        <v>4258</v>
      </c>
      <c r="C518" s="16" t="s">
        <v>1239</v>
      </c>
      <c r="D518" t="s">
        <v>2249</v>
      </c>
      <c r="E518" s="14">
        <v>4</v>
      </c>
      <c r="F518" s="16" t="s">
        <v>5979</v>
      </c>
      <c r="G518" s="19">
        <v>45085</v>
      </c>
    </row>
    <row r="519" spans="1:7">
      <c r="A519" t="s">
        <v>6447</v>
      </c>
      <c r="B519" t="s">
        <v>5381</v>
      </c>
      <c r="C519" s="16" t="s">
        <v>1857</v>
      </c>
      <c r="D519" t="s">
        <v>2264</v>
      </c>
      <c r="E519" s="14" t="s">
        <v>39</v>
      </c>
      <c r="F519" s="16" t="s">
        <v>5931</v>
      </c>
      <c r="G519" s="19">
        <v>45484</v>
      </c>
    </row>
    <row r="520" spans="1:7">
      <c r="A520" t="s">
        <v>6448</v>
      </c>
      <c r="B520" t="s">
        <v>2596</v>
      </c>
      <c r="C520" s="16" t="s">
        <v>1438</v>
      </c>
      <c r="D520" t="s">
        <v>2261</v>
      </c>
      <c r="E520" s="14">
        <v>4</v>
      </c>
      <c r="F520" s="16" t="s">
        <v>23</v>
      </c>
      <c r="G520" s="19">
        <v>45607</v>
      </c>
    </row>
    <row r="521" spans="1:7">
      <c r="A521" t="s">
        <v>6449</v>
      </c>
      <c r="B521" t="s">
        <v>5042</v>
      </c>
      <c r="C521" s="16" t="s">
        <v>1442</v>
      </c>
      <c r="D521" t="s">
        <v>2269</v>
      </c>
      <c r="E521" s="14">
        <v>2</v>
      </c>
      <c r="F521" s="16" t="s">
        <v>5924</v>
      </c>
      <c r="G521" s="19">
        <v>45603</v>
      </c>
    </row>
    <row r="522" spans="1:7">
      <c r="A522" t="s">
        <v>6450</v>
      </c>
      <c r="B522" t="s">
        <v>4996</v>
      </c>
      <c r="C522" s="16" t="s">
        <v>832</v>
      </c>
      <c r="D522" t="s">
        <v>2231</v>
      </c>
      <c r="E522" s="14">
        <v>4</v>
      </c>
      <c r="F522" s="16" t="s">
        <v>5928</v>
      </c>
      <c r="G522" s="19">
        <v>46110</v>
      </c>
    </row>
    <row r="523" spans="1:7">
      <c r="A523" t="s">
        <v>6451</v>
      </c>
      <c r="B523" t="s">
        <v>2407</v>
      </c>
      <c r="C523" s="16" t="s">
        <v>1894</v>
      </c>
      <c r="D523" t="s">
        <v>2271</v>
      </c>
      <c r="E523" s="14">
        <v>2</v>
      </c>
      <c r="F523" s="16" t="s">
        <v>5922</v>
      </c>
      <c r="G523" s="19">
        <v>46025</v>
      </c>
    </row>
    <row r="524" spans="1:7">
      <c r="A524" t="s">
        <v>6452</v>
      </c>
      <c r="B524" t="s">
        <v>2504</v>
      </c>
      <c r="C524" s="16" t="s">
        <v>1436</v>
      </c>
      <c r="D524" t="s">
        <v>2233</v>
      </c>
      <c r="E524" s="14" t="s">
        <v>39</v>
      </c>
      <c r="F524" s="16" t="s">
        <v>5946</v>
      </c>
      <c r="G524" s="19">
        <v>46163</v>
      </c>
    </row>
    <row r="525" spans="1:7">
      <c r="A525" t="s">
        <v>6453</v>
      </c>
      <c r="B525" t="s">
        <v>4673</v>
      </c>
      <c r="C525" s="16" t="s">
        <v>2143</v>
      </c>
      <c r="D525" t="s">
        <v>2257</v>
      </c>
      <c r="E525" s="14">
        <v>5</v>
      </c>
      <c r="F525" s="16" t="s">
        <v>5931</v>
      </c>
      <c r="G525" s="19">
        <v>45606</v>
      </c>
    </row>
    <row r="526" spans="1:7">
      <c r="A526" t="s">
        <v>6454</v>
      </c>
      <c r="B526" t="s">
        <v>5458</v>
      </c>
      <c r="C526" s="16" t="s">
        <v>932</v>
      </c>
      <c r="D526" t="s">
        <v>2273</v>
      </c>
      <c r="E526" s="14">
        <v>3</v>
      </c>
      <c r="F526" s="16" t="s">
        <v>5924</v>
      </c>
      <c r="G526" s="19">
        <v>46083</v>
      </c>
    </row>
    <row r="527" spans="1:7">
      <c r="A527" t="s">
        <v>6455</v>
      </c>
      <c r="B527" t="s">
        <v>4264</v>
      </c>
      <c r="C527" s="16" t="s">
        <v>1723</v>
      </c>
      <c r="D527" t="s">
        <v>2267</v>
      </c>
      <c r="E527" s="14">
        <v>4</v>
      </c>
      <c r="F527" s="16" t="s">
        <v>5933</v>
      </c>
      <c r="G527" s="19">
        <v>45593</v>
      </c>
    </row>
    <row r="528" spans="1:7">
      <c r="A528" t="s">
        <v>6456</v>
      </c>
      <c r="B528" t="s">
        <v>5817</v>
      </c>
      <c r="C528" s="16" t="s">
        <v>1713</v>
      </c>
      <c r="D528" t="s">
        <v>2261</v>
      </c>
      <c r="E528" s="14">
        <v>5</v>
      </c>
      <c r="F528" s="16" t="s">
        <v>5931</v>
      </c>
      <c r="G528" s="19">
        <v>45253</v>
      </c>
    </row>
    <row r="529" spans="1:7">
      <c r="A529" t="s">
        <v>6457</v>
      </c>
      <c r="B529" t="s">
        <v>3315</v>
      </c>
      <c r="C529" s="16" t="s">
        <v>44</v>
      </c>
      <c r="D529" t="s">
        <v>2253</v>
      </c>
      <c r="E529" s="14">
        <v>3</v>
      </c>
      <c r="F529" s="16" t="s">
        <v>5946</v>
      </c>
      <c r="G529" s="19">
        <v>45920</v>
      </c>
    </row>
    <row r="530" spans="1:7">
      <c r="A530" t="s">
        <v>6458</v>
      </c>
      <c r="B530" t="s">
        <v>3101</v>
      </c>
      <c r="C530" s="16" t="s">
        <v>870</v>
      </c>
      <c r="D530" t="s">
        <v>2216</v>
      </c>
      <c r="E530" s="14">
        <v>4</v>
      </c>
      <c r="F530" s="16" t="s">
        <v>5973</v>
      </c>
      <c r="G530" s="19">
        <v>45557</v>
      </c>
    </row>
    <row r="531" spans="1:7">
      <c r="A531" t="s">
        <v>6459</v>
      </c>
      <c r="B531" t="s">
        <v>3117</v>
      </c>
      <c r="C531" s="16" t="s">
        <v>394</v>
      </c>
      <c r="D531" t="s">
        <v>2193</v>
      </c>
      <c r="E531" s="14">
        <v>5</v>
      </c>
      <c r="F531" s="16" t="s">
        <v>5924</v>
      </c>
      <c r="G531" s="19">
        <v>45124</v>
      </c>
    </row>
    <row r="532" spans="1:7">
      <c r="A532" t="s">
        <v>6460</v>
      </c>
      <c r="B532" t="s">
        <v>3738</v>
      </c>
      <c r="C532" s="16" t="s">
        <v>357</v>
      </c>
      <c r="D532" t="s">
        <v>2271</v>
      </c>
      <c r="E532" s="14">
        <v>1</v>
      </c>
      <c r="F532" s="16" t="s">
        <v>5961</v>
      </c>
      <c r="G532" s="19">
        <v>45250</v>
      </c>
    </row>
    <row r="533" spans="1:7">
      <c r="A533" t="s">
        <v>6461</v>
      </c>
      <c r="B533" t="s">
        <v>5138</v>
      </c>
      <c r="C533" s="16" t="s">
        <v>1827</v>
      </c>
      <c r="D533" t="s">
        <v>2205</v>
      </c>
      <c r="E533" s="14">
        <v>5</v>
      </c>
      <c r="F533" s="16" t="s">
        <v>5946</v>
      </c>
      <c r="G533" s="19">
        <v>45445</v>
      </c>
    </row>
    <row r="534" spans="1:7">
      <c r="A534" t="s">
        <v>6462</v>
      </c>
      <c r="B534" t="s">
        <v>4117</v>
      </c>
      <c r="C534" s="16" t="s">
        <v>675</v>
      </c>
      <c r="D534" t="s">
        <v>2233</v>
      </c>
      <c r="E534" s="14">
        <v>2</v>
      </c>
      <c r="F534" s="16" t="s">
        <v>5922</v>
      </c>
      <c r="G534" s="19">
        <v>46271</v>
      </c>
    </row>
    <row r="535" spans="1:7">
      <c r="A535" t="s">
        <v>6463</v>
      </c>
      <c r="B535" t="s">
        <v>4125</v>
      </c>
      <c r="C535" s="16" t="s">
        <v>1683</v>
      </c>
      <c r="D535" t="s">
        <v>2209</v>
      </c>
      <c r="E535" s="14">
        <v>5</v>
      </c>
      <c r="F535" s="16" t="s">
        <v>5928</v>
      </c>
      <c r="G535" s="19">
        <v>45790</v>
      </c>
    </row>
    <row r="536" spans="1:7">
      <c r="A536" t="s">
        <v>6464</v>
      </c>
      <c r="B536" t="s">
        <v>3629</v>
      </c>
      <c r="C536" s="16" t="s">
        <v>2135</v>
      </c>
      <c r="D536" t="s">
        <v>2261</v>
      </c>
      <c r="E536" s="14">
        <v>2</v>
      </c>
      <c r="F536" s="16" t="s">
        <v>5973</v>
      </c>
      <c r="G536" s="19">
        <v>45535</v>
      </c>
    </row>
    <row r="537" spans="1:7">
      <c r="A537" t="s">
        <v>6465</v>
      </c>
      <c r="B537" t="s">
        <v>4925</v>
      </c>
      <c r="C537" s="16" t="s">
        <v>1496</v>
      </c>
      <c r="D537" t="s">
        <v>2235</v>
      </c>
      <c r="E537" s="14">
        <v>5</v>
      </c>
      <c r="F537" s="16" t="s">
        <v>5920</v>
      </c>
      <c r="G537" s="19">
        <v>45084</v>
      </c>
    </row>
    <row r="538" spans="1:7">
      <c r="A538" t="s">
        <v>6466</v>
      </c>
      <c r="B538" t="s">
        <v>4829</v>
      </c>
      <c r="C538" s="16" t="s">
        <v>1933</v>
      </c>
      <c r="D538" t="s">
        <v>2251</v>
      </c>
      <c r="E538" s="14">
        <v>5</v>
      </c>
      <c r="F538" s="16" t="s">
        <v>5961</v>
      </c>
      <c r="G538" s="19">
        <v>45758</v>
      </c>
    </row>
    <row r="539" spans="1:7">
      <c r="A539" t="s">
        <v>6467</v>
      </c>
      <c r="B539" t="s">
        <v>5224</v>
      </c>
      <c r="C539" s="16" t="s">
        <v>442</v>
      </c>
      <c r="D539" t="s">
        <v>2259</v>
      </c>
      <c r="E539" s="14">
        <v>5</v>
      </c>
      <c r="F539" s="16" t="s">
        <v>5933</v>
      </c>
      <c r="G539" s="19">
        <v>45823</v>
      </c>
    </row>
    <row r="540" spans="1:7">
      <c r="A540" t="s">
        <v>6468</v>
      </c>
      <c r="B540" t="s">
        <v>5819</v>
      </c>
      <c r="C540" s="16" t="s">
        <v>1380</v>
      </c>
      <c r="D540" t="s">
        <v>2202</v>
      </c>
      <c r="E540" s="14">
        <v>3</v>
      </c>
      <c r="F540" s="16" t="s">
        <v>5940</v>
      </c>
      <c r="G540" s="19">
        <v>45287</v>
      </c>
    </row>
    <row r="541" spans="1:7">
      <c r="A541" t="s">
        <v>6469</v>
      </c>
      <c r="B541" t="s">
        <v>3991</v>
      </c>
      <c r="C541" s="16" t="s">
        <v>2010</v>
      </c>
      <c r="D541" t="s">
        <v>2273</v>
      </c>
      <c r="E541" s="14">
        <v>5</v>
      </c>
      <c r="F541" s="16" t="s">
        <v>5920</v>
      </c>
      <c r="G541" s="19">
        <v>45747</v>
      </c>
    </row>
    <row r="542" spans="1:7">
      <c r="A542" t="s">
        <v>6470</v>
      </c>
      <c r="B542" t="s">
        <v>3403</v>
      </c>
      <c r="C542" s="16" t="s">
        <v>1239</v>
      </c>
      <c r="D542" t="s">
        <v>2231</v>
      </c>
      <c r="E542" s="14">
        <v>5</v>
      </c>
      <c r="F542" s="16" t="s">
        <v>5922</v>
      </c>
      <c r="G542" s="19">
        <v>45299</v>
      </c>
    </row>
    <row r="543" spans="1:7">
      <c r="A543" t="s">
        <v>6471</v>
      </c>
      <c r="B543" t="s">
        <v>2434</v>
      </c>
      <c r="C543" s="16" t="s">
        <v>418</v>
      </c>
      <c r="D543" t="s">
        <v>2198</v>
      </c>
      <c r="E543" s="14" t="s">
        <v>39</v>
      </c>
      <c r="F543" s="16" t="s">
        <v>5979</v>
      </c>
      <c r="G543" s="19">
        <v>45201</v>
      </c>
    </row>
    <row r="544" spans="1:7">
      <c r="A544" t="s">
        <v>6472</v>
      </c>
      <c r="B544" t="s">
        <v>3553</v>
      </c>
      <c r="C544" s="16" t="s">
        <v>339</v>
      </c>
      <c r="D544" t="s">
        <v>2267</v>
      </c>
      <c r="E544" s="14">
        <v>1</v>
      </c>
      <c r="F544" s="16" t="s">
        <v>5926</v>
      </c>
      <c r="G544" s="19">
        <v>45526</v>
      </c>
    </row>
    <row r="545" spans="1:7">
      <c r="A545" t="s">
        <v>6473</v>
      </c>
      <c r="B545" t="s">
        <v>5150</v>
      </c>
      <c r="C545" s="16" t="s">
        <v>34</v>
      </c>
      <c r="D545" t="s">
        <v>2187</v>
      </c>
      <c r="E545" s="14">
        <v>4</v>
      </c>
      <c r="F545" s="16" t="s">
        <v>5933</v>
      </c>
      <c r="G545" s="19">
        <v>45262</v>
      </c>
    </row>
    <row r="546" spans="1:7">
      <c r="A546" t="s">
        <v>6474</v>
      </c>
      <c r="B546" t="s">
        <v>4724</v>
      </c>
      <c r="C546" s="16" t="s">
        <v>256</v>
      </c>
      <c r="D546" t="s">
        <v>2187</v>
      </c>
      <c r="E546" s="14">
        <v>4</v>
      </c>
      <c r="F546" s="16" t="s">
        <v>5924</v>
      </c>
      <c r="G546" s="19">
        <v>45467</v>
      </c>
    </row>
    <row r="547" spans="1:7">
      <c r="A547" t="s">
        <v>6475</v>
      </c>
      <c r="B547" t="s">
        <v>4328</v>
      </c>
      <c r="C547" s="16" t="s">
        <v>531</v>
      </c>
      <c r="D547" t="s">
        <v>2209</v>
      </c>
      <c r="E547" s="14">
        <v>5</v>
      </c>
      <c r="F547" s="16" t="s">
        <v>5920</v>
      </c>
      <c r="G547" s="19">
        <v>45121</v>
      </c>
    </row>
    <row r="548" spans="1:7">
      <c r="A548" t="s">
        <v>6476</v>
      </c>
      <c r="B548" t="s">
        <v>3216</v>
      </c>
      <c r="C548" s="16" t="s">
        <v>408</v>
      </c>
      <c r="D548" t="s">
        <v>2218</v>
      </c>
      <c r="E548" s="14" t="s">
        <v>39</v>
      </c>
      <c r="F548" s="16" t="s">
        <v>5946</v>
      </c>
      <c r="G548" s="19">
        <v>45527</v>
      </c>
    </row>
    <row r="549" spans="1:7">
      <c r="A549" t="s">
        <v>6477</v>
      </c>
      <c r="B549" t="s">
        <v>5432</v>
      </c>
      <c r="C549" s="16" t="s">
        <v>61</v>
      </c>
      <c r="D549" t="s">
        <v>2225</v>
      </c>
      <c r="E549" s="14">
        <v>5</v>
      </c>
      <c r="F549" s="16" t="s">
        <v>5938</v>
      </c>
      <c r="G549" s="19">
        <v>45430</v>
      </c>
    </row>
    <row r="550" spans="1:7">
      <c r="A550" t="s">
        <v>6478</v>
      </c>
      <c r="B550" t="s">
        <v>3252</v>
      </c>
      <c r="C550" s="16" t="s">
        <v>1169</v>
      </c>
      <c r="D550" t="s">
        <v>2216</v>
      </c>
      <c r="E550" s="14">
        <v>1</v>
      </c>
      <c r="F550" s="16" t="s">
        <v>5979</v>
      </c>
      <c r="G550" s="19">
        <v>46058</v>
      </c>
    </row>
    <row r="551" spans="1:7">
      <c r="A551" t="s">
        <v>6479</v>
      </c>
      <c r="B551" t="s">
        <v>3131</v>
      </c>
      <c r="C551" s="16" t="s">
        <v>1255</v>
      </c>
      <c r="D551" t="s">
        <v>2273</v>
      </c>
      <c r="E551" s="14">
        <v>4</v>
      </c>
      <c r="F551" s="16" t="s">
        <v>5979</v>
      </c>
      <c r="G551" s="19">
        <v>45700</v>
      </c>
    </row>
    <row r="552" spans="1:7">
      <c r="A552" t="s">
        <v>6480</v>
      </c>
      <c r="B552" t="s">
        <v>3401</v>
      </c>
      <c r="C552" s="16" t="s">
        <v>922</v>
      </c>
      <c r="D552" t="s">
        <v>2247</v>
      </c>
      <c r="E552" s="14">
        <v>2</v>
      </c>
      <c r="F552" s="16" t="s">
        <v>5931</v>
      </c>
      <c r="G552" s="19">
        <v>45347</v>
      </c>
    </row>
    <row r="553" spans="1:7">
      <c r="A553" t="s">
        <v>6481</v>
      </c>
      <c r="B553" t="s">
        <v>4815</v>
      </c>
      <c r="C553" s="16" t="s">
        <v>1809</v>
      </c>
      <c r="D553" t="s">
        <v>2231</v>
      </c>
      <c r="E553" s="14">
        <v>3</v>
      </c>
      <c r="F553" s="16" t="s">
        <v>5933</v>
      </c>
      <c r="G553" s="19">
        <v>45631</v>
      </c>
    </row>
    <row r="554" spans="1:7">
      <c r="A554" t="s">
        <v>6482</v>
      </c>
      <c r="B554" t="s">
        <v>4648</v>
      </c>
      <c r="C554" s="16" t="s">
        <v>1802</v>
      </c>
      <c r="D554" t="s">
        <v>2264</v>
      </c>
      <c r="E554" s="14">
        <v>2</v>
      </c>
      <c r="F554" s="16" t="s">
        <v>5940</v>
      </c>
      <c r="G554" s="19">
        <v>45891</v>
      </c>
    </row>
    <row r="555" spans="1:7">
      <c r="A555" t="s">
        <v>6483</v>
      </c>
      <c r="B555" t="s">
        <v>3105</v>
      </c>
      <c r="C555" s="16" t="s">
        <v>803</v>
      </c>
      <c r="D555" t="s">
        <v>2216</v>
      </c>
      <c r="E555" s="14">
        <v>3</v>
      </c>
      <c r="F555" s="16" t="s">
        <v>5926</v>
      </c>
      <c r="G555" s="19">
        <v>45483</v>
      </c>
    </row>
    <row r="556" spans="1:7">
      <c r="A556" t="s">
        <v>6484</v>
      </c>
      <c r="B556" t="s">
        <v>4521</v>
      </c>
      <c r="C556" s="16" t="s">
        <v>213</v>
      </c>
      <c r="D556" t="s">
        <v>2237</v>
      </c>
      <c r="E556" s="14">
        <v>3</v>
      </c>
      <c r="F556" s="16" t="s">
        <v>5933</v>
      </c>
      <c r="G556" s="19">
        <v>46136</v>
      </c>
    </row>
    <row r="557" spans="1:7">
      <c r="A557" t="s">
        <v>6485</v>
      </c>
      <c r="B557" t="s">
        <v>3210</v>
      </c>
      <c r="C557" s="16" t="s">
        <v>181</v>
      </c>
      <c r="D557" t="s">
        <v>2231</v>
      </c>
      <c r="E557" s="14">
        <v>2</v>
      </c>
      <c r="F557" s="16" t="s">
        <v>5973</v>
      </c>
      <c r="G557" s="19">
        <v>45273</v>
      </c>
    </row>
    <row r="558" spans="1:7">
      <c r="A558" t="s">
        <v>6486</v>
      </c>
      <c r="B558" t="s">
        <v>2485</v>
      </c>
      <c r="C558" s="16" t="s">
        <v>784</v>
      </c>
      <c r="D558" t="s">
        <v>2198</v>
      </c>
      <c r="E558" s="14">
        <v>5</v>
      </c>
      <c r="F558" s="16" t="s">
        <v>5940</v>
      </c>
      <c r="G558" s="19">
        <v>46160</v>
      </c>
    </row>
    <row r="559" spans="1:7">
      <c r="A559" t="s">
        <v>6487</v>
      </c>
      <c r="B559" t="s">
        <v>4147</v>
      </c>
      <c r="C559" s="16" t="s">
        <v>2003</v>
      </c>
      <c r="D559" t="s">
        <v>2218</v>
      </c>
      <c r="E559" s="14">
        <v>4</v>
      </c>
      <c r="F559" s="16" t="s">
        <v>5940</v>
      </c>
      <c r="G559" s="19">
        <v>45163</v>
      </c>
    </row>
    <row r="560" spans="1:7">
      <c r="A560" t="s">
        <v>6488</v>
      </c>
      <c r="B560" t="s">
        <v>2788</v>
      </c>
      <c r="C560" s="16" t="s">
        <v>1970</v>
      </c>
      <c r="D560" t="s">
        <v>2259</v>
      </c>
      <c r="E560" s="14" t="s">
        <v>39</v>
      </c>
      <c r="F560" s="16" t="s">
        <v>5922</v>
      </c>
      <c r="G560" s="19">
        <v>46270</v>
      </c>
    </row>
    <row r="561" spans="1:7">
      <c r="A561" t="s">
        <v>6489</v>
      </c>
      <c r="B561" t="s">
        <v>4976</v>
      </c>
      <c r="C561" s="16" t="s">
        <v>854</v>
      </c>
      <c r="D561" t="s">
        <v>2233</v>
      </c>
      <c r="E561" s="14">
        <v>1</v>
      </c>
      <c r="F561" s="16" t="s">
        <v>5973</v>
      </c>
      <c r="G561" s="19">
        <v>45171</v>
      </c>
    </row>
    <row r="562" spans="1:7">
      <c r="A562" t="s">
        <v>6490</v>
      </c>
      <c r="B562" t="s">
        <v>3157</v>
      </c>
      <c r="C562" s="16" t="s">
        <v>1377</v>
      </c>
      <c r="D562" t="s">
        <v>2264</v>
      </c>
      <c r="E562" s="14" t="s">
        <v>39</v>
      </c>
      <c r="F562" s="16" t="s">
        <v>5922</v>
      </c>
      <c r="G562" s="19">
        <v>45452</v>
      </c>
    </row>
    <row r="563" spans="1:7">
      <c r="A563" t="s">
        <v>6491</v>
      </c>
      <c r="B563" t="s">
        <v>2357</v>
      </c>
      <c r="C563" s="16" t="s">
        <v>1500</v>
      </c>
      <c r="D563" t="s">
        <v>2228</v>
      </c>
      <c r="E563" s="14">
        <v>5</v>
      </c>
      <c r="F563" s="16" t="s">
        <v>23</v>
      </c>
      <c r="G563" s="19">
        <v>45620</v>
      </c>
    </row>
    <row r="564" spans="1:7">
      <c r="A564" t="s">
        <v>6492</v>
      </c>
      <c r="B564" t="s">
        <v>5523</v>
      </c>
      <c r="C564" s="16" t="s">
        <v>2113</v>
      </c>
      <c r="D564" t="s">
        <v>2205</v>
      </c>
      <c r="E564" s="14">
        <v>1</v>
      </c>
      <c r="F564" s="16" t="s">
        <v>23</v>
      </c>
      <c r="G564" s="19">
        <v>45356</v>
      </c>
    </row>
    <row r="565" spans="1:7">
      <c r="A565" t="s">
        <v>6493</v>
      </c>
      <c r="B565" t="s">
        <v>5466</v>
      </c>
      <c r="C565" s="16" t="s">
        <v>1365</v>
      </c>
      <c r="D565" t="s">
        <v>2244</v>
      </c>
      <c r="E565" s="14">
        <v>3</v>
      </c>
      <c r="F565" s="16" t="s">
        <v>5926</v>
      </c>
      <c r="G565" s="19">
        <v>45355</v>
      </c>
    </row>
    <row r="566" spans="1:7">
      <c r="A566" t="s">
        <v>6494</v>
      </c>
      <c r="B566" t="s">
        <v>5631</v>
      </c>
      <c r="C566" s="16" t="s">
        <v>1173</v>
      </c>
      <c r="D566" t="s">
        <v>2218</v>
      </c>
      <c r="E566" s="14">
        <v>4</v>
      </c>
      <c r="F566" s="16" t="s">
        <v>5931</v>
      </c>
      <c r="G566" s="19">
        <v>46131</v>
      </c>
    </row>
    <row r="567" spans="1:7">
      <c r="A567" t="s">
        <v>6495</v>
      </c>
      <c r="B567" t="s">
        <v>5303</v>
      </c>
      <c r="C567" s="16" t="s">
        <v>1095</v>
      </c>
      <c r="D567" t="s">
        <v>2244</v>
      </c>
      <c r="E567" s="14">
        <v>4</v>
      </c>
      <c r="F567" s="16" t="s">
        <v>5931</v>
      </c>
      <c r="G567" s="19">
        <v>45978</v>
      </c>
    </row>
    <row r="568" spans="1:7">
      <c r="A568" t="s">
        <v>6496</v>
      </c>
      <c r="B568" t="s">
        <v>3279</v>
      </c>
      <c r="C568" s="16" t="s">
        <v>1194</v>
      </c>
      <c r="D568" t="s">
        <v>2267</v>
      </c>
      <c r="E568" s="14">
        <v>4</v>
      </c>
      <c r="F568" s="16" t="s">
        <v>5931</v>
      </c>
      <c r="G568" s="19">
        <v>45554</v>
      </c>
    </row>
    <row r="569" spans="1:7">
      <c r="A569" t="s">
        <v>6497</v>
      </c>
      <c r="B569" t="s">
        <v>4655</v>
      </c>
      <c r="C569" s="16" t="s">
        <v>1508</v>
      </c>
      <c r="D569" t="s">
        <v>2233</v>
      </c>
      <c r="E569" s="14">
        <v>5</v>
      </c>
      <c r="F569" s="16" t="s">
        <v>5928</v>
      </c>
      <c r="G569" s="19">
        <v>45112</v>
      </c>
    </row>
    <row r="570" spans="1:7">
      <c r="A570" t="s">
        <v>6498</v>
      </c>
      <c r="B570" t="s">
        <v>2503</v>
      </c>
      <c r="C570" s="16" t="s">
        <v>1614</v>
      </c>
      <c r="D570" t="s">
        <v>2271</v>
      </c>
      <c r="E570" s="14">
        <v>1</v>
      </c>
      <c r="F570" s="16" t="s">
        <v>5940</v>
      </c>
      <c r="G570" s="19">
        <v>45435</v>
      </c>
    </row>
    <row r="571" spans="1:7">
      <c r="A571" t="s">
        <v>6499</v>
      </c>
      <c r="B571" t="s">
        <v>3681</v>
      </c>
      <c r="C571" s="16" t="s">
        <v>177</v>
      </c>
      <c r="D571" t="s">
        <v>2269</v>
      </c>
      <c r="E571" s="14">
        <v>1</v>
      </c>
      <c r="F571" s="16" t="s">
        <v>5917</v>
      </c>
      <c r="G571" s="19">
        <v>45271</v>
      </c>
    </row>
    <row r="572" spans="1:7">
      <c r="A572" t="s">
        <v>6500</v>
      </c>
      <c r="B572" t="s">
        <v>5075</v>
      </c>
      <c r="C572" s="16" t="s">
        <v>107</v>
      </c>
      <c r="D572" t="s">
        <v>2259</v>
      </c>
      <c r="E572" s="14" t="s">
        <v>39</v>
      </c>
      <c r="F572" s="16" t="s">
        <v>5922</v>
      </c>
      <c r="G572" s="19">
        <v>45966</v>
      </c>
    </row>
    <row r="573" spans="1:7">
      <c r="A573" t="s">
        <v>6501</v>
      </c>
      <c r="B573" t="s">
        <v>4562</v>
      </c>
      <c r="C573" s="16" t="s">
        <v>1967</v>
      </c>
      <c r="D573" t="s">
        <v>2249</v>
      </c>
      <c r="E573" s="14">
        <v>4</v>
      </c>
      <c r="F573" s="16" t="s">
        <v>5928</v>
      </c>
      <c r="G573" s="19">
        <v>45847</v>
      </c>
    </row>
    <row r="574" spans="1:7">
      <c r="A574" t="s">
        <v>6502</v>
      </c>
      <c r="B574" t="s">
        <v>4126</v>
      </c>
      <c r="C574" s="16" t="s">
        <v>2091</v>
      </c>
      <c r="D574" t="s">
        <v>2193</v>
      </c>
      <c r="E574" s="14" t="s">
        <v>39</v>
      </c>
      <c r="F574" s="16" t="s">
        <v>5928</v>
      </c>
      <c r="G574" s="19">
        <v>45568</v>
      </c>
    </row>
    <row r="575" spans="1:7">
      <c r="A575" t="s">
        <v>6503</v>
      </c>
      <c r="B575" t="s">
        <v>5742</v>
      </c>
      <c r="C575" s="16" t="s">
        <v>159</v>
      </c>
      <c r="D575" t="s">
        <v>2213</v>
      </c>
      <c r="E575" s="14">
        <v>5</v>
      </c>
      <c r="F575" s="16" t="s">
        <v>5931</v>
      </c>
      <c r="G575" s="19">
        <v>45231</v>
      </c>
    </row>
    <row r="576" spans="1:7">
      <c r="A576" t="s">
        <v>6504</v>
      </c>
      <c r="B576" t="s">
        <v>4762</v>
      </c>
      <c r="C576" s="16" t="s">
        <v>2080</v>
      </c>
      <c r="D576" t="s">
        <v>2264</v>
      </c>
      <c r="E576" s="14">
        <v>4</v>
      </c>
      <c r="F576" s="16" t="s">
        <v>5924</v>
      </c>
      <c r="G576" s="19">
        <v>45239</v>
      </c>
    </row>
    <row r="577" spans="1:7">
      <c r="A577" t="s">
        <v>6505</v>
      </c>
      <c r="B577" t="s">
        <v>4772</v>
      </c>
      <c r="C577" s="16" t="s">
        <v>387</v>
      </c>
      <c r="D577" t="s">
        <v>2253</v>
      </c>
      <c r="E577" s="14">
        <v>4</v>
      </c>
      <c r="F577" s="16" t="s">
        <v>5938</v>
      </c>
      <c r="G577" s="19">
        <v>45406</v>
      </c>
    </row>
    <row r="578" spans="1:7">
      <c r="A578" t="s">
        <v>6506</v>
      </c>
      <c r="B578" t="s">
        <v>2479</v>
      </c>
      <c r="C578" s="16" t="s">
        <v>1165</v>
      </c>
      <c r="D578" t="s">
        <v>2267</v>
      </c>
      <c r="E578" s="14">
        <v>4</v>
      </c>
      <c r="F578" s="16" t="s">
        <v>5924</v>
      </c>
      <c r="G578" s="19">
        <v>45892</v>
      </c>
    </row>
    <row r="579" spans="1:7">
      <c r="A579" t="s">
        <v>6507</v>
      </c>
      <c r="B579" t="s">
        <v>5098</v>
      </c>
      <c r="C579" s="16" t="s">
        <v>1203</v>
      </c>
      <c r="D579" t="s">
        <v>2241</v>
      </c>
      <c r="E579" s="14">
        <v>5</v>
      </c>
      <c r="F579" s="16" t="s">
        <v>5973</v>
      </c>
      <c r="G579" s="19">
        <v>45982</v>
      </c>
    </row>
    <row r="580" spans="1:7">
      <c r="A580" t="s">
        <v>6508</v>
      </c>
      <c r="B580" t="s">
        <v>5587</v>
      </c>
      <c r="C580" s="16" t="s">
        <v>2126</v>
      </c>
      <c r="D580" t="s">
        <v>2259</v>
      </c>
      <c r="E580" s="14">
        <v>5</v>
      </c>
      <c r="F580" s="16" t="s">
        <v>5933</v>
      </c>
      <c r="G580" s="19">
        <v>46045</v>
      </c>
    </row>
    <row r="581" spans="1:7">
      <c r="A581" t="s">
        <v>6509</v>
      </c>
      <c r="B581" t="s">
        <v>3105</v>
      </c>
      <c r="C581" s="16" t="s">
        <v>803</v>
      </c>
      <c r="D581" t="s">
        <v>2216</v>
      </c>
      <c r="E581" s="14">
        <v>4</v>
      </c>
      <c r="F581" s="16" t="s">
        <v>5946</v>
      </c>
      <c r="G581" s="19">
        <v>45503</v>
      </c>
    </row>
    <row r="582" spans="1:7">
      <c r="A582" t="s">
        <v>6510</v>
      </c>
      <c r="B582" t="s">
        <v>4323</v>
      </c>
      <c r="C582" s="16" t="s">
        <v>1354</v>
      </c>
      <c r="D582" t="s">
        <v>2187</v>
      </c>
      <c r="E582" s="14" t="s">
        <v>39</v>
      </c>
      <c r="F582" s="16" t="s">
        <v>5979</v>
      </c>
      <c r="G582" s="19">
        <v>46161</v>
      </c>
    </row>
    <row r="583" spans="1:7">
      <c r="A583" t="s">
        <v>6511</v>
      </c>
      <c r="B583" t="s">
        <v>5421</v>
      </c>
      <c r="C583" s="16" t="s">
        <v>1759</v>
      </c>
      <c r="D583" t="s">
        <v>2231</v>
      </c>
      <c r="E583" s="14">
        <v>3</v>
      </c>
      <c r="F583" s="16" t="s">
        <v>5946</v>
      </c>
      <c r="G583" s="19">
        <v>45167</v>
      </c>
    </row>
    <row r="584" spans="1:7">
      <c r="A584" t="s">
        <v>6512</v>
      </c>
      <c r="B584" t="s">
        <v>5188</v>
      </c>
      <c r="C584" s="16" t="s">
        <v>1798</v>
      </c>
      <c r="D584" t="s">
        <v>2257</v>
      </c>
      <c r="E584" s="14">
        <v>4</v>
      </c>
      <c r="F584" s="16" t="s">
        <v>5940</v>
      </c>
      <c r="G584" s="19">
        <v>45587</v>
      </c>
    </row>
    <row r="585" spans="1:7">
      <c r="A585" t="s">
        <v>6513</v>
      </c>
      <c r="B585" t="s">
        <v>3323</v>
      </c>
      <c r="C585" s="16" t="s">
        <v>809</v>
      </c>
      <c r="D585" t="s">
        <v>2257</v>
      </c>
      <c r="E585" s="14">
        <v>1</v>
      </c>
      <c r="F585" s="16" t="s">
        <v>5933</v>
      </c>
      <c r="G585" s="19">
        <v>45555</v>
      </c>
    </row>
    <row r="586" spans="1:7">
      <c r="A586" t="s">
        <v>6514</v>
      </c>
      <c r="B586" t="s">
        <v>4588</v>
      </c>
      <c r="C586" s="16" t="s">
        <v>397</v>
      </c>
      <c r="D586" t="s">
        <v>2241</v>
      </c>
      <c r="E586" s="14">
        <v>5</v>
      </c>
      <c r="F586" s="16" t="s">
        <v>5933</v>
      </c>
      <c r="G586" s="19">
        <v>45414</v>
      </c>
    </row>
    <row r="587" spans="1:7">
      <c r="A587" t="s">
        <v>6515</v>
      </c>
      <c r="B587" t="s">
        <v>2935</v>
      </c>
      <c r="C587" s="16" t="s">
        <v>34</v>
      </c>
      <c r="D587" t="s">
        <v>2233</v>
      </c>
      <c r="E587" s="14">
        <v>5</v>
      </c>
      <c r="F587" s="16" t="s">
        <v>5931</v>
      </c>
      <c r="G587" s="19">
        <v>45632</v>
      </c>
    </row>
    <row r="588" spans="1:7">
      <c r="A588" t="s">
        <v>6516</v>
      </c>
      <c r="B588" t="s">
        <v>4538</v>
      </c>
      <c r="C588" s="16" t="s">
        <v>745</v>
      </c>
      <c r="D588" t="s">
        <v>2271</v>
      </c>
      <c r="E588" s="14">
        <v>5</v>
      </c>
      <c r="F588" s="16" t="s">
        <v>5928</v>
      </c>
      <c r="G588" s="19">
        <v>45353</v>
      </c>
    </row>
    <row r="589" spans="1:7">
      <c r="A589" t="s">
        <v>6517</v>
      </c>
      <c r="B589" t="s">
        <v>4827</v>
      </c>
      <c r="C589" s="16" t="s">
        <v>264</v>
      </c>
      <c r="D589" t="s">
        <v>2222</v>
      </c>
      <c r="E589" s="14" t="s">
        <v>39</v>
      </c>
      <c r="F589" s="16" t="s">
        <v>5933</v>
      </c>
      <c r="G589" s="19">
        <v>46053</v>
      </c>
    </row>
    <row r="590" spans="1:7">
      <c r="A590" t="s">
        <v>6518</v>
      </c>
      <c r="B590" t="s">
        <v>2617</v>
      </c>
      <c r="C590" s="16" t="s">
        <v>910</v>
      </c>
      <c r="D590" t="s">
        <v>2216</v>
      </c>
      <c r="E590" s="14">
        <v>5</v>
      </c>
      <c r="F590" s="16" t="s">
        <v>5979</v>
      </c>
      <c r="G590" s="19">
        <v>45440</v>
      </c>
    </row>
    <row r="591" spans="1:7">
      <c r="A591" t="s">
        <v>6519</v>
      </c>
      <c r="B591" t="s">
        <v>4531</v>
      </c>
      <c r="C591" s="16" t="s">
        <v>542</v>
      </c>
      <c r="D591" t="s">
        <v>2273</v>
      </c>
      <c r="E591" s="14">
        <v>4</v>
      </c>
      <c r="F591" s="16" t="s">
        <v>5920</v>
      </c>
      <c r="G591" s="19">
        <v>46101</v>
      </c>
    </row>
    <row r="592" spans="1:7">
      <c r="A592" t="s">
        <v>6520</v>
      </c>
      <c r="B592" t="s">
        <v>2584</v>
      </c>
      <c r="C592" s="16" t="s">
        <v>1380</v>
      </c>
      <c r="D592" t="s">
        <v>2253</v>
      </c>
      <c r="E592" s="14" t="s">
        <v>39</v>
      </c>
      <c r="F592" s="16" t="s">
        <v>5924</v>
      </c>
      <c r="G592" s="19">
        <v>46163</v>
      </c>
    </row>
    <row r="593" spans="1:7">
      <c r="A593" t="s">
        <v>6521</v>
      </c>
      <c r="B593" t="s">
        <v>4823</v>
      </c>
      <c r="C593" s="16" t="s">
        <v>997</v>
      </c>
      <c r="D593" t="s">
        <v>2249</v>
      </c>
      <c r="E593" s="14">
        <v>2</v>
      </c>
      <c r="F593" s="16" t="s">
        <v>5940</v>
      </c>
      <c r="G593" s="19">
        <v>45960</v>
      </c>
    </row>
    <row r="594" spans="1:7">
      <c r="A594" t="s">
        <v>6522</v>
      </c>
      <c r="B594" t="s">
        <v>5218</v>
      </c>
      <c r="C594" s="16" t="s">
        <v>1918</v>
      </c>
      <c r="D594" t="s">
        <v>2257</v>
      </c>
      <c r="E594" s="14">
        <v>4</v>
      </c>
      <c r="F594" s="16" t="s">
        <v>23</v>
      </c>
      <c r="G594" s="19">
        <v>45706</v>
      </c>
    </row>
    <row r="595" spans="1:7">
      <c r="A595" t="s">
        <v>6523</v>
      </c>
      <c r="B595" t="s">
        <v>4970</v>
      </c>
      <c r="C595" s="16" t="s">
        <v>1311</v>
      </c>
      <c r="D595" t="s">
        <v>2222</v>
      </c>
      <c r="E595" s="14" t="s">
        <v>39</v>
      </c>
      <c r="F595" s="16" t="s">
        <v>5973</v>
      </c>
      <c r="G595" s="19">
        <v>45730</v>
      </c>
    </row>
    <row r="596" spans="1:7">
      <c r="A596" t="s">
        <v>6524</v>
      </c>
      <c r="B596" t="s">
        <v>3406</v>
      </c>
      <c r="C596" s="16" t="s">
        <v>936</v>
      </c>
      <c r="D596" t="s">
        <v>2257</v>
      </c>
      <c r="E596" s="14">
        <v>2</v>
      </c>
      <c r="F596" s="16" t="s">
        <v>5924</v>
      </c>
      <c r="G596" s="19">
        <v>45460</v>
      </c>
    </row>
    <row r="597" spans="1:7">
      <c r="A597" t="s">
        <v>6525</v>
      </c>
      <c r="B597" t="s">
        <v>4807</v>
      </c>
      <c r="C597" s="16" t="s">
        <v>1642</v>
      </c>
      <c r="D597" t="s">
        <v>2247</v>
      </c>
      <c r="E597" s="14">
        <v>2</v>
      </c>
      <c r="F597" s="16" t="s">
        <v>5938</v>
      </c>
      <c r="G597" s="19">
        <v>45311</v>
      </c>
    </row>
    <row r="598" spans="1:7">
      <c r="A598" t="s">
        <v>6526</v>
      </c>
      <c r="B598" t="s">
        <v>3811</v>
      </c>
      <c r="C598" s="16" t="s">
        <v>622</v>
      </c>
      <c r="D598" t="s">
        <v>2247</v>
      </c>
      <c r="E598" s="14">
        <v>4</v>
      </c>
      <c r="F598" s="16" t="s">
        <v>5973</v>
      </c>
      <c r="G598" s="19">
        <v>45237</v>
      </c>
    </row>
    <row r="599" spans="1:7">
      <c r="A599" t="s">
        <v>6527</v>
      </c>
      <c r="B599" t="s">
        <v>2779</v>
      </c>
      <c r="C599" s="16" t="s">
        <v>1511</v>
      </c>
      <c r="D599" t="s">
        <v>2264</v>
      </c>
      <c r="E599" s="14">
        <v>1</v>
      </c>
      <c r="F599" s="16" t="s">
        <v>5931</v>
      </c>
      <c r="G599" s="19">
        <v>45450</v>
      </c>
    </row>
    <row r="600" spans="1:7">
      <c r="A600" t="s">
        <v>6528</v>
      </c>
      <c r="B600" t="s">
        <v>3628</v>
      </c>
      <c r="C600" s="16" t="s">
        <v>1654</v>
      </c>
      <c r="D600" t="s">
        <v>2187</v>
      </c>
      <c r="E600" s="14">
        <v>1</v>
      </c>
      <c r="F600" s="16" t="s">
        <v>5940</v>
      </c>
      <c r="G600" s="19">
        <v>45791</v>
      </c>
    </row>
    <row r="601" spans="1:7">
      <c r="A601" t="s">
        <v>6529</v>
      </c>
      <c r="B601" t="s">
        <v>3102</v>
      </c>
      <c r="C601" s="16" t="s">
        <v>1776</v>
      </c>
      <c r="D601" t="s">
        <v>2193</v>
      </c>
      <c r="E601" s="14">
        <v>1</v>
      </c>
      <c r="F601" s="16" t="s">
        <v>5931</v>
      </c>
      <c r="G601" s="19">
        <v>46162</v>
      </c>
    </row>
    <row r="602" spans="1:7">
      <c r="A602" t="s">
        <v>6530</v>
      </c>
      <c r="B602" t="s">
        <v>4734</v>
      </c>
      <c r="C602" s="16" t="s">
        <v>2045</v>
      </c>
      <c r="D602" t="s">
        <v>2205</v>
      </c>
      <c r="E602" s="14">
        <v>4</v>
      </c>
      <c r="F602" s="16" t="s">
        <v>5917</v>
      </c>
      <c r="G602" s="19">
        <v>45348</v>
      </c>
    </row>
    <row r="603" spans="1:7">
      <c r="A603" t="s">
        <v>6531</v>
      </c>
      <c r="B603" t="s">
        <v>3616</v>
      </c>
      <c r="C603" s="16" t="s">
        <v>481</v>
      </c>
      <c r="D603" t="s">
        <v>2235</v>
      </c>
      <c r="E603" s="14">
        <v>5</v>
      </c>
      <c r="F603" s="16" t="s">
        <v>5961</v>
      </c>
      <c r="G603" s="19">
        <v>45747</v>
      </c>
    </row>
    <row r="604" spans="1:7">
      <c r="A604" t="s">
        <v>6532</v>
      </c>
      <c r="B604" t="s">
        <v>5688</v>
      </c>
      <c r="C604" s="16" t="s">
        <v>2132</v>
      </c>
      <c r="D604" t="s">
        <v>2264</v>
      </c>
      <c r="E604" s="14" t="s">
        <v>39</v>
      </c>
      <c r="F604" s="16" t="s">
        <v>5922</v>
      </c>
      <c r="G604" s="19">
        <v>45357</v>
      </c>
    </row>
    <row r="605" spans="1:7">
      <c r="A605" t="s">
        <v>6533</v>
      </c>
      <c r="B605" t="s">
        <v>3761</v>
      </c>
      <c r="C605" s="16" t="s">
        <v>739</v>
      </c>
      <c r="D605" t="s">
        <v>2269</v>
      </c>
      <c r="E605" s="14">
        <v>5</v>
      </c>
      <c r="F605" s="16" t="s">
        <v>5933</v>
      </c>
      <c r="G605" s="19">
        <v>45996</v>
      </c>
    </row>
    <row r="606" spans="1:7">
      <c r="A606" t="s">
        <v>6534</v>
      </c>
      <c r="B606" t="s">
        <v>5525</v>
      </c>
      <c r="C606" s="16" t="s">
        <v>1158</v>
      </c>
      <c r="D606" t="s">
        <v>2187</v>
      </c>
      <c r="E606" s="14">
        <v>3</v>
      </c>
      <c r="F606" s="16" t="s">
        <v>5973</v>
      </c>
      <c r="G606" s="19">
        <v>45633</v>
      </c>
    </row>
    <row r="607" spans="1:7">
      <c r="A607" t="s">
        <v>6535</v>
      </c>
      <c r="B607" t="s">
        <v>5703</v>
      </c>
      <c r="C607" s="16" t="s">
        <v>1233</v>
      </c>
      <c r="D607" t="s">
        <v>2231</v>
      </c>
      <c r="E607" s="14">
        <v>1</v>
      </c>
      <c r="F607" s="16" t="s">
        <v>5938</v>
      </c>
      <c r="G607" s="19">
        <v>45612</v>
      </c>
    </row>
    <row r="608" spans="1:7">
      <c r="A608" t="s">
        <v>6536</v>
      </c>
      <c r="B608" t="s">
        <v>5840</v>
      </c>
      <c r="C608" s="16" t="s">
        <v>1480</v>
      </c>
      <c r="D608" t="s">
        <v>2233</v>
      </c>
      <c r="E608" s="14">
        <v>4</v>
      </c>
      <c r="F608" s="16" t="s">
        <v>5920</v>
      </c>
      <c r="G608" s="19">
        <v>45119</v>
      </c>
    </row>
    <row r="609" spans="1:7">
      <c r="A609" t="s">
        <v>6537</v>
      </c>
      <c r="B609" t="s">
        <v>5015</v>
      </c>
      <c r="C609" s="16" t="s">
        <v>460</v>
      </c>
      <c r="D609" t="s">
        <v>2231</v>
      </c>
      <c r="E609" s="14">
        <v>1</v>
      </c>
      <c r="F609" s="16" t="s">
        <v>5973</v>
      </c>
      <c r="G609" s="19">
        <v>45658</v>
      </c>
    </row>
    <row r="610" spans="1:7">
      <c r="A610" t="s">
        <v>6538</v>
      </c>
      <c r="B610" t="s">
        <v>2794</v>
      </c>
      <c r="C610" s="16" t="s">
        <v>2108</v>
      </c>
      <c r="D610" t="s">
        <v>2218</v>
      </c>
      <c r="E610" s="14" t="s">
        <v>39</v>
      </c>
      <c r="F610" s="16" t="s">
        <v>5938</v>
      </c>
      <c r="G610" s="19">
        <v>44995</v>
      </c>
    </row>
    <row r="611" spans="1:7">
      <c r="A611" t="s">
        <v>6539</v>
      </c>
      <c r="B611" t="s">
        <v>3762</v>
      </c>
      <c r="C611" s="16" t="s">
        <v>729</v>
      </c>
      <c r="D611" t="s">
        <v>2253</v>
      </c>
      <c r="E611" s="14">
        <v>4</v>
      </c>
      <c r="F611" s="16" t="s">
        <v>5931</v>
      </c>
      <c r="G611" s="19">
        <v>45920</v>
      </c>
    </row>
    <row r="612" spans="1:7">
      <c r="A612" t="s">
        <v>6540</v>
      </c>
      <c r="B612" t="s">
        <v>3005</v>
      </c>
      <c r="C612" s="16" t="s">
        <v>1631</v>
      </c>
      <c r="D612" t="s">
        <v>2259</v>
      </c>
      <c r="E612" s="14" t="s">
        <v>39</v>
      </c>
      <c r="F612" s="16" t="s">
        <v>23</v>
      </c>
      <c r="G612" s="19">
        <v>45781</v>
      </c>
    </row>
    <row r="613" spans="1:7">
      <c r="A613" t="s">
        <v>6541</v>
      </c>
      <c r="B613" t="s">
        <v>2358</v>
      </c>
      <c r="C613" s="16" t="s">
        <v>1532</v>
      </c>
      <c r="D613" t="s">
        <v>2202</v>
      </c>
      <c r="E613" s="14">
        <v>3</v>
      </c>
      <c r="F613" s="16" t="s">
        <v>5979</v>
      </c>
      <c r="G613" s="19">
        <v>45187</v>
      </c>
    </row>
    <row r="614" spans="1:7">
      <c r="A614" t="s">
        <v>6542</v>
      </c>
      <c r="B614" t="s">
        <v>2368</v>
      </c>
      <c r="C614" s="16" t="s">
        <v>953</v>
      </c>
      <c r="D614" t="s">
        <v>2218</v>
      </c>
      <c r="E614" s="14">
        <v>5</v>
      </c>
      <c r="F614" s="16" t="s">
        <v>23</v>
      </c>
      <c r="G614" s="19">
        <v>45577</v>
      </c>
    </row>
    <row r="615" spans="1:7">
      <c r="A615" t="s">
        <v>6543</v>
      </c>
      <c r="B615" t="s">
        <v>3144</v>
      </c>
      <c r="C615" s="16" t="s">
        <v>163</v>
      </c>
      <c r="D615" t="s">
        <v>2237</v>
      </c>
      <c r="E615" s="14">
        <v>3</v>
      </c>
      <c r="F615" s="16" t="s">
        <v>5931</v>
      </c>
      <c r="G615" s="19">
        <v>45965</v>
      </c>
    </row>
    <row r="616" spans="1:7">
      <c r="A616" t="s">
        <v>6544</v>
      </c>
      <c r="B616" t="s">
        <v>3477</v>
      </c>
      <c r="C616" s="16" t="s">
        <v>2104</v>
      </c>
      <c r="D616" t="s">
        <v>2205</v>
      </c>
      <c r="E616" s="14" t="s">
        <v>39</v>
      </c>
      <c r="F616" s="16" t="s">
        <v>5973</v>
      </c>
      <c r="G616" s="19">
        <v>46074</v>
      </c>
    </row>
    <row r="617" spans="1:7">
      <c r="A617" t="s">
        <v>6545</v>
      </c>
      <c r="B617" t="s">
        <v>3836</v>
      </c>
      <c r="C617" s="16" t="s">
        <v>80</v>
      </c>
      <c r="D617" t="s">
        <v>2235</v>
      </c>
      <c r="E617" s="14">
        <v>2</v>
      </c>
      <c r="F617" s="16" t="s">
        <v>5933</v>
      </c>
      <c r="G617" s="19">
        <v>46148</v>
      </c>
    </row>
    <row r="618" spans="1:7">
      <c r="A618" t="s">
        <v>6546</v>
      </c>
      <c r="B618" t="s">
        <v>3097</v>
      </c>
      <c r="C618" s="16" t="s">
        <v>1842</v>
      </c>
      <c r="D618" t="s">
        <v>2198</v>
      </c>
      <c r="E618" s="14">
        <v>5</v>
      </c>
      <c r="F618" s="16" t="s">
        <v>5931</v>
      </c>
      <c r="G618" s="19">
        <v>45389</v>
      </c>
    </row>
    <row r="619" spans="1:7">
      <c r="A619" t="s">
        <v>6547</v>
      </c>
      <c r="B619" t="s">
        <v>2471</v>
      </c>
      <c r="C619" s="16" t="s">
        <v>1544</v>
      </c>
      <c r="D619" t="s">
        <v>2233</v>
      </c>
      <c r="E619" s="14">
        <v>5</v>
      </c>
      <c r="F619" s="16" t="s">
        <v>5940</v>
      </c>
      <c r="G619" s="19">
        <v>45590</v>
      </c>
    </row>
    <row r="620" spans="1:7">
      <c r="A620" t="s">
        <v>6548</v>
      </c>
      <c r="B620" t="s">
        <v>5144</v>
      </c>
      <c r="C620" s="16" t="s">
        <v>1143</v>
      </c>
      <c r="D620" t="s">
        <v>2271</v>
      </c>
      <c r="E620" s="14" t="s">
        <v>39</v>
      </c>
      <c r="F620" s="16" t="s">
        <v>5931</v>
      </c>
      <c r="G620" s="19">
        <v>45950</v>
      </c>
    </row>
    <row r="621" spans="1:7">
      <c r="A621" t="s">
        <v>6549</v>
      </c>
      <c r="B621" t="s">
        <v>4480</v>
      </c>
      <c r="C621" s="16" t="s">
        <v>2073</v>
      </c>
      <c r="D621" t="s">
        <v>2202</v>
      </c>
      <c r="E621" s="14">
        <v>1</v>
      </c>
      <c r="F621" s="16" t="s">
        <v>5928</v>
      </c>
      <c r="G621" s="19">
        <v>45758</v>
      </c>
    </row>
    <row r="622" spans="1:7">
      <c r="A622" t="s">
        <v>6550</v>
      </c>
      <c r="B622" t="s">
        <v>5859</v>
      </c>
      <c r="C622" s="16" t="s">
        <v>1548</v>
      </c>
      <c r="D622" t="s">
        <v>2222</v>
      </c>
      <c r="E622" s="14" t="s">
        <v>39</v>
      </c>
      <c r="F622" s="16" t="s">
        <v>5924</v>
      </c>
      <c r="G622" s="19">
        <v>45400</v>
      </c>
    </row>
    <row r="623" spans="1:7">
      <c r="A623" t="s">
        <v>6551</v>
      </c>
      <c r="B623" t="s">
        <v>5728</v>
      </c>
      <c r="C623" s="16" t="s">
        <v>2057</v>
      </c>
      <c r="D623" t="s">
        <v>2244</v>
      </c>
      <c r="E623" s="14">
        <v>2</v>
      </c>
      <c r="F623" s="16" t="s">
        <v>5917</v>
      </c>
      <c r="G623" s="19">
        <v>45254</v>
      </c>
    </row>
    <row r="624" spans="1:7">
      <c r="A624" t="s">
        <v>6552</v>
      </c>
      <c r="B624" t="s">
        <v>4465</v>
      </c>
      <c r="C624" s="16" t="s">
        <v>932</v>
      </c>
      <c r="D624" t="s">
        <v>2247</v>
      </c>
      <c r="E624" s="14">
        <v>5</v>
      </c>
      <c r="F624" s="16" t="s">
        <v>5917</v>
      </c>
      <c r="G624" s="19">
        <v>46027</v>
      </c>
    </row>
    <row r="625" spans="1:7">
      <c r="A625" t="s">
        <v>6553</v>
      </c>
      <c r="B625" t="s">
        <v>3383</v>
      </c>
      <c r="C625" s="16" t="s">
        <v>489</v>
      </c>
      <c r="D625" t="s">
        <v>2269</v>
      </c>
      <c r="E625" s="14">
        <v>5</v>
      </c>
      <c r="F625" s="16" t="s">
        <v>5940</v>
      </c>
      <c r="G625" s="19">
        <v>45162</v>
      </c>
    </row>
    <row r="626" spans="1:7">
      <c r="A626" t="s">
        <v>6554</v>
      </c>
      <c r="B626" t="s">
        <v>2760</v>
      </c>
      <c r="C626" s="16" t="s">
        <v>121</v>
      </c>
      <c r="D626" t="s">
        <v>2235</v>
      </c>
      <c r="E626" s="14">
        <v>4</v>
      </c>
      <c r="F626" s="16" t="s">
        <v>23</v>
      </c>
      <c r="G626" s="19">
        <v>45368</v>
      </c>
    </row>
    <row r="627" spans="1:7">
      <c r="A627" t="s">
        <v>6555</v>
      </c>
      <c r="B627" t="s">
        <v>5821</v>
      </c>
      <c r="C627" s="16" t="s">
        <v>1492</v>
      </c>
      <c r="D627" t="s">
        <v>2273</v>
      </c>
      <c r="E627" s="14">
        <v>5</v>
      </c>
      <c r="F627" s="16" t="s">
        <v>23</v>
      </c>
      <c r="G627" s="19">
        <v>45791</v>
      </c>
    </row>
    <row r="628" spans="1:7">
      <c r="A628" t="s">
        <v>6556</v>
      </c>
      <c r="B628" t="s">
        <v>5028</v>
      </c>
      <c r="C628" s="16" t="s">
        <v>2077</v>
      </c>
      <c r="D628" t="s">
        <v>2259</v>
      </c>
      <c r="E628" s="14">
        <v>4</v>
      </c>
      <c r="F628" s="16" t="s">
        <v>5931</v>
      </c>
      <c r="G628" s="19">
        <v>45456</v>
      </c>
    </row>
    <row r="629" spans="1:7">
      <c r="A629" t="s">
        <v>6557</v>
      </c>
      <c r="B629" t="s">
        <v>4567</v>
      </c>
      <c r="C629" s="16" t="s">
        <v>1904</v>
      </c>
      <c r="D629" t="s">
        <v>2264</v>
      </c>
      <c r="E629" s="14">
        <v>5</v>
      </c>
      <c r="F629" s="16" t="s">
        <v>23</v>
      </c>
      <c r="G629" s="19">
        <v>46002</v>
      </c>
    </row>
    <row r="630" spans="1:7">
      <c r="A630" t="s">
        <v>6558</v>
      </c>
      <c r="B630" t="s">
        <v>2657</v>
      </c>
      <c r="C630" s="16" t="s">
        <v>1561</v>
      </c>
      <c r="D630" t="s">
        <v>2216</v>
      </c>
      <c r="E630" s="14">
        <v>5</v>
      </c>
      <c r="F630" s="16" t="s">
        <v>5922</v>
      </c>
      <c r="G630" s="19">
        <v>45626</v>
      </c>
    </row>
    <row r="631" spans="1:7">
      <c r="A631" t="s">
        <v>6559</v>
      </c>
      <c r="B631" t="s">
        <v>4560</v>
      </c>
      <c r="C631" s="16" t="s">
        <v>551</v>
      </c>
      <c r="D631" t="s">
        <v>2253</v>
      </c>
      <c r="E631" s="14">
        <v>3</v>
      </c>
      <c r="F631" s="16" t="s">
        <v>5940</v>
      </c>
      <c r="G631" s="19">
        <v>45258</v>
      </c>
    </row>
    <row r="632" spans="1:7">
      <c r="A632" t="s">
        <v>6560</v>
      </c>
      <c r="B632" t="s">
        <v>5875</v>
      </c>
      <c r="C632" s="16" t="s">
        <v>1864</v>
      </c>
      <c r="D632" t="s">
        <v>2257</v>
      </c>
      <c r="E632" s="14" t="s">
        <v>39</v>
      </c>
      <c r="F632" s="16" t="s">
        <v>23</v>
      </c>
      <c r="G632" s="19">
        <v>45396</v>
      </c>
    </row>
    <row r="633" spans="1:7">
      <c r="A633" t="s">
        <v>6561</v>
      </c>
      <c r="B633" t="s">
        <v>5777</v>
      </c>
      <c r="C633" s="16" t="s">
        <v>675</v>
      </c>
      <c r="D633" t="s">
        <v>2264</v>
      </c>
      <c r="E633" s="14">
        <v>5</v>
      </c>
      <c r="F633" s="16" t="s">
        <v>5928</v>
      </c>
      <c r="G633" s="19">
        <v>45448</v>
      </c>
    </row>
    <row r="634" spans="1:7">
      <c r="A634" t="s">
        <v>6562</v>
      </c>
      <c r="B634" t="s">
        <v>5587</v>
      </c>
      <c r="C634" s="16" t="s">
        <v>2126</v>
      </c>
      <c r="D634" t="s">
        <v>2259</v>
      </c>
      <c r="E634" s="14">
        <v>4</v>
      </c>
      <c r="F634" s="16" t="s">
        <v>5946</v>
      </c>
      <c r="G634" s="19">
        <v>46118</v>
      </c>
    </row>
    <row r="635" spans="1:7">
      <c r="A635" t="s">
        <v>6563</v>
      </c>
      <c r="B635" t="s">
        <v>4319</v>
      </c>
      <c r="C635" s="16" t="s">
        <v>1401</v>
      </c>
      <c r="D635" t="s">
        <v>2198</v>
      </c>
      <c r="E635" s="14">
        <v>1</v>
      </c>
      <c r="F635" s="16" t="s">
        <v>23</v>
      </c>
      <c r="G635" s="19">
        <v>45760</v>
      </c>
    </row>
    <row r="636" spans="1:7">
      <c r="A636" t="s">
        <v>6564</v>
      </c>
      <c r="B636" t="s">
        <v>2552</v>
      </c>
      <c r="C636" s="16" t="s">
        <v>581</v>
      </c>
      <c r="D636" t="s">
        <v>2233</v>
      </c>
      <c r="E636" s="14">
        <v>1</v>
      </c>
      <c r="F636" s="16" t="s">
        <v>5973</v>
      </c>
      <c r="G636" s="19">
        <v>45685</v>
      </c>
    </row>
    <row r="637" spans="1:7">
      <c r="A637" t="s">
        <v>6565</v>
      </c>
      <c r="B637" t="s">
        <v>3163</v>
      </c>
      <c r="C637" s="16" t="s">
        <v>527</v>
      </c>
      <c r="D637" t="s">
        <v>2259</v>
      </c>
      <c r="E637" s="14">
        <v>2</v>
      </c>
      <c r="F637" s="16" t="s">
        <v>5961</v>
      </c>
      <c r="G637" s="19">
        <v>46001</v>
      </c>
    </row>
    <row r="638" spans="1:7">
      <c r="A638" t="s">
        <v>6566</v>
      </c>
      <c r="B638" t="s">
        <v>3279</v>
      </c>
      <c r="C638" s="16" t="s">
        <v>1194</v>
      </c>
      <c r="D638" t="s">
        <v>2267</v>
      </c>
      <c r="E638" s="14">
        <v>3</v>
      </c>
      <c r="F638" s="16" t="s">
        <v>5973</v>
      </c>
      <c r="G638" s="19">
        <v>45805</v>
      </c>
    </row>
    <row r="639" spans="1:7">
      <c r="A639" t="s">
        <v>6567</v>
      </c>
      <c r="B639" t="s">
        <v>4274</v>
      </c>
      <c r="C639" s="16" t="s">
        <v>717</v>
      </c>
      <c r="D639" t="s">
        <v>2233</v>
      </c>
      <c r="E639" s="14">
        <v>2</v>
      </c>
      <c r="F639" s="16" t="s">
        <v>5940</v>
      </c>
      <c r="G639" s="19">
        <v>46147</v>
      </c>
    </row>
    <row r="640" spans="1:7">
      <c r="A640" t="s">
        <v>6568</v>
      </c>
      <c r="B640" t="s">
        <v>4595</v>
      </c>
      <c r="C640" s="16" t="s">
        <v>80</v>
      </c>
      <c r="D640" t="s">
        <v>2264</v>
      </c>
      <c r="E640" s="14">
        <v>4</v>
      </c>
      <c r="F640" s="16" t="s">
        <v>5933</v>
      </c>
      <c r="G640" s="19">
        <v>45752</v>
      </c>
    </row>
    <row r="641" spans="1:7">
      <c r="A641" t="s">
        <v>6569</v>
      </c>
      <c r="B641" t="s">
        <v>4036</v>
      </c>
      <c r="C641" s="16" t="s">
        <v>506</v>
      </c>
      <c r="D641" t="s">
        <v>2253</v>
      </c>
      <c r="E641" s="14">
        <v>4</v>
      </c>
      <c r="F641" s="16" t="s">
        <v>5928</v>
      </c>
      <c r="G641" s="19">
        <v>45229</v>
      </c>
    </row>
    <row r="642" spans="1:7">
      <c r="A642" t="s">
        <v>6570</v>
      </c>
      <c r="B642" t="s">
        <v>5832</v>
      </c>
      <c r="C642" s="16" t="s">
        <v>1126</v>
      </c>
      <c r="D642" t="s">
        <v>2228</v>
      </c>
      <c r="E642" s="14">
        <v>1</v>
      </c>
      <c r="F642" s="16" t="s">
        <v>5928</v>
      </c>
      <c r="G642" s="19">
        <v>45666</v>
      </c>
    </row>
    <row r="643" spans="1:7">
      <c r="A643" t="s">
        <v>6571</v>
      </c>
      <c r="B643" t="s">
        <v>3979</v>
      </c>
      <c r="C643" s="16" t="s">
        <v>213</v>
      </c>
      <c r="D643" t="s">
        <v>2222</v>
      </c>
      <c r="E643" s="14">
        <v>2</v>
      </c>
      <c r="F643" s="16" t="s">
        <v>5917</v>
      </c>
      <c r="G643" s="19">
        <v>45756</v>
      </c>
    </row>
    <row r="644" spans="1:7">
      <c r="A644" t="s">
        <v>6572</v>
      </c>
      <c r="B644" t="s">
        <v>3265</v>
      </c>
      <c r="C644" s="16" t="s">
        <v>331</v>
      </c>
      <c r="D644" t="s">
        <v>2193</v>
      </c>
      <c r="E644" s="14">
        <v>5</v>
      </c>
      <c r="F644" s="16" t="s">
        <v>5926</v>
      </c>
      <c r="G644" s="19">
        <v>45311</v>
      </c>
    </row>
    <row r="645" spans="1:7">
      <c r="A645" t="s">
        <v>6573</v>
      </c>
      <c r="B645" t="s">
        <v>2835</v>
      </c>
      <c r="C645" s="16" t="s">
        <v>664</v>
      </c>
      <c r="D645" t="s">
        <v>2269</v>
      </c>
      <c r="E645" s="14">
        <v>2</v>
      </c>
      <c r="F645" s="16" t="s">
        <v>5924</v>
      </c>
      <c r="G645" s="19">
        <v>46002</v>
      </c>
    </row>
    <row r="646" spans="1:7">
      <c r="A646" t="s">
        <v>6574</v>
      </c>
      <c r="B646" t="s">
        <v>2474</v>
      </c>
      <c r="C646" s="16" t="s">
        <v>360</v>
      </c>
      <c r="D646" t="s">
        <v>2264</v>
      </c>
      <c r="E646" s="14">
        <v>4</v>
      </c>
      <c r="F646" s="16" t="s">
        <v>5979</v>
      </c>
      <c r="G646" s="19">
        <v>45407</v>
      </c>
    </row>
    <row r="647" spans="1:7">
      <c r="A647" t="s">
        <v>6575</v>
      </c>
      <c r="B647" t="s">
        <v>5084</v>
      </c>
      <c r="C647" s="16" t="s">
        <v>1658</v>
      </c>
      <c r="D647" t="s">
        <v>2244</v>
      </c>
      <c r="E647" s="14">
        <v>4</v>
      </c>
      <c r="F647" s="16" t="s">
        <v>5940</v>
      </c>
      <c r="G647" s="19">
        <v>45964</v>
      </c>
    </row>
    <row r="648" spans="1:7">
      <c r="A648" t="s">
        <v>6576</v>
      </c>
      <c r="B648" t="s">
        <v>3493</v>
      </c>
      <c r="C648" s="16" t="s">
        <v>1941</v>
      </c>
      <c r="D648" t="s">
        <v>2231</v>
      </c>
      <c r="E648" s="14">
        <v>2</v>
      </c>
      <c r="F648" s="16" t="s">
        <v>5979</v>
      </c>
      <c r="G648" s="19">
        <v>45561</v>
      </c>
    </row>
    <row r="649" spans="1:7">
      <c r="A649" t="s">
        <v>6577</v>
      </c>
      <c r="B649" t="s">
        <v>5477</v>
      </c>
      <c r="C649" s="16" t="s">
        <v>1904</v>
      </c>
      <c r="D649" t="s">
        <v>2198</v>
      </c>
      <c r="E649" s="14">
        <v>1</v>
      </c>
      <c r="F649" s="16" t="s">
        <v>5979</v>
      </c>
      <c r="G649" s="19">
        <v>45759</v>
      </c>
    </row>
    <row r="650" spans="1:7">
      <c r="A650" t="s">
        <v>6578</v>
      </c>
      <c r="B650" t="s">
        <v>4041</v>
      </c>
      <c r="C650" s="16" t="s">
        <v>1813</v>
      </c>
      <c r="D650" t="s">
        <v>2228</v>
      </c>
      <c r="E650" s="14">
        <v>4</v>
      </c>
      <c r="F650" s="16" t="s">
        <v>5917</v>
      </c>
      <c r="G650" s="19">
        <v>45109</v>
      </c>
    </row>
    <row r="651" spans="1:7">
      <c r="A651" t="s">
        <v>6579</v>
      </c>
      <c r="B651" t="s">
        <v>5805</v>
      </c>
      <c r="C651" s="16" t="s">
        <v>61</v>
      </c>
      <c r="D651" t="s">
        <v>2267</v>
      </c>
      <c r="E651" s="14">
        <v>2</v>
      </c>
      <c r="F651" s="16" t="s">
        <v>5922</v>
      </c>
      <c r="G651" s="19">
        <v>45384</v>
      </c>
    </row>
    <row r="652" spans="1:7">
      <c r="A652" t="s">
        <v>6580</v>
      </c>
      <c r="B652" t="s">
        <v>3734</v>
      </c>
      <c r="C652" s="16" t="s">
        <v>20</v>
      </c>
      <c r="D652" t="s">
        <v>2249</v>
      </c>
      <c r="E652" s="14">
        <v>4</v>
      </c>
      <c r="F652" s="16" t="s">
        <v>23</v>
      </c>
      <c r="G652" s="19">
        <v>45255</v>
      </c>
    </row>
    <row r="653" spans="1:7">
      <c r="A653" t="s">
        <v>6581</v>
      </c>
      <c r="B653" t="s">
        <v>5067</v>
      </c>
      <c r="C653" s="16" t="s">
        <v>1620</v>
      </c>
      <c r="D653" t="s">
        <v>2247</v>
      </c>
      <c r="E653" s="14">
        <v>5</v>
      </c>
      <c r="F653" s="16" t="s">
        <v>5928</v>
      </c>
      <c r="G653" s="19">
        <v>45125</v>
      </c>
    </row>
    <row r="654" spans="1:7">
      <c r="A654" t="s">
        <v>6582</v>
      </c>
      <c r="B654" t="s">
        <v>4842</v>
      </c>
      <c r="C654" s="16" t="s">
        <v>1248</v>
      </c>
      <c r="D654" t="s">
        <v>2244</v>
      </c>
      <c r="E654" s="14">
        <v>5</v>
      </c>
      <c r="F654" s="16" t="s">
        <v>5928</v>
      </c>
      <c r="G654" s="19">
        <v>45753</v>
      </c>
    </row>
    <row r="655" spans="1:7">
      <c r="A655" t="s">
        <v>6583</v>
      </c>
      <c r="B655" t="s">
        <v>5218</v>
      </c>
      <c r="C655" s="16" t="s">
        <v>1918</v>
      </c>
      <c r="D655" t="s">
        <v>2257</v>
      </c>
      <c r="E655" s="14">
        <v>4</v>
      </c>
      <c r="F655" s="16" t="s">
        <v>5938</v>
      </c>
      <c r="G655" s="19">
        <v>45933</v>
      </c>
    </row>
    <row r="656" spans="1:7">
      <c r="A656" t="s">
        <v>6584</v>
      </c>
      <c r="B656" t="s">
        <v>5448</v>
      </c>
      <c r="C656" s="16" t="s">
        <v>2073</v>
      </c>
      <c r="D656" t="s">
        <v>2231</v>
      </c>
      <c r="E656" s="14">
        <v>4</v>
      </c>
      <c r="F656" s="16" t="s">
        <v>5973</v>
      </c>
      <c r="G656" s="19">
        <v>45184</v>
      </c>
    </row>
    <row r="657" spans="1:7">
      <c r="A657" t="s">
        <v>6585</v>
      </c>
      <c r="B657" t="s">
        <v>5190</v>
      </c>
      <c r="C657" s="16" t="s">
        <v>1214</v>
      </c>
      <c r="D657" t="s">
        <v>2259</v>
      </c>
      <c r="E657" s="14" t="s">
        <v>39</v>
      </c>
      <c r="F657" s="16" t="s">
        <v>5961</v>
      </c>
      <c r="G657" s="19">
        <v>45607</v>
      </c>
    </row>
    <row r="658" spans="1:7">
      <c r="A658" t="s">
        <v>6586</v>
      </c>
      <c r="B658" t="s">
        <v>3024</v>
      </c>
      <c r="C658" s="16" t="s">
        <v>1233</v>
      </c>
      <c r="D658" t="s">
        <v>2253</v>
      </c>
      <c r="E658" s="14">
        <v>3</v>
      </c>
      <c r="F658" s="16" t="s">
        <v>5924</v>
      </c>
      <c r="G658" s="19">
        <v>46095</v>
      </c>
    </row>
    <row r="659" spans="1:7">
      <c r="A659" t="s">
        <v>6587</v>
      </c>
      <c r="B659" t="s">
        <v>5638</v>
      </c>
      <c r="C659" s="16" t="s">
        <v>1907</v>
      </c>
      <c r="D659" t="s">
        <v>2193</v>
      </c>
      <c r="E659" s="14" t="s">
        <v>39</v>
      </c>
      <c r="F659" s="16" t="s">
        <v>5928</v>
      </c>
      <c r="G659" s="19">
        <v>45259</v>
      </c>
    </row>
    <row r="660" spans="1:7">
      <c r="A660" t="s">
        <v>6588</v>
      </c>
      <c r="B660" t="s">
        <v>4024</v>
      </c>
      <c r="C660" s="16" t="s">
        <v>1548</v>
      </c>
      <c r="D660" t="s">
        <v>2271</v>
      </c>
      <c r="E660" s="14">
        <v>2</v>
      </c>
      <c r="F660" s="16" t="s">
        <v>5940</v>
      </c>
      <c r="G660" s="19">
        <v>45783</v>
      </c>
    </row>
    <row r="661" spans="1:7">
      <c r="A661" t="s">
        <v>6589</v>
      </c>
      <c r="B661" t="s">
        <v>3221</v>
      </c>
      <c r="C661" s="16" t="s">
        <v>284</v>
      </c>
      <c r="D661" t="s">
        <v>2231</v>
      </c>
      <c r="E661" s="14">
        <v>5</v>
      </c>
      <c r="F661" s="16" t="s">
        <v>5922</v>
      </c>
      <c r="G661" s="19">
        <v>45706</v>
      </c>
    </row>
    <row r="662" spans="1:7">
      <c r="A662" t="s">
        <v>6590</v>
      </c>
      <c r="B662" t="s">
        <v>5123</v>
      </c>
      <c r="C662" s="16" t="s">
        <v>926</v>
      </c>
      <c r="D662" t="s">
        <v>2261</v>
      </c>
      <c r="E662" s="14">
        <v>5</v>
      </c>
      <c r="F662" s="16" t="s">
        <v>5924</v>
      </c>
      <c r="G662" s="19">
        <v>45748</v>
      </c>
    </row>
    <row r="663" spans="1:7">
      <c r="A663" t="s">
        <v>6591</v>
      </c>
      <c r="B663" t="s">
        <v>5794</v>
      </c>
      <c r="C663" s="16" t="s">
        <v>305</v>
      </c>
      <c r="D663" t="s">
        <v>2273</v>
      </c>
      <c r="E663" s="14">
        <v>3</v>
      </c>
      <c r="F663" s="16" t="s">
        <v>5920</v>
      </c>
      <c r="G663" s="19">
        <v>45929</v>
      </c>
    </row>
    <row r="664" spans="1:7">
      <c r="A664" t="s">
        <v>6592</v>
      </c>
      <c r="B664" t="s">
        <v>4358</v>
      </c>
      <c r="C664" s="16" t="s">
        <v>71</v>
      </c>
      <c r="D664" t="s">
        <v>2261</v>
      </c>
      <c r="E664" s="14">
        <v>1</v>
      </c>
      <c r="F664" s="16" t="s">
        <v>5924</v>
      </c>
      <c r="G664" s="19">
        <v>45216</v>
      </c>
    </row>
    <row r="665" spans="1:7">
      <c r="A665" t="s">
        <v>6593</v>
      </c>
      <c r="B665" t="s">
        <v>3598</v>
      </c>
      <c r="C665" s="16" t="s">
        <v>1181</v>
      </c>
      <c r="D665" t="s">
        <v>2225</v>
      </c>
      <c r="E665" s="14">
        <v>4</v>
      </c>
      <c r="F665" s="16" t="s">
        <v>5940</v>
      </c>
      <c r="G665" s="19">
        <v>45397</v>
      </c>
    </row>
    <row r="666" spans="1:7">
      <c r="A666" t="s">
        <v>6594</v>
      </c>
      <c r="B666" t="s">
        <v>5054</v>
      </c>
      <c r="C666" s="16" t="s">
        <v>1037</v>
      </c>
      <c r="D666" t="s">
        <v>2271</v>
      </c>
      <c r="E666" s="14">
        <v>3</v>
      </c>
      <c r="F666" s="16" t="s">
        <v>5933</v>
      </c>
      <c r="G666" s="19">
        <v>45400</v>
      </c>
    </row>
    <row r="667" spans="1:7">
      <c r="A667" t="s">
        <v>6595</v>
      </c>
      <c r="B667" t="s">
        <v>5741</v>
      </c>
      <c r="C667" s="16" t="s">
        <v>380</v>
      </c>
      <c r="D667" t="s">
        <v>2251</v>
      </c>
      <c r="E667" s="14" t="s">
        <v>39</v>
      </c>
      <c r="F667" s="16" t="s">
        <v>23</v>
      </c>
      <c r="G667" s="19">
        <v>45872</v>
      </c>
    </row>
    <row r="668" spans="1:7">
      <c r="A668" t="s">
        <v>6596</v>
      </c>
      <c r="B668" t="s">
        <v>4478</v>
      </c>
      <c r="C668" s="16" t="s">
        <v>729</v>
      </c>
      <c r="D668" t="s">
        <v>2205</v>
      </c>
      <c r="E668" s="14">
        <v>4</v>
      </c>
      <c r="F668" s="16" t="s">
        <v>5938</v>
      </c>
      <c r="G668" s="19">
        <v>45594</v>
      </c>
    </row>
    <row r="669" spans="1:7">
      <c r="A669" t="s">
        <v>6597</v>
      </c>
      <c r="B669" t="s">
        <v>5121</v>
      </c>
      <c r="C669" s="16" t="s">
        <v>987</v>
      </c>
      <c r="D669" t="s">
        <v>2269</v>
      </c>
      <c r="E669" s="14">
        <v>4</v>
      </c>
      <c r="F669" s="16" t="s">
        <v>5938</v>
      </c>
      <c r="G669" s="19">
        <v>45276</v>
      </c>
    </row>
    <row r="670" spans="1:7">
      <c r="A670" t="s">
        <v>6598</v>
      </c>
      <c r="B670" t="s">
        <v>3603</v>
      </c>
      <c r="C670" s="16" t="s">
        <v>281</v>
      </c>
      <c r="D670" t="s">
        <v>2225</v>
      </c>
      <c r="E670" s="14">
        <v>4</v>
      </c>
      <c r="F670" s="16" t="s">
        <v>5938</v>
      </c>
      <c r="G670" s="19">
        <v>45149</v>
      </c>
    </row>
    <row r="671" spans="1:7">
      <c r="A671" t="s">
        <v>6599</v>
      </c>
      <c r="B671" t="s">
        <v>3183</v>
      </c>
      <c r="C671" s="16" t="s">
        <v>710</v>
      </c>
      <c r="D671" t="s">
        <v>2271</v>
      </c>
      <c r="E671" s="14">
        <v>4</v>
      </c>
      <c r="F671" s="16" t="s">
        <v>5938</v>
      </c>
      <c r="G671" s="19">
        <v>46145</v>
      </c>
    </row>
    <row r="672" spans="1:7">
      <c r="A672" t="s">
        <v>6600</v>
      </c>
      <c r="B672" t="s">
        <v>3251</v>
      </c>
      <c r="C672" s="16" t="s">
        <v>604</v>
      </c>
      <c r="D672" t="s">
        <v>2233</v>
      </c>
      <c r="E672" s="14">
        <v>5</v>
      </c>
      <c r="F672" s="16" t="s">
        <v>5920</v>
      </c>
      <c r="G672" s="19">
        <v>44996</v>
      </c>
    </row>
    <row r="673" spans="1:7">
      <c r="A673" t="s">
        <v>6601</v>
      </c>
      <c r="B673" t="s">
        <v>3709</v>
      </c>
      <c r="C673" s="16" t="s">
        <v>2006</v>
      </c>
      <c r="D673" t="s">
        <v>2225</v>
      </c>
      <c r="E673" s="14">
        <v>3</v>
      </c>
      <c r="F673" s="16" t="s">
        <v>5946</v>
      </c>
      <c r="G673" s="19">
        <v>46049</v>
      </c>
    </row>
    <row r="674" spans="1:7">
      <c r="A674" t="s">
        <v>6602</v>
      </c>
      <c r="B674" t="s">
        <v>3241</v>
      </c>
      <c r="C674" s="16" t="s">
        <v>12</v>
      </c>
      <c r="D674" t="s">
        <v>2198</v>
      </c>
      <c r="E674" s="14">
        <v>1</v>
      </c>
      <c r="F674" s="16" t="s">
        <v>5928</v>
      </c>
      <c r="G674" s="19">
        <v>45703</v>
      </c>
    </row>
    <row r="675" spans="1:7">
      <c r="A675" t="s">
        <v>6603</v>
      </c>
      <c r="B675" t="s">
        <v>5216</v>
      </c>
      <c r="C675" s="16" t="s">
        <v>99</v>
      </c>
      <c r="D675" t="s">
        <v>2235</v>
      </c>
      <c r="E675" s="14">
        <v>2</v>
      </c>
      <c r="F675" s="16" t="s">
        <v>23</v>
      </c>
      <c r="G675" s="19">
        <v>45502</v>
      </c>
    </row>
    <row r="676" spans="1:7">
      <c r="A676" t="s">
        <v>6604</v>
      </c>
      <c r="B676" t="s">
        <v>5070</v>
      </c>
      <c r="C676" s="16" t="s">
        <v>302</v>
      </c>
      <c r="D676" t="s">
        <v>2237</v>
      </c>
      <c r="E676" s="14">
        <v>3</v>
      </c>
      <c r="F676" s="16" t="s">
        <v>5924</v>
      </c>
      <c r="G676" s="19">
        <v>45443</v>
      </c>
    </row>
    <row r="677" spans="1:7">
      <c r="A677" t="s">
        <v>6605</v>
      </c>
      <c r="B677" t="s">
        <v>5643</v>
      </c>
      <c r="C677" s="16" t="s">
        <v>1233</v>
      </c>
      <c r="D677" t="s">
        <v>2216</v>
      </c>
      <c r="E677" s="14">
        <v>1</v>
      </c>
      <c r="F677" s="16" t="s">
        <v>5961</v>
      </c>
      <c r="G677" s="19">
        <v>45887</v>
      </c>
    </row>
    <row r="678" spans="1:7">
      <c r="A678" t="s">
        <v>6606</v>
      </c>
      <c r="B678" t="s">
        <v>5704</v>
      </c>
      <c r="C678" s="16" t="s">
        <v>1820</v>
      </c>
      <c r="D678" t="s">
        <v>2209</v>
      </c>
      <c r="E678" s="14">
        <v>4</v>
      </c>
      <c r="F678" s="16" t="s">
        <v>5933</v>
      </c>
      <c r="G678" s="19">
        <v>45993</v>
      </c>
    </row>
    <row r="679" spans="1:7">
      <c r="A679" t="s">
        <v>6607</v>
      </c>
      <c r="B679" t="s">
        <v>3770</v>
      </c>
      <c r="C679" s="16" t="s">
        <v>309</v>
      </c>
      <c r="D679" t="s">
        <v>2244</v>
      </c>
      <c r="E679" s="14">
        <v>1</v>
      </c>
      <c r="F679" s="16" t="s">
        <v>5928</v>
      </c>
      <c r="G679" s="19">
        <v>45787</v>
      </c>
    </row>
    <row r="680" spans="1:7">
      <c r="A680" t="s">
        <v>6608</v>
      </c>
      <c r="B680" t="s">
        <v>5537</v>
      </c>
      <c r="C680" s="16" t="s">
        <v>704</v>
      </c>
      <c r="D680" t="s">
        <v>2235</v>
      </c>
      <c r="E680" s="14">
        <v>1</v>
      </c>
      <c r="F680" s="16" t="s">
        <v>5926</v>
      </c>
      <c r="G680" s="19">
        <v>45806</v>
      </c>
    </row>
    <row r="681" spans="1:7">
      <c r="A681" t="s">
        <v>6609</v>
      </c>
      <c r="B681" t="s">
        <v>4192</v>
      </c>
      <c r="C681" s="16" t="s">
        <v>438</v>
      </c>
      <c r="D681" t="s">
        <v>2264</v>
      </c>
      <c r="E681" s="14">
        <v>2</v>
      </c>
      <c r="F681" s="16" t="s">
        <v>5926</v>
      </c>
      <c r="G681" s="19">
        <v>45531</v>
      </c>
    </row>
    <row r="682" spans="1:7">
      <c r="A682" t="s">
        <v>6610</v>
      </c>
      <c r="B682" t="s">
        <v>5418</v>
      </c>
      <c r="C682" s="16" t="s">
        <v>1504</v>
      </c>
      <c r="D682" t="s">
        <v>2233</v>
      </c>
      <c r="E682" s="14">
        <v>1</v>
      </c>
      <c r="F682" s="16" t="s">
        <v>5920</v>
      </c>
      <c r="G682" s="19">
        <v>45632</v>
      </c>
    </row>
    <row r="683" spans="1:7">
      <c r="A683" t="s">
        <v>6611</v>
      </c>
      <c r="B683" t="s">
        <v>3502</v>
      </c>
      <c r="C683" s="16" t="s">
        <v>1898</v>
      </c>
      <c r="D683" t="s">
        <v>2267</v>
      </c>
      <c r="E683" s="14" t="s">
        <v>39</v>
      </c>
      <c r="F683" s="16" t="s">
        <v>5922</v>
      </c>
      <c r="G683" s="19">
        <v>46014</v>
      </c>
    </row>
    <row r="684" spans="1:7">
      <c r="A684" t="s">
        <v>6612</v>
      </c>
      <c r="B684" t="s">
        <v>3761</v>
      </c>
      <c r="C684" s="16" t="s">
        <v>739</v>
      </c>
      <c r="D684" t="s">
        <v>2269</v>
      </c>
      <c r="E684" s="14">
        <v>1</v>
      </c>
      <c r="F684" s="16" t="s">
        <v>5917</v>
      </c>
      <c r="G684" s="19">
        <v>45135</v>
      </c>
    </row>
    <row r="685" spans="1:7">
      <c r="A685" t="s">
        <v>6613</v>
      </c>
      <c r="B685" t="s">
        <v>2544</v>
      </c>
      <c r="C685" s="16" t="s">
        <v>668</v>
      </c>
      <c r="D685" t="s">
        <v>2225</v>
      </c>
      <c r="E685" s="14">
        <v>2</v>
      </c>
      <c r="F685" s="16" t="s">
        <v>5928</v>
      </c>
      <c r="G685" s="19">
        <v>45408</v>
      </c>
    </row>
    <row r="686" spans="1:7">
      <c r="A686" t="s">
        <v>6614</v>
      </c>
      <c r="B686" t="s">
        <v>5467</v>
      </c>
      <c r="C686" s="16" t="s">
        <v>498</v>
      </c>
      <c r="D686" t="s">
        <v>2202</v>
      </c>
      <c r="E686" s="14" t="s">
        <v>39</v>
      </c>
      <c r="F686" s="16" t="s">
        <v>5928</v>
      </c>
      <c r="G686" s="19">
        <v>45717</v>
      </c>
    </row>
    <row r="687" spans="1:7">
      <c r="A687" t="s">
        <v>6615</v>
      </c>
      <c r="B687" t="s">
        <v>3455</v>
      </c>
      <c r="C687" s="16" t="s">
        <v>2054</v>
      </c>
      <c r="D687" t="s">
        <v>2264</v>
      </c>
      <c r="E687" s="14">
        <v>4</v>
      </c>
      <c r="F687" s="16" t="s">
        <v>23</v>
      </c>
      <c r="G687" s="19">
        <v>45721</v>
      </c>
    </row>
    <row r="688" spans="1:7">
      <c r="A688" t="s">
        <v>6616</v>
      </c>
      <c r="B688" t="s">
        <v>4721</v>
      </c>
      <c r="C688" s="16" t="s">
        <v>548</v>
      </c>
      <c r="D688" t="s">
        <v>2251</v>
      </c>
      <c r="E688" s="14">
        <v>2</v>
      </c>
      <c r="F688" s="16" t="s">
        <v>5924</v>
      </c>
      <c r="G688" s="19">
        <v>46066</v>
      </c>
    </row>
    <row r="689" spans="1:7">
      <c r="A689" t="s">
        <v>6617</v>
      </c>
      <c r="B689" t="s">
        <v>4475</v>
      </c>
      <c r="C689" s="16" t="s">
        <v>1389</v>
      </c>
      <c r="D689" t="s">
        <v>2247</v>
      </c>
      <c r="E689" s="14">
        <v>5</v>
      </c>
      <c r="F689" s="16" t="s">
        <v>5926</v>
      </c>
      <c r="G689" s="19">
        <v>45159</v>
      </c>
    </row>
    <row r="690" spans="1:7">
      <c r="A690" t="s">
        <v>6618</v>
      </c>
      <c r="B690" t="s">
        <v>2447</v>
      </c>
      <c r="C690" s="16" t="s">
        <v>299</v>
      </c>
      <c r="D690" t="s">
        <v>2209</v>
      </c>
      <c r="E690" s="14">
        <v>1</v>
      </c>
      <c r="F690" s="16" t="s">
        <v>5924</v>
      </c>
      <c r="G690" s="19">
        <v>45884</v>
      </c>
    </row>
    <row r="691" spans="1:7">
      <c r="A691" t="s">
        <v>6619</v>
      </c>
      <c r="B691" t="s">
        <v>3888</v>
      </c>
      <c r="C691" s="16" t="s">
        <v>780</v>
      </c>
      <c r="D691" t="s">
        <v>2202</v>
      </c>
      <c r="E691" s="14">
        <v>4</v>
      </c>
      <c r="F691" s="16" t="s">
        <v>23</v>
      </c>
      <c r="G691" s="19">
        <v>45242</v>
      </c>
    </row>
    <row r="692" spans="1:7">
      <c r="A692" t="s">
        <v>6620</v>
      </c>
      <c r="B692" t="s">
        <v>5525</v>
      </c>
      <c r="C692" s="16" t="s">
        <v>1158</v>
      </c>
      <c r="D692" t="s">
        <v>2187</v>
      </c>
      <c r="E692" s="14" t="s">
        <v>39</v>
      </c>
      <c r="F692" s="16" t="s">
        <v>5917</v>
      </c>
      <c r="G692" s="19">
        <v>45168</v>
      </c>
    </row>
    <row r="693" spans="1:7">
      <c r="A693" t="s">
        <v>6621</v>
      </c>
      <c r="B693" t="s">
        <v>3949</v>
      </c>
      <c r="C693" s="16" t="s">
        <v>1827</v>
      </c>
      <c r="D693" t="s">
        <v>2231</v>
      </c>
      <c r="E693" s="14">
        <v>4</v>
      </c>
      <c r="F693" s="16" t="s">
        <v>5938</v>
      </c>
      <c r="G693" s="19">
        <v>45172</v>
      </c>
    </row>
    <row r="694" spans="1:7">
      <c r="A694" t="s">
        <v>6622</v>
      </c>
      <c r="B694" t="s">
        <v>5701</v>
      </c>
      <c r="C694" s="16" t="s">
        <v>1214</v>
      </c>
      <c r="D694" t="s">
        <v>2271</v>
      </c>
      <c r="E694" s="14">
        <v>3</v>
      </c>
      <c r="F694" s="16" t="s">
        <v>5931</v>
      </c>
      <c r="G694" s="19">
        <v>45264</v>
      </c>
    </row>
    <row r="695" spans="1:7">
      <c r="A695" t="s">
        <v>6623</v>
      </c>
      <c r="B695" t="s">
        <v>5275</v>
      </c>
      <c r="C695" s="16" t="s">
        <v>803</v>
      </c>
      <c r="D695" t="s">
        <v>2216</v>
      </c>
      <c r="E695" s="14">
        <v>4</v>
      </c>
      <c r="F695" s="16" t="s">
        <v>5922</v>
      </c>
      <c r="G695" s="19">
        <v>45670</v>
      </c>
    </row>
    <row r="696" spans="1:7">
      <c r="A696" t="s">
        <v>6624</v>
      </c>
      <c r="B696" t="s">
        <v>5513</v>
      </c>
      <c r="C696" s="16" t="s">
        <v>274</v>
      </c>
      <c r="D696" t="s">
        <v>2249</v>
      </c>
      <c r="E696" s="14" t="s">
        <v>39</v>
      </c>
      <c r="F696" s="16" t="s">
        <v>5946</v>
      </c>
      <c r="G696" s="19">
        <v>46128</v>
      </c>
    </row>
    <row r="697" spans="1:7">
      <c r="A697" t="s">
        <v>6625</v>
      </c>
      <c r="B697" t="s">
        <v>4204</v>
      </c>
      <c r="C697" s="16" t="s">
        <v>343</v>
      </c>
      <c r="D697" t="s">
        <v>2264</v>
      </c>
      <c r="E697" s="14">
        <v>5</v>
      </c>
      <c r="F697" s="16" t="s">
        <v>5979</v>
      </c>
      <c r="G697" s="19">
        <v>45385</v>
      </c>
    </row>
    <row r="698" spans="1:7">
      <c r="A698" t="s">
        <v>6626</v>
      </c>
      <c r="B698" t="s">
        <v>3206</v>
      </c>
      <c r="C698" s="16" t="s">
        <v>129</v>
      </c>
      <c r="D698" t="s">
        <v>2253</v>
      </c>
      <c r="E698" s="14" t="s">
        <v>39</v>
      </c>
      <c r="F698" s="16" t="s">
        <v>5938</v>
      </c>
      <c r="G698" s="19">
        <v>45925</v>
      </c>
    </row>
    <row r="699" spans="1:7">
      <c r="A699" t="s">
        <v>6627</v>
      </c>
      <c r="B699" t="s">
        <v>2960</v>
      </c>
      <c r="C699" s="16" t="s">
        <v>2051</v>
      </c>
      <c r="D699" t="s">
        <v>2267</v>
      </c>
      <c r="E699" s="14">
        <v>3</v>
      </c>
      <c r="F699" s="16" t="s">
        <v>5917</v>
      </c>
      <c r="G699" s="19">
        <v>46163</v>
      </c>
    </row>
    <row r="700" spans="1:7">
      <c r="A700" t="s">
        <v>6628</v>
      </c>
      <c r="B700" t="s">
        <v>5345</v>
      </c>
      <c r="C700" s="16" t="s">
        <v>1354</v>
      </c>
      <c r="D700" t="s">
        <v>2205</v>
      </c>
      <c r="E700" s="14" t="s">
        <v>39</v>
      </c>
      <c r="F700" s="16" t="s">
        <v>5973</v>
      </c>
      <c r="G700" s="19">
        <v>45468</v>
      </c>
    </row>
    <row r="701" spans="1:7">
      <c r="A701" t="s">
        <v>6629</v>
      </c>
      <c r="B701" t="s">
        <v>3805</v>
      </c>
      <c r="C701" s="16" t="s">
        <v>1867</v>
      </c>
      <c r="D701" t="s">
        <v>2198</v>
      </c>
      <c r="E701" s="14">
        <v>4</v>
      </c>
      <c r="F701" s="16" t="s">
        <v>5946</v>
      </c>
      <c r="G701" s="19">
        <v>45550</v>
      </c>
    </row>
    <row r="702" spans="1:7">
      <c r="A702" t="s">
        <v>6630</v>
      </c>
      <c r="B702" t="s">
        <v>4701</v>
      </c>
      <c r="C702" s="16" t="s">
        <v>2132</v>
      </c>
      <c r="D702" t="s">
        <v>2251</v>
      </c>
      <c r="E702" s="14">
        <v>4</v>
      </c>
      <c r="F702" s="16" t="s">
        <v>5946</v>
      </c>
      <c r="G702" s="19">
        <v>45920</v>
      </c>
    </row>
    <row r="703" spans="1:7">
      <c r="A703" t="s">
        <v>6631</v>
      </c>
      <c r="B703" t="s">
        <v>3328</v>
      </c>
      <c r="C703" s="16" t="s">
        <v>261</v>
      </c>
      <c r="D703" t="s">
        <v>2259</v>
      </c>
      <c r="E703" s="14">
        <v>4</v>
      </c>
      <c r="F703" s="16" t="s">
        <v>5931</v>
      </c>
      <c r="G703" s="19">
        <v>45608</v>
      </c>
    </row>
    <row r="704" spans="1:7">
      <c r="A704" t="s">
        <v>6632</v>
      </c>
      <c r="B704" t="s">
        <v>4031</v>
      </c>
      <c r="C704" s="16" t="s">
        <v>1638</v>
      </c>
      <c r="D704" t="s">
        <v>2264</v>
      </c>
      <c r="E704" s="14">
        <v>5</v>
      </c>
      <c r="F704" s="16" t="s">
        <v>5961</v>
      </c>
      <c r="G704" s="19">
        <v>45695</v>
      </c>
    </row>
    <row r="705" spans="1:7">
      <c r="A705" t="s">
        <v>6633</v>
      </c>
      <c r="B705" t="s">
        <v>3053</v>
      </c>
      <c r="C705" s="16" t="s">
        <v>360</v>
      </c>
      <c r="D705" t="s">
        <v>2269</v>
      </c>
      <c r="E705" s="14">
        <v>3</v>
      </c>
      <c r="F705" s="16" t="s">
        <v>5979</v>
      </c>
      <c r="G705" s="19">
        <v>45673</v>
      </c>
    </row>
    <row r="706" spans="1:7">
      <c r="A706" t="s">
        <v>6634</v>
      </c>
      <c r="B706" t="s">
        <v>3770</v>
      </c>
      <c r="C706" s="16" t="s">
        <v>309</v>
      </c>
      <c r="D706" t="s">
        <v>2244</v>
      </c>
      <c r="E706" s="14">
        <v>1</v>
      </c>
      <c r="F706" s="16" t="s">
        <v>5938</v>
      </c>
      <c r="G706" s="19">
        <v>45801</v>
      </c>
    </row>
    <row r="707" spans="1:7">
      <c r="A707" t="s">
        <v>6635</v>
      </c>
      <c r="B707" t="s">
        <v>5473</v>
      </c>
      <c r="C707" s="16" t="s">
        <v>1245</v>
      </c>
      <c r="D707" t="s">
        <v>2187</v>
      </c>
      <c r="E707" s="14" t="s">
        <v>39</v>
      </c>
      <c r="F707" s="16" t="s">
        <v>5933</v>
      </c>
      <c r="G707" s="19">
        <v>45532</v>
      </c>
    </row>
    <row r="708" spans="1:7">
      <c r="A708" t="s">
        <v>6636</v>
      </c>
      <c r="B708" t="s">
        <v>2561</v>
      </c>
      <c r="C708" s="16" t="s">
        <v>1327</v>
      </c>
      <c r="D708" t="s">
        <v>2253</v>
      </c>
      <c r="E708" s="14">
        <v>5</v>
      </c>
      <c r="F708" s="16" t="s">
        <v>5928</v>
      </c>
      <c r="G708" s="19">
        <v>45119</v>
      </c>
    </row>
    <row r="709" spans="1:7">
      <c r="A709" t="s">
        <v>6637</v>
      </c>
      <c r="B709" t="s">
        <v>4171</v>
      </c>
      <c r="C709" s="16" t="s">
        <v>745</v>
      </c>
      <c r="D709" t="s">
        <v>2233</v>
      </c>
      <c r="E709" s="14">
        <v>5</v>
      </c>
      <c r="F709" s="16" t="s">
        <v>5922</v>
      </c>
      <c r="G709" s="19">
        <v>45999</v>
      </c>
    </row>
    <row r="710" spans="1:7">
      <c r="A710" t="s">
        <v>6638</v>
      </c>
      <c r="B710" t="s">
        <v>5403</v>
      </c>
      <c r="C710" s="16" t="s">
        <v>604</v>
      </c>
      <c r="D710" t="s">
        <v>2187</v>
      </c>
      <c r="E710" s="14">
        <v>4</v>
      </c>
      <c r="F710" s="16" t="s">
        <v>5938</v>
      </c>
      <c r="G710" s="19">
        <v>45990</v>
      </c>
    </row>
    <row r="711" spans="1:7">
      <c r="A711" t="s">
        <v>6639</v>
      </c>
      <c r="B711" t="s">
        <v>2487</v>
      </c>
      <c r="C711" s="16" t="s">
        <v>145</v>
      </c>
      <c r="D711" t="s">
        <v>2249</v>
      </c>
      <c r="E711" s="14">
        <v>4</v>
      </c>
      <c r="F711" s="16" t="s">
        <v>5928</v>
      </c>
      <c r="G711" s="19">
        <v>45589</v>
      </c>
    </row>
    <row r="712" spans="1:7">
      <c r="A712" t="s">
        <v>6640</v>
      </c>
      <c r="B712" t="s">
        <v>3756</v>
      </c>
      <c r="C712" s="16" t="s">
        <v>896</v>
      </c>
      <c r="D712" t="s">
        <v>2225</v>
      </c>
      <c r="E712" s="14">
        <v>2</v>
      </c>
      <c r="F712" s="16" t="s">
        <v>5933</v>
      </c>
      <c r="G712" s="19">
        <v>45224</v>
      </c>
    </row>
    <row r="713" spans="1:7">
      <c r="A713" t="s">
        <v>6641</v>
      </c>
      <c r="B713" t="s">
        <v>2708</v>
      </c>
      <c r="C713" s="16" t="s">
        <v>99</v>
      </c>
      <c r="D713" t="s">
        <v>2216</v>
      </c>
      <c r="E713" s="14">
        <v>4</v>
      </c>
      <c r="F713" s="16" t="s">
        <v>5928</v>
      </c>
      <c r="G713" s="19">
        <v>46096</v>
      </c>
    </row>
    <row r="714" spans="1:7">
      <c r="A714" t="s">
        <v>6642</v>
      </c>
      <c r="B714" t="s">
        <v>2479</v>
      </c>
      <c r="C714" s="16" t="s">
        <v>1165</v>
      </c>
      <c r="D714" t="s">
        <v>2267</v>
      </c>
      <c r="E714" s="14">
        <v>2</v>
      </c>
      <c r="F714" s="16" t="s">
        <v>5917</v>
      </c>
      <c r="G714" s="19">
        <v>45383</v>
      </c>
    </row>
    <row r="715" spans="1:7">
      <c r="A715" t="s">
        <v>6643</v>
      </c>
      <c r="B715" t="s">
        <v>3766</v>
      </c>
      <c r="C715" s="16" t="s">
        <v>383</v>
      </c>
      <c r="D715" t="s">
        <v>2216</v>
      </c>
      <c r="E715" s="14">
        <v>3</v>
      </c>
      <c r="F715" s="16" t="s">
        <v>5961</v>
      </c>
      <c r="G715" s="19">
        <v>45360</v>
      </c>
    </row>
    <row r="716" spans="1:7">
      <c r="A716" t="s">
        <v>6644</v>
      </c>
      <c r="B716" t="s">
        <v>3718</v>
      </c>
      <c r="C716" s="16" t="s">
        <v>1425</v>
      </c>
      <c r="D716" t="s">
        <v>2187</v>
      </c>
      <c r="E716" s="14">
        <v>3</v>
      </c>
      <c r="F716" s="16" t="s">
        <v>5917</v>
      </c>
      <c r="G716" s="19">
        <v>45804</v>
      </c>
    </row>
    <row r="717" spans="1:7">
      <c r="A717" t="s">
        <v>6645</v>
      </c>
      <c r="B717" t="s">
        <v>5402</v>
      </c>
      <c r="C717" s="16" t="s">
        <v>434</v>
      </c>
      <c r="D717" t="s">
        <v>2247</v>
      </c>
      <c r="E717" s="14">
        <v>5</v>
      </c>
      <c r="F717" s="16" t="s">
        <v>5924</v>
      </c>
      <c r="G717" s="19">
        <v>45709</v>
      </c>
    </row>
    <row r="718" spans="1:7">
      <c r="A718" t="s">
        <v>6646</v>
      </c>
      <c r="B718" t="s">
        <v>4592</v>
      </c>
      <c r="C718" s="16" t="s">
        <v>861</v>
      </c>
      <c r="D718" t="s">
        <v>2218</v>
      </c>
      <c r="E718" s="14">
        <v>2</v>
      </c>
      <c r="F718" s="16" t="s">
        <v>23</v>
      </c>
      <c r="G718" s="19">
        <v>45155</v>
      </c>
    </row>
    <row r="719" spans="1:7">
      <c r="A719" t="s">
        <v>6647</v>
      </c>
      <c r="B719" t="s">
        <v>5338</v>
      </c>
      <c r="C719" s="16" t="s">
        <v>762</v>
      </c>
      <c r="D719" t="s">
        <v>2251</v>
      </c>
      <c r="E719" s="14" t="s">
        <v>39</v>
      </c>
      <c r="F719" s="16" t="s">
        <v>5933</v>
      </c>
      <c r="G719" s="19">
        <v>46021</v>
      </c>
    </row>
    <row r="720" spans="1:7">
      <c r="A720" t="s">
        <v>6648</v>
      </c>
      <c r="B720" t="s">
        <v>3019</v>
      </c>
      <c r="C720" s="16" t="s">
        <v>1303</v>
      </c>
      <c r="D720" t="s">
        <v>2251</v>
      </c>
      <c r="E720" s="14">
        <v>5</v>
      </c>
      <c r="F720" s="16" t="s">
        <v>5922</v>
      </c>
      <c r="G720" s="19">
        <v>45345</v>
      </c>
    </row>
    <row r="721" spans="1:7">
      <c r="A721" t="s">
        <v>6649</v>
      </c>
      <c r="B721" t="s">
        <v>3245</v>
      </c>
      <c r="C721" s="16" t="s">
        <v>1354</v>
      </c>
      <c r="D721" t="s">
        <v>2261</v>
      </c>
      <c r="E721" s="14">
        <v>5</v>
      </c>
      <c r="F721" s="16" t="s">
        <v>23</v>
      </c>
      <c r="G721" s="19">
        <v>45144</v>
      </c>
    </row>
    <row r="722" spans="1:7">
      <c r="A722" t="s">
        <v>6650</v>
      </c>
      <c r="B722" t="s">
        <v>4046</v>
      </c>
      <c r="C722" s="16" t="s">
        <v>769</v>
      </c>
      <c r="D722" t="s">
        <v>2218</v>
      </c>
      <c r="E722" s="14">
        <v>3</v>
      </c>
      <c r="F722" s="16" t="s">
        <v>23</v>
      </c>
      <c r="G722" s="19">
        <v>45338</v>
      </c>
    </row>
    <row r="723" spans="1:7">
      <c r="A723" t="s">
        <v>6651</v>
      </c>
      <c r="B723" t="s">
        <v>3318</v>
      </c>
      <c r="C723" s="16" t="s">
        <v>2132</v>
      </c>
      <c r="D723" t="s">
        <v>2222</v>
      </c>
      <c r="E723" s="14">
        <v>2</v>
      </c>
      <c r="F723" s="16" t="s">
        <v>5973</v>
      </c>
      <c r="G723" s="19">
        <v>45353</v>
      </c>
    </row>
    <row r="724" spans="1:7">
      <c r="A724" t="s">
        <v>6652</v>
      </c>
      <c r="B724" t="s">
        <v>5406</v>
      </c>
      <c r="C724" s="16" t="s">
        <v>2097</v>
      </c>
      <c r="D724" t="s">
        <v>2269</v>
      </c>
      <c r="E724" s="14">
        <v>4</v>
      </c>
      <c r="F724" s="16" t="s">
        <v>23</v>
      </c>
      <c r="G724" s="19">
        <v>45265</v>
      </c>
    </row>
    <row r="725" spans="1:7">
      <c r="A725" t="s">
        <v>6653</v>
      </c>
      <c r="B725" t="s">
        <v>2365</v>
      </c>
      <c r="C725" s="16" t="s">
        <v>502</v>
      </c>
      <c r="D725" t="s">
        <v>2205</v>
      </c>
      <c r="E725" s="14" t="s">
        <v>39</v>
      </c>
      <c r="F725" s="16" t="s">
        <v>5946</v>
      </c>
      <c r="G725" s="19">
        <v>46052</v>
      </c>
    </row>
    <row r="726" spans="1:7">
      <c r="A726" t="s">
        <v>6654</v>
      </c>
      <c r="B726" t="s">
        <v>5851</v>
      </c>
      <c r="C726" s="16" t="s">
        <v>787</v>
      </c>
      <c r="D726" t="s">
        <v>2259</v>
      </c>
      <c r="E726" s="14">
        <v>4</v>
      </c>
      <c r="F726" s="16" t="s">
        <v>5933</v>
      </c>
      <c r="G726" s="19">
        <v>45646</v>
      </c>
    </row>
    <row r="727" spans="1:7">
      <c r="A727" t="s">
        <v>6655</v>
      </c>
      <c r="B727" t="s">
        <v>2789</v>
      </c>
      <c r="C727" s="16" t="s">
        <v>502</v>
      </c>
      <c r="D727" t="s">
        <v>2259</v>
      </c>
      <c r="E727" s="14">
        <v>2</v>
      </c>
      <c r="F727" s="16" t="s">
        <v>5973</v>
      </c>
      <c r="G727" s="19">
        <v>45451</v>
      </c>
    </row>
    <row r="728" spans="1:7">
      <c r="A728" t="s">
        <v>6656</v>
      </c>
      <c r="B728" t="s">
        <v>3584</v>
      </c>
      <c r="C728" s="16" t="s">
        <v>445</v>
      </c>
      <c r="D728" t="s">
        <v>2193</v>
      </c>
      <c r="E728" s="14">
        <v>2</v>
      </c>
      <c r="F728" s="16" t="s">
        <v>5979</v>
      </c>
      <c r="G728" s="19">
        <v>45926</v>
      </c>
    </row>
    <row r="729" spans="1:7">
      <c r="A729" t="s">
        <v>6657</v>
      </c>
      <c r="B729" t="s">
        <v>2334</v>
      </c>
      <c r="C729" s="16" t="s">
        <v>1418</v>
      </c>
      <c r="D729" t="s">
        <v>2202</v>
      </c>
      <c r="E729" s="14">
        <v>4</v>
      </c>
      <c r="F729" s="16" t="s">
        <v>5940</v>
      </c>
      <c r="G729" s="19">
        <v>45832</v>
      </c>
    </row>
    <row r="730" spans="1:7">
      <c r="A730" t="s">
        <v>6658</v>
      </c>
      <c r="B730" t="s">
        <v>2564</v>
      </c>
      <c r="C730" s="16" t="s">
        <v>949</v>
      </c>
      <c r="D730" t="s">
        <v>2264</v>
      </c>
      <c r="E730" s="14">
        <v>1</v>
      </c>
      <c r="F730" s="16" t="s">
        <v>5922</v>
      </c>
      <c r="G730" s="19">
        <v>45267</v>
      </c>
    </row>
    <row r="731" spans="1:7">
      <c r="A731" t="s">
        <v>6659</v>
      </c>
      <c r="B731" t="s">
        <v>5873</v>
      </c>
      <c r="C731" s="16" t="s">
        <v>2147</v>
      </c>
      <c r="D731" t="s">
        <v>2202</v>
      </c>
      <c r="E731" s="14" t="s">
        <v>39</v>
      </c>
      <c r="F731" s="16" t="s">
        <v>5924</v>
      </c>
      <c r="G731" s="19">
        <v>45937</v>
      </c>
    </row>
    <row r="732" spans="1:7">
      <c r="A732" t="s">
        <v>6660</v>
      </c>
      <c r="B732" t="s">
        <v>2907</v>
      </c>
      <c r="C732" s="16" t="s">
        <v>570</v>
      </c>
      <c r="D732" t="s">
        <v>2247</v>
      </c>
      <c r="E732" s="14">
        <v>5</v>
      </c>
      <c r="F732" s="16" t="s">
        <v>5926</v>
      </c>
      <c r="G732" s="19">
        <v>45637</v>
      </c>
    </row>
    <row r="733" spans="1:7">
      <c r="A733" t="s">
        <v>6661</v>
      </c>
      <c r="B733" t="s">
        <v>4022</v>
      </c>
      <c r="C733" s="16" t="s">
        <v>1631</v>
      </c>
      <c r="D733" t="s">
        <v>2244</v>
      </c>
      <c r="E733" s="14">
        <v>5</v>
      </c>
      <c r="F733" s="16" t="s">
        <v>5917</v>
      </c>
      <c r="G733" s="19">
        <v>45831</v>
      </c>
    </row>
    <row r="734" spans="1:7">
      <c r="A734" t="s">
        <v>6662</v>
      </c>
      <c r="B734" t="s">
        <v>2362</v>
      </c>
      <c r="C734" s="16" t="s">
        <v>527</v>
      </c>
      <c r="D734" t="s">
        <v>2231</v>
      </c>
      <c r="E734" s="14">
        <v>5</v>
      </c>
      <c r="F734" s="16" t="s">
        <v>5922</v>
      </c>
      <c r="G734" s="19">
        <v>45862</v>
      </c>
    </row>
    <row r="735" spans="1:7">
      <c r="A735" t="s">
        <v>6663</v>
      </c>
      <c r="B735" t="s">
        <v>5523</v>
      </c>
      <c r="C735" s="16" t="s">
        <v>2113</v>
      </c>
      <c r="D735" t="s">
        <v>2205</v>
      </c>
      <c r="E735" s="14">
        <v>2</v>
      </c>
      <c r="F735" s="16" t="s">
        <v>5973</v>
      </c>
      <c r="G735" s="19">
        <v>45700</v>
      </c>
    </row>
    <row r="736" spans="1:7">
      <c r="A736" t="s">
        <v>6664</v>
      </c>
      <c r="B736" t="s">
        <v>3341</v>
      </c>
      <c r="C736" s="16" t="s">
        <v>874</v>
      </c>
      <c r="D736" t="s">
        <v>2233</v>
      </c>
      <c r="E736" s="14">
        <v>4</v>
      </c>
      <c r="F736" s="16" t="s">
        <v>5924</v>
      </c>
      <c r="G736" s="19">
        <v>44993</v>
      </c>
    </row>
    <row r="737" spans="1:7">
      <c r="A737" t="s">
        <v>6665</v>
      </c>
      <c r="B737" t="s">
        <v>3757</v>
      </c>
      <c r="C737" s="16" t="s">
        <v>535</v>
      </c>
      <c r="D737" t="s">
        <v>2209</v>
      </c>
      <c r="E737" s="14">
        <v>3</v>
      </c>
      <c r="F737" s="16" t="s">
        <v>5928</v>
      </c>
      <c r="G737" s="19">
        <v>45744</v>
      </c>
    </row>
    <row r="738" spans="1:7">
      <c r="A738" t="s">
        <v>6666</v>
      </c>
      <c r="B738" t="s">
        <v>3169</v>
      </c>
      <c r="C738" s="16" t="s">
        <v>261</v>
      </c>
      <c r="D738" t="s">
        <v>2261</v>
      </c>
      <c r="E738" s="14">
        <v>2</v>
      </c>
      <c r="F738" s="16" t="s">
        <v>5938</v>
      </c>
      <c r="G738" s="19">
        <v>45326</v>
      </c>
    </row>
    <row r="739" spans="1:7">
      <c r="A739" t="s">
        <v>6667</v>
      </c>
      <c r="B739" t="s">
        <v>2567</v>
      </c>
      <c r="C739" s="16" t="s">
        <v>1145</v>
      </c>
      <c r="D739" t="s">
        <v>2222</v>
      </c>
      <c r="E739" s="14">
        <v>2</v>
      </c>
      <c r="F739" s="16" t="s">
        <v>5924</v>
      </c>
      <c r="G739" s="19">
        <v>45736</v>
      </c>
    </row>
    <row r="740" spans="1:7">
      <c r="A740" t="s">
        <v>6668</v>
      </c>
      <c r="B740" t="s">
        <v>3077</v>
      </c>
      <c r="C740" s="16" t="s">
        <v>1169</v>
      </c>
      <c r="D740" t="s">
        <v>2251</v>
      </c>
      <c r="E740" s="14">
        <v>3</v>
      </c>
      <c r="F740" s="16" t="s">
        <v>5926</v>
      </c>
      <c r="G740" s="19">
        <v>45105</v>
      </c>
    </row>
    <row r="741" spans="1:7">
      <c r="A741" t="s">
        <v>6669</v>
      </c>
      <c r="B741" t="s">
        <v>4970</v>
      </c>
      <c r="C741" s="16" t="s">
        <v>1311</v>
      </c>
      <c r="D741" t="s">
        <v>2222</v>
      </c>
      <c r="E741" s="14">
        <v>1</v>
      </c>
      <c r="F741" s="16" t="s">
        <v>5922</v>
      </c>
      <c r="G741" s="19">
        <v>45867</v>
      </c>
    </row>
    <row r="742" spans="1:7">
      <c r="A742" t="s">
        <v>6670</v>
      </c>
      <c r="B742" t="s">
        <v>3349</v>
      </c>
      <c r="C742" s="16" t="s">
        <v>1536</v>
      </c>
      <c r="D742" t="s">
        <v>2271</v>
      </c>
      <c r="E742" s="14">
        <v>4</v>
      </c>
      <c r="F742" s="16" t="s">
        <v>23</v>
      </c>
      <c r="G742" s="19">
        <v>45735</v>
      </c>
    </row>
    <row r="743" spans="1:7">
      <c r="A743" t="s">
        <v>6671</v>
      </c>
      <c r="B743" t="s">
        <v>2412</v>
      </c>
      <c r="C743" s="16" t="s">
        <v>1586</v>
      </c>
      <c r="D743" t="s">
        <v>2205</v>
      </c>
      <c r="E743" s="14">
        <v>4</v>
      </c>
      <c r="F743" s="16" t="s">
        <v>5938</v>
      </c>
      <c r="G743" s="19">
        <v>45501</v>
      </c>
    </row>
    <row r="744" spans="1:7">
      <c r="A744" t="s">
        <v>6672</v>
      </c>
      <c r="B744" t="s">
        <v>5667</v>
      </c>
      <c r="C744" s="16" t="s">
        <v>516</v>
      </c>
      <c r="D744" t="s">
        <v>2251</v>
      </c>
      <c r="E744" s="14">
        <v>2</v>
      </c>
      <c r="F744" s="16" t="s">
        <v>5961</v>
      </c>
      <c r="G744" s="19">
        <v>46025</v>
      </c>
    </row>
    <row r="745" spans="1:7">
      <c r="A745" t="s">
        <v>6673</v>
      </c>
      <c r="B745" t="s">
        <v>3355</v>
      </c>
      <c r="C745" s="16" t="s">
        <v>1610</v>
      </c>
      <c r="D745" t="s">
        <v>2205</v>
      </c>
      <c r="E745" s="14">
        <v>5</v>
      </c>
      <c r="F745" s="16" t="s">
        <v>5938</v>
      </c>
      <c r="G745" s="19">
        <v>45277</v>
      </c>
    </row>
    <row r="746" spans="1:7">
      <c r="A746" t="s">
        <v>6674</v>
      </c>
      <c r="B746" t="s">
        <v>3950</v>
      </c>
      <c r="C746" s="16" t="s">
        <v>707</v>
      </c>
      <c r="D746" t="s">
        <v>2209</v>
      </c>
      <c r="E746" s="14">
        <v>4</v>
      </c>
      <c r="F746" s="16" t="s">
        <v>5961</v>
      </c>
      <c r="G746" s="19">
        <v>45331</v>
      </c>
    </row>
    <row r="747" spans="1:7">
      <c r="A747" t="s">
        <v>6675</v>
      </c>
      <c r="B747" t="s">
        <v>4028</v>
      </c>
      <c r="C747" s="16" t="s">
        <v>558</v>
      </c>
      <c r="D747" t="s">
        <v>2264</v>
      </c>
      <c r="E747" s="14">
        <v>4</v>
      </c>
      <c r="F747" s="16" t="s">
        <v>5938</v>
      </c>
      <c r="G747" s="19">
        <v>45685</v>
      </c>
    </row>
    <row r="748" spans="1:7">
      <c r="A748" t="s">
        <v>6676</v>
      </c>
      <c r="B748" t="s">
        <v>5681</v>
      </c>
      <c r="C748" s="16" t="s">
        <v>1517</v>
      </c>
      <c r="D748" t="s">
        <v>2209</v>
      </c>
      <c r="E748" s="14">
        <v>4</v>
      </c>
      <c r="F748" s="16" t="s">
        <v>5933</v>
      </c>
      <c r="G748" s="19">
        <v>46101</v>
      </c>
    </row>
    <row r="749" spans="1:7">
      <c r="A749" t="s">
        <v>6677</v>
      </c>
      <c r="B749" t="s">
        <v>3915</v>
      </c>
      <c r="C749" s="16" t="s">
        <v>2147</v>
      </c>
      <c r="D749" t="s">
        <v>2225</v>
      </c>
      <c r="E749" s="14" t="s">
        <v>39</v>
      </c>
      <c r="F749" s="16" t="s">
        <v>5940</v>
      </c>
      <c r="G749" s="19">
        <v>45913</v>
      </c>
    </row>
    <row r="750" spans="1:7">
      <c r="A750" t="s">
        <v>6678</v>
      </c>
      <c r="B750" t="s">
        <v>2643</v>
      </c>
      <c r="C750" s="16" t="s">
        <v>870</v>
      </c>
      <c r="D750" t="s">
        <v>2251</v>
      </c>
      <c r="E750" s="14">
        <v>3</v>
      </c>
      <c r="F750" s="16" t="s">
        <v>5938</v>
      </c>
      <c r="G750" s="19">
        <v>45406</v>
      </c>
    </row>
    <row r="751" spans="1:7">
      <c r="A751" t="s">
        <v>6679</v>
      </c>
      <c r="B751" t="s">
        <v>5616</v>
      </c>
      <c r="C751" s="16" t="s">
        <v>527</v>
      </c>
      <c r="D751" t="s">
        <v>2244</v>
      </c>
      <c r="E751" s="14">
        <v>5</v>
      </c>
      <c r="F751" s="16" t="s">
        <v>5931</v>
      </c>
      <c r="G751" s="19">
        <v>45707</v>
      </c>
    </row>
    <row r="752" spans="1:7">
      <c r="A752" t="s">
        <v>6680</v>
      </c>
      <c r="B752" t="s">
        <v>2853</v>
      </c>
      <c r="C752" s="16" t="s">
        <v>748</v>
      </c>
      <c r="D752" t="s">
        <v>2261</v>
      </c>
      <c r="E752" s="14">
        <v>4</v>
      </c>
      <c r="F752" s="16" t="s">
        <v>5961</v>
      </c>
      <c r="G752" s="19">
        <v>45657</v>
      </c>
    </row>
    <row r="753" spans="1:7">
      <c r="A753" t="s">
        <v>6681</v>
      </c>
      <c r="B753" t="s">
        <v>5180</v>
      </c>
      <c r="C753" s="16" t="s">
        <v>343</v>
      </c>
      <c r="D753" t="s">
        <v>2264</v>
      </c>
      <c r="E753" s="14">
        <v>1</v>
      </c>
      <c r="F753" s="16" t="s">
        <v>5946</v>
      </c>
      <c r="G753" s="19">
        <v>45273</v>
      </c>
    </row>
    <row r="754" spans="1:7">
      <c r="A754" t="s">
        <v>6682</v>
      </c>
      <c r="B754" t="s">
        <v>5654</v>
      </c>
      <c r="C754" s="16" t="s">
        <v>1578</v>
      </c>
      <c r="D754" t="s">
        <v>2235</v>
      </c>
      <c r="E754" s="14">
        <v>5</v>
      </c>
      <c r="F754" s="16" t="s">
        <v>5979</v>
      </c>
      <c r="G754" s="19">
        <v>45318</v>
      </c>
    </row>
    <row r="755" spans="1:7">
      <c r="A755" t="s">
        <v>6683</v>
      </c>
      <c r="B755" t="s">
        <v>2515</v>
      </c>
      <c r="C755" s="16" t="s">
        <v>1713</v>
      </c>
      <c r="D755" t="s">
        <v>2222</v>
      </c>
      <c r="E755" s="14">
        <v>5</v>
      </c>
      <c r="F755" s="16" t="s">
        <v>5946</v>
      </c>
      <c r="G755" s="19">
        <v>45763</v>
      </c>
    </row>
    <row r="756" spans="1:7">
      <c r="A756" t="s">
        <v>6684</v>
      </c>
      <c r="B756" t="s">
        <v>5041</v>
      </c>
      <c r="C756" s="16" t="s">
        <v>531</v>
      </c>
      <c r="D756" t="s">
        <v>2222</v>
      </c>
      <c r="E756" s="14">
        <v>5</v>
      </c>
      <c r="F756" s="16" t="s">
        <v>23</v>
      </c>
      <c r="G756" s="19">
        <v>45464</v>
      </c>
    </row>
    <row r="757" spans="1:7">
      <c r="A757" t="s">
        <v>6685</v>
      </c>
      <c r="B757" t="s">
        <v>5336</v>
      </c>
      <c r="C757" s="16" t="s">
        <v>296</v>
      </c>
      <c r="D757" t="s">
        <v>2209</v>
      </c>
      <c r="E757" s="14">
        <v>5</v>
      </c>
      <c r="F757" s="16" t="s">
        <v>5924</v>
      </c>
      <c r="G757" s="19">
        <v>45456</v>
      </c>
    </row>
    <row r="758" spans="1:7">
      <c r="A758" t="s">
        <v>6686</v>
      </c>
      <c r="B758" t="s">
        <v>5522</v>
      </c>
      <c r="C758" s="16" t="s">
        <v>762</v>
      </c>
      <c r="D758" t="s">
        <v>2235</v>
      </c>
      <c r="E758" s="14" t="s">
        <v>39</v>
      </c>
      <c r="F758" s="16" t="s">
        <v>5928</v>
      </c>
      <c r="G758" s="19">
        <v>45383</v>
      </c>
    </row>
    <row r="759" spans="1:7">
      <c r="A759" t="s">
        <v>6687</v>
      </c>
      <c r="B759" t="s">
        <v>4676</v>
      </c>
      <c r="C759" s="16" t="s">
        <v>1452</v>
      </c>
      <c r="D759" t="s">
        <v>2237</v>
      </c>
      <c r="E759" s="14">
        <v>5</v>
      </c>
      <c r="F759" s="16" t="s">
        <v>5979</v>
      </c>
      <c r="G759" s="19">
        <v>45228</v>
      </c>
    </row>
    <row r="760" spans="1:7">
      <c r="A760" t="s">
        <v>6688</v>
      </c>
      <c r="B760" t="s">
        <v>2386</v>
      </c>
      <c r="C760" s="16" t="s">
        <v>2077</v>
      </c>
      <c r="D760" t="s">
        <v>2261</v>
      </c>
      <c r="E760" s="14">
        <v>3</v>
      </c>
      <c r="F760" s="16" t="s">
        <v>5917</v>
      </c>
      <c r="G760" s="19">
        <v>45410</v>
      </c>
    </row>
    <row r="761" spans="1:7">
      <c r="A761" t="s">
        <v>6689</v>
      </c>
      <c r="B761" t="s">
        <v>3860</v>
      </c>
      <c r="C761" s="16" t="s">
        <v>1740</v>
      </c>
      <c r="D761" t="s">
        <v>2231</v>
      </c>
      <c r="E761" s="14">
        <v>1</v>
      </c>
      <c r="F761" s="16" t="s">
        <v>5920</v>
      </c>
      <c r="G761" s="19">
        <v>45129</v>
      </c>
    </row>
    <row r="762" spans="1:7">
      <c r="A762" t="s">
        <v>6690</v>
      </c>
      <c r="B762" t="s">
        <v>2740</v>
      </c>
      <c r="C762" s="16" t="s">
        <v>692</v>
      </c>
      <c r="D762" t="s">
        <v>2269</v>
      </c>
      <c r="E762" s="14">
        <v>4</v>
      </c>
      <c r="F762" s="16" t="s">
        <v>5933</v>
      </c>
      <c r="G762" s="19">
        <v>45995</v>
      </c>
    </row>
    <row r="763" spans="1:7">
      <c r="A763" t="s">
        <v>6691</v>
      </c>
      <c r="B763" t="s">
        <v>3418</v>
      </c>
      <c r="C763" s="16" t="s">
        <v>141</v>
      </c>
      <c r="D763" t="s">
        <v>2231</v>
      </c>
      <c r="E763" s="14">
        <v>2</v>
      </c>
      <c r="F763" s="16" t="s">
        <v>5979</v>
      </c>
      <c r="G763" s="19">
        <v>45811</v>
      </c>
    </row>
    <row r="764" spans="1:7">
      <c r="A764" t="s">
        <v>6692</v>
      </c>
      <c r="B764" t="s">
        <v>5636</v>
      </c>
      <c r="C764" s="16" t="s">
        <v>1145</v>
      </c>
      <c r="D764" t="s">
        <v>2249</v>
      </c>
      <c r="E764" s="14">
        <v>4</v>
      </c>
      <c r="F764" s="16" t="s">
        <v>5933</v>
      </c>
      <c r="G764" s="19">
        <v>45658</v>
      </c>
    </row>
    <row r="765" spans="1:7">
      <c r="A765" t="s">
        <v>6693</v>
      </c>
      <c r="B765" t="s">
        <v>4647</v>
      </c>
      <c r="C765" s="16" t="s">
        <v>878</v>
      </c>
      <c r="D765" t="s">
        <v>2233</v>
      </c>
      <c r="E765" s="14">
        <v>5</v>
      </c>
      <c r="F765" s="16" t="s">
        <v>5924</v>
      </c>
      <c r="G765" s="19">
        <v>45542</v>
      </c>
    </row>
    <row r="766" spans="1:7">
      <c r="A766" t="s">
        <v>6694</v>
      </c>
      <c r="B766" t="s">
        <v>4236</v>
      </c>
      <c r="C766" s="16" t="s">
        <v>1051</v>
      </c>
      <c r="D766" t="s">
        <v>2273</v>
      </c>
      <c r="E766" s="14">
        <v>4</v>
      </c>
      <c r="F766" s="16" t="s">
        <v>5931</v>
      </c>
      <c r="G766" s="19">
        <v>45300</v>
      </c>
    </row>
    <row r="767" spans="1:7">
      <c r="A767" t="s">
        <v>6695</v>
      </c>
      <c r="B767" t="s">
        <v>3354</v>
      </c>
      <c r="C767" s="16" t="s">
        <v>469</v>
      </c>
      <c r="D767" t="s">
        <v>2259</v>
      </c>
      <c r="E767" s="14">
        <v>5</v>
      </c>
      <c r="F767" s="16" t="s">
        <v>5924</v>
      </c>
      <c r="G767" s="19">
        <v>45054</v>
      </c>
    </row>
    <row r="768" spans="1:7">
      <c r="A768" t="s">
        <v>6696</v>
      </c>
      <c r="B768" t="s">
        <v>4898</v>
      </c>
      <c r="C768" s="16" t="s">
        <v>2061</v>
      </c>
      <c r="D768" t="s">
        <v>2228</v>
      </c>
      <c r="E768" s="14" t="s">
        <v>39</v>
      </c>
      <c r="F768" s="16" t="s">
        <v>5926</v>
      </c>
      <c r="G768" s="19">
        <v>45979</v>
      </c>
    </row>
    <row r="769" spans="1:7">
      <c r="A769" t="s">
        <v>6697</v>
      </c>
      <c r="B769" t="s">
        <v>4482</v>
      </c>
      <c r="C769" s="16" t="s">
        <v>585</v>
      </c>
      <c r="D769" t="s">
        <v>2202</v>
      </c>
      <c r="E769" s="14">
        <v>2</v>
      </c>
      <c r="F769" s="16" t="s">
        <v>5924</v>
      </c>
      <c r="G769" s="19">
        <v>46000</v>
      </c>
    </row>
    <row r="770" spans="1:7">
      <c r="A770" t="s">
        <v>6698</v>
      </c>
      <c r="B770" t="s">
        <v>3894</v>
      </c>
      <c r="C770" s="16" t="s">
        <v>366</v>
      </c>
      <c r="D770" t="s">
        <v>2233</v>
      </c>
      <c r="E770" s="14">
        <v>5</v>
      </c>
      <c r="F770" s="16" t="s">
        <v>5938</v>
      </c>
      <c r="G770" s="19">
        <v>46056</v>
      </c>
    </row>
    <row r="771" spans="1:7">
      <c r="A771" t="s">
        <v>6699</v>
      </c>
      <c r="B771" t="s">
        <v>3737</v>
      </c>
      <c r="C771" s="16" t="s">
        <v>1602</v>
      </c>
      <c r="D771" t="s">
        <v>2247</v>
      </c>
      <c r="E771" s="14">
        <v>4</v>
      </c>
      <c r="F771" s="16" t="s">
        <v>5931</v>
      </c>
      <c r="G771" s="19">
        <v>45317</v>
      </c>
    </row>
    <row r="772" spans="1:7">
      <c r="A772" t="s">
        <v>6700</v>
      </c>
      <c r="B772" t="s">
        <v>5221</v>
      </c>
      <c r="C772" s="16" t="s">
        <v>192</v>
      </c>
      <c r="D772" t="s">
        <v>2261</v>
      </c>
      <c r="E772" s="14">
        <v>2</v>
      </c>
      <c r="F772" s="16" t="s">
        <v>5924</v>
      </c>
      <c r="G772" s="19">
        <v>45722</v>
      </c>
    </row>
    <row r="773" spans="1:7">
      <c r="A773" t="s">
        <v>6701</v>
      </c>
      <c r="B773" t="s">
        <v>4641</v>
      </c>
      <c r="C773" s="16" t="s">
        <v>1347</v>
      </c>
      <c r="D773" t="s">
        <v>2198</v>
      </c>
      <c r="E773" s="14">
        <v>1</v>
      </c>
      <c r="F773" s="16" t="s">
        <v>5933</v>
      </c>
      <c r="G773" s="19">
        <v>45917</v>
      </c>
    </row>
    <row r="774" spans="1:7">
      <c r="A774" t="s">
        <v>6702</v>
      </c>
      <c r="B774" t="s">
        <v>3897</v>
      </c>
      <c r="C774" s="16" t="s">
        <v>1037</v>
      </c>
      <c r="D774" t="s">
        <v>2247</v>
      </c>
      <c r="E774" s="14">
        <v>3</v>
      </c>
      <c r="F774" s="16" t="s">
        <v>5938</v>
      </c>
      <c r="G774" s="19">
        <v>46010</v>
      </c>
    </row>
    <row r="775" spans="1:7">
      <c r="A775" t="s">
        <v>6703</v>
      </c>
      <c r="B775" t="s">
        <v>2470</v>
      </c>
      <c r="C775" s="16" t="s">
        <v>1149</v>
      </c>
      <c r="D775" t="s">
        <v>2271</v>
      </c>
      <c r="E775" s="14">
        <v>4</v>
      </c>
      <c r="F775" s="16" t="s">
        <v>5920</v>
      </c>
      <c r="G775" s="19">
        <v>45836</v>
      </c>
    </row>
    <row r="776" spans="1:7">
      <c r="A776" t="s">
        <v>6704</v>
      </c>
      <c r="B776" t="s">
        <v>3876</v>
      </c>
      <c r="C776" s="16" t="s">
        <v>1054</v>
      </c>
      <c r="D776" t="s">
        <v>2264</v>
      </c>
      <c r="E776" s="14">
        <v>3</v>
      </c>
      <c r="F776" s="16" t="s">
        <v>5931</v>
      </c>
      <c r="G776" s="19">
        <v>46069</v>
      </c>
    </row>
    <row r="777" spans="1:7">
      <c r="A777" t="s">
        <v>6705</v>
      </c>
      <c r="B777" t="s">
        <v>3595</v>
      </c>
      <c r="C777" s="16" t="s">
        <v>1638</v>
      </c>
      <c r="D777" t="s">
        <v>2273</v>
      </c>
      <c r="E777" s="14" t="s">
        <v>39</v>
      </c>
      <c r="F777" s="16" t="s">
        <v>5979</v>
      </c>
      <c r="G777" s="19">
        <v>45728</v>
      </c>
    </row>
    <row r="778" spans="1:7">
      <c r="A778" t="s">
        <v>6706</v>
      </c>
      <c r="B778" t="s">
        <v>3031</v>
      </c>
      <c r="C778" s="16" t="s">
        <v>1806</v>
      </c>
      <c r="D778" t="s">
        <v>2225</v>
      </c>
      <c r="E778" s="14">
        <v>1</v>
      </c>
      <c r="F778" s="16" t="s">
        <v>5946</v>
      </c>
      <c r="G778" s="19">
        <v>45493</v>
      </c>
    </row>
    <row r="779" spans="1:7">
      <c r="A779" t="s">
        <v>6707</v>
      </c>
      <c r="B779" t="s">
        <v>2359</v>
      </c>
      <c r="C779" s="16" t="s">
        <v>867</v>
      </c>
      <c r="D779" t="s">
        <v>2237</v>
      </c>
      <c r="E779" s="14">
        <v>5</v>
      </c>
      <c r="F779" s="16" t="s">
        <v>5938</v>
      </c>
      <c r="G779" s="19">
        <v>45157</v>
      </c>
    </row>
    <row r="780" spans="1:7">
      <c r="A780" t="s">
        <v>6708</v>
      </c>
      <c r="B780" t="s">
        <v>5022</v>
      </c>
      <c r="C780" s="16" t="s">
        <v>972</v>
      </c>
      <c r="D780" t="s">
        <v>2267</v>
      </c>
      <c r="E780" s="14">
        <v>3</v>
      </c>
      <c r="F780" s="16" t="s">
        <v>5926</v>
      </c>
      <c r="G780" s="19">
        <v>45784</v>
      </c>
    </row>
    <row r="781" spans="1:7">
      <c r="A781" t="s">
        <v>6709</v>
      </c>
      <c r="B781" t="s">
        <v>3676</v>
      </c>
      <c r="C781" s="16" t="s">
        <v>1817</v>
      </c>
      <c r="D781" t="s">
        <v>2209</v>
      </c>
      <c r="E781" s="14">
        <v>3</v>
      </c>
      <c r="F781" s="16" t="s">
        <v>5920</v>
      </c>
      <c r="G781" s="19">
        <v>45719</v>
      </c>
    </row>
    <row r="782" spans="1:7">
      <c r="A782" t="s">
        <v>6710</v>
      </c>
      <c r="B782" t="s">
        <v>3231</v>
      </c>
      <c r="C782" s="16" t="s">
        <v>1445</v>
      </c>
      <c r="D782" t="s">
        <v>2271</v>
      </c>
      <c r="E782" s="14">
        <v>5</v>
      </c>
      <c r="F782" s="16" t="s">
        <v>5979</v>
      </c>
      <c r="G782" s="19">
        <v>46067</v>
      </c>
    </row>
    <row r="783" spans="1:7">
      <c r="A783" t="s">
        <v>6711</v>
      </c>
      <c r="B783" t="s">
        <v>2388</v>
      </c>
      <c r="C783" s="16" t="s">
        <v>1153</v>
      </c>
      <c r="D783" t="s">
        <v>2269</v>
      </c>
      <c r="E783" s="14">
        <v>5</v>
      </c>
      <c r="F783" s="16" t="s">
        <v>5920</v>
      </c>
      <c r="G783" s="19">
        <v>45374</v>
      </c>
    </row>
    <row r="784" spans="1:7">
      <c r="A784" t="s">
        <v>6712</v>
      </c>
      <c r="B784" t="s">
        <v>2703</v>
      </c>
      <c r="C784" s="16" t="s">
        <v>780</v>
      </c>
      <c r="D784" t="s">
        <v>2202</v>
      </c>
      <c r="E784" s="14">
        <v>5</v>
      </c>
      <c r="F784" s="16" t="s">
        <v>5917</v>
      </c>
      <c r="G784" s="19">
        <v>45658</v>
      </c>
    </row>
    <row r="785" spans="1:7">
      <c r="A785" t="s">
        <v>6713</v>
      </c>
      <c r="B785" t="s">
        <v>4858</v>
      </c>
      <c r="C785" s="16" t="s">
        <v>99</v>
      </c>
      <c r="D785" t="s">
        <v>2249</v>
      </c>
      <c r="E785" s="14">
        <v>3</v>
      </c>
      <c r="F785" s="16" t="s">
        <v>5933</v>
      </c>
      <c r="G785" s="19">
        <v>45437</v>
      </c>
    </row>
    <row r="786" spans="1:7">
      <c r="A786" t="s">
        <v>6714</v>
      </c>
      <c r="B786" t="s">
        <v>3845</v>
      </c>
      <c r="C786" s="16" t="s">
        <v>224</v>
      </c>
      <c r="D786" t="s">
        <v>2202</v>
      </c>
      <c r="E786" s="14">
        <v>1</v>
      </c>
      <c r="F786" s="16" t="s">
        <v>5933</v>
      </c>
      <c r="G786" s="19">
        <v>45335</v>
      </c>
    </row>
    <row r="787" spans="1:7">
      <c r="A787" t="s">
        <v>6715</v>
      </c>
      <c r="B787" t="s">
        <v>5173</v>
      </c>
      <c r="C787" s="16" t="s">
        <v>1203</v>
      </c>
      <c r="D787" t="s">
        <v>2198</v>
      </c>
      <c r="E787" s="14">
        <v>5</v>
      </c>
      <c r="F787" s="16" t="s">
        <v>23</v>
      </c>
      <c r="G787" s="19">
        <v>45413</v>
      </c>
    </row>
    <row r="788" spans="1:7">
      <c r="A788" t="s">
        <v>6716</v>
      </c>
      <c r="B788" t="s">
        <v>3681</v>
      </c>
      <c r="C788" s="16" t="s">
        <v>177</v>
      </c>
      <c r="D788" t="s">
        <v>2269</v>
      </c>
      <c r="E788" s="14" t="s">
        <v>39</v>
      </c>
      <c r="F788" s="16" t="s">
        <v>5926</v>
      </c>
      <c r="G788" s="19">
        <v>45463</v>
      </c>
    </row>
    <row r="789" spans="1:7">
      <c r="A789" t="s">
        <v>6717</v>
      </c>
      <c r="B789" t="s">
        <v>4325</v>
      </c>
      <c r="C789" s="16" t="s">
        <v>236</v>
      </c>
      <c r="D789" t="s">
        <v>2247</v>
      </c>
      <c r="E789" s="14">
        <v>5</v>
      </c>
      <c r="F789" s="16" t="s">
        <v>5940</v>
      </c>
      <c r="G789" s="19">
        <v>45645</v>
      </c>
    </row>
    <row r="790" spans="1:7">
      <c r="A790" t="s">
        <v>6718</v>
      </c>
      <c r="B790" t="s">
        <v>4976</v>
      </c>
      <c r="C790" s="16" t="s">
        <v>854</v>
      </c>
      <c r="D790" t="s">
        <v>2233</v>
      </c>
      <c r="E790" s="14">
        <v>5</v>
      </c>
      <c r="F790" s="16" t="s">
        <v>5938</v>
      </c>
      <c r="G790" s="19">
        <v>45887</v>
      </c>
    </row>
    <row r="791" spans="1:7">
      <c r="A791" t="s">
        <v>6719</v>
      </c>
      <c r="B791" t="s">
        <v>3230</v>
      </c>
      <c r="C791" s="16" t="s">
        <v>940</v>
      </c>
      <c r="D791" t="s">
        <v>2205</v>
      </c>
      <c r="E791" s="14">
        <v>4</v>
      </c>
      <c r="F791" s="16" t="s">
        <v>5924</v>
      </c>
      <c r="G791" s="19">
        <v>45887</v>
      </c>
    </row>
    <row r="792" spans="1:7">
      <c r="A792" t="s">
        <v>6720</v>
      </c>
      <c r="B792" t="s">
        <v>3779</v>
      </c>
      <c r="C792" s="16" t="s">
        <v>217</v>
      </c>
      <c r="D792" t="s">
        <v>2228</v>
      </c>
      <c r="E792" s="14">
        <v>5</v>
      </c>
      <c r="F792" s="16" t="s">
        <v>5973</v>
      </c>
      <c r="G792" s="19">
        <v>45599</v>
      </c>
    </row>
    <row r="793" spans="1:7">
      <c r="A793" t="s">
        <v>6721</v>
      </c>
      <c r="B793" t="s">
        <v>3597</v>
      </c>
      <c r="C793" s="16" t="s">
        <v>107</v>
      </c>
      <c r="D793" t="s">
        <v>2193</v>
      </c>
      <c r="E793" s="14">
        <v>3</v>
      </c>
      <c r="F793" s="16" t="s">
        <v>5961</v>
      </c>
      <c r="G793" s="19">
        <v>45526</v>
      </c>
    </row>
    <row r="794" spans="1:7">
      <c r="A794" t="s">
        <v>6722</v>
      </c>
      <c r="B794" t="s">
        <v>2375</v>
      </c>
      <c r="C794" s="16" t="s">
        <v>196</v>
      </c>
      <c r="D794" t="s">
        <v>2187</v>
      </c>
      <c r="E794" s="14" t="s">
        <v>39</v>
      </c>
      <c r="F794" s="16" t="s">
        <v>5973</v>
      </c>
      <c r="G794" s="19">
        <v>45924</v>
      </c>
    </row>
    <row r="795" spans="1:7">
      <c r="A795" t="s">
        <v>6723</v>
      </c>
      <c r="B795" t="s">
        <v>5253</v>
      </c>
      <c r="C795" s="16" t="s">
        <v>2073</v>
      </c>
      <c r="D795" t="s">
        <v>2193</v>
      </c>
      <c r="E795" s="14">
        <v>4</v>
      </c>
      <c r="F795" s="16" t="s">
        <v>5924</v>
      </c>
      <c r="G795" s="19">
        <v>46107</v>
      </c>
    </row>
    <row r="796" spans="1:7">
      <c r="A796" t="s">
        <v>6724</v>
      </c>
      <c r="B796" t="s">
        <v>5508</v>
      </c>
      <c r="C796" s="16" t="s">
        <v>2014</v>
      </c>
      <c r="D796" t="s">
        <v>2193</v>
      </c>
      <c r="E796" s="14">
        <v>4</v>
      </c>
      <c r="F796" s="16" t="s">
        <v>5933</v>
      </c>
      <c r="G796" s="19">
        <v>45624</v>
      </c>
    </row>
    <row r="797" spans="1:7">
      <c r="A797" t="s">
        <v>6725</v>
      </c>
      <c r="B797" t="s">
        <v>3686</v>
      </c>
      <c r="C797" s="16" t="s">
        <v>90</v>
      </c>
      <c r="D797" t="s">
        <v>2251</v>
      </c>
      <c r="E797" s="14">
        <v>5</v>
      </c>
      <c r="F797" s="16" t="s">
        <v>5961</v>
      </c>
      <c r="G797" s="19">
        <v>45752</v>
      </c>
    </row>
    <row r="798" spans="1:7">
      <c r="A798" t="s">
        <v>6726</v>
      </c>
      <c r="B798" t="s">
        <v>2489</v>
      </c>
      <c r="C798" s="16" t="s">
        <v>1133</v>
      </c>
      <c r="D798" t="s">
        <v>2213</v>
      </c>
      <c r="E798" s="14">
        <v>5</v>
      </c>
      <c r="F798" s="16" t="s">
        <v>5931</v>
      </c>
      <c r="G798" s="19">
        <v>45969</v>
      </c>
    </row>
    <row r="799" spans="1:7">
      <c r="A799" t="s">
        <v>6727</v>
      </c>
      <c r="B799" t="s">
        <v>5262</v>
      </c>
      <c r="C799" s="16" t="s">
        <v>1486</v>
      </c>
      <c r="D799" t="s">
        <v>2259</v>
      </c>
      <c r="E799" s="14">
        <v>4</v>
      </c>
      <c r="F799" s="16" t="s">
        <v>5931</v>
      </c>
      <c r="G799" s="19">
        <v>45829</v>
      </c>
    </row>
    <row r="800" spans="1:7">
      <c r="A800" t="s">
        <v>6728</v>
      </c>
      <c r="B800" t="s">
        <v>3730</v>
      </c>
      <c r="C800" s="16" t="s">
        <v>1065</v>
      </c>
      <c r="D800" t="s">
        <v>2187</v>
      </c>
      <c r="E800" s="14">
        <v>4</v>
      </c>
      <c r="F800" s="16" t="s">
        <v>5917</v>
      </c>
      <c r="G800" s="19">
        <v>46125</v>
      </c>
    </row>
    <row r="801" spans="1:7">
      <c r="A801" t="s">
        <v>6729</v>
      </c>
      <c r="B801" t="s">
        <v>3162</v>
      </c>
      <c r="C801" s="16" t="s">
        <v>2147</v>
      </c>
      <c r="D801" t="s">
        <v>2233</v>
      </c>
      <c r="E801" s="14">
        <v>3</v>
      </c>
      <c r="F801" s="16" t="s">
        <v>5933</v>
      </c>
      <c r="G801" s="19">
        <v>45183</v>
      </c>
    </row>
    <row r="802" spans="1:7">
      <c r="A802" t="s">
        <v>6730</v>
      </c>
      <c r="B802" t="s">
        <v>4773</v>
      </c>
      <c r="C802" s="16" t="s">
        <v>813</v>
      </c>
      <c r="D802" t="s">
        <v>2228</v>
      </c>
      <c r="E802" s="14">
        <v>4</v>
      </c>
      <c r="F802" s="16" t="s">
        <v>5924</v>
      </c>
      <c r="G802" s="19">
        <v>45215</v>
      </c>
    </row>
    <row r="803" spans="1:7">
      <c r="A803" t="s">
        <v>6731</v>
      </c>
      <c r="B803" t="s">
        <v>4282</v>
      </c>
      <c r="C803" s="16" t="s">
        <v>1689</v>
      </c>
      <c r="D803" t="s">
        <v>2269</v>
      </c>
      <c r="E803" s="14" t="s">
        <v>39</v>
      </c>
      <c r="F803" s="16" t="s">
        <v>5940</v>
      </c>
      <c r="G803" s="19">
        <v>45098</v>
      </c>
    </row>
    <row r="804" spans="1:7">
      <c r="A804" t="s">
        <v>6732</v>
      </c>
      <c r="B804" t="s">
        <v>5461</v>
      </c>
      <c r="C804" s="16" t="s">
        <v>1592</v>
      </c>
      <c r="D804" t="s">
        <v>2257</v>
      </c>
      <c r="E804" s="14">
        <v>4</v>
      </c>
      <c r="F804" s="16" t="s">
        <v>5973</v>
      </c>
      <c r="G804" s="19">
        <v>45132</v>
      </c>
    </row>
    <row r="805" spans="1:7">
      <c r="A805" t="s">
        <v>6733</v>
      </c>
      <c r="B805" t="s">
        <v>5688</v>
      </c>
      <c r="C805" s="16" t="s">
        <v>2132</v>
      </c>
      <c r="D805" t="s">
        <v>2264</v>
      </c>
      <c r="E805" s="14">
        <v>3</v>
      </c>
      <c r="F805" s="16" t="s">
        <v>5946</v>
      </c>
      <c r="G805" s="19">
        <v>45152</v>
      </c>
    </row>
    <row r="806" spans="1:7">
      <c r="A806" t="s">
        <v>6734</v>
      </c>
      <c r="B806" t="s">
        <v>5131</v>
      </c>
      <c r="C806" s="16" t="s">
        <v>896</v>
      </c>
      <c r="D806" t="s">
        <v>2218</v>
      </c>
      <c r="E806" s="14" t="s">
        <v>39</v>
      </c>
      <c r="F806" s="16" t="s">
        <v>5920</v>
      </c>
      <c r="G806" s="19">
        <v>45110</v>
      </c>
    </row>
    <row r="807" spans="1:7">
      <c r="A807" t="s">
        <v>6735</v>
      </c>
      <c r="B807" t="s">
        <v>3896</v>
      </c>
      <c r="C807" s="16" t="s">
        <v>1194</v>
      </c>
      <c r="D807" t="s">
        <v>2257</v>
      </c>
      <c r="E807" s="14">
        <v>5</v>
      </c>
      <c r="F807" s="16" t="s">
        <v>5922</v>
      </c>
      <c r="G807" s="19">
        <v>45398</v>
      </c>
    </row>
    <row r="808" spans="1:7">
      <c r="A808" t="s">
        <v>6736</v>
      </c>
      <c r="B808" t="s">
        <v>5002</v>
      </c>
      <c r="C808" s="16" t="s">
        <v>1069</v>
      </c>
      <c r="D808" t="s">
        <v>2237</v>
      </c>
      <c r="E808" s="14">
        <v>4</v>
      </c>
      <c r="F808" s="16" t="s">
        <v>5979</v>
      </c>
      <c r="G808" s="19">
        <v>45098</v>
      </c>
    </row>
    <row r="809" spans="1:7">
      <c r="A809" t="s">
        <v>6737</v>
      </c>
      <c r="B809" t="s">
        <v>5187</v>
      </c>
      <c r="C809" s="16" t="s">
        <v>795</v>
      </c>
      <c r="D809" t="s">
        <v>2231</v>
      </c>
      <c r="E809" s="14">
        <v>5</v>
      </c>
      <c r="F809" s="16" t="s">
        <v>5940</v>
      </c>
      <c r="G809" s="19">
        <v>45585</v>
      </c>
    </row>
    <row r="810" spans="1:7">
      <c r="A810" t="s">
        <v>6738</v>
      </c>
      <c r="B810" t="s">
        <v>5308</v>
      </c>
      <c r="C810" s="16" t="s">
        <v>1782</v>
      </c>
      <c r="D810" t="s">
        <v>2193</v>
      </c>
      <c r="E810" s="14">
        <v>1</v>
      </c>
      <c r="F810" s="16" t="s">
        <v>5961</v>
      </c>
      <c r="G810" s="19">
        <v>45896</v>
      </c>
    </row>
    <row r="811" spans="1:7">
      <c r="A811" t="s">
        <v>6739</v>
      </c>
      <c r="B811" t="s">
        <v>5057</v>
      </c>
      <c r="C811" s="16" t="s">
        <v>40</v>
      </c>
      <c r="D811" t="s">
        <v>2193</v>
      </c>
      <c r="E811" s="14">
        <v>3</v>
      </c>
      <c r="F811" s="16" t="s">
        <v>5924</v>
      </c>
      <c r="G811" s="19">
        <v>46270</v>
      </c>
    </row>
    <row r="812" spans="1:7">
      <c r="A812" t="s">
        <v>6740</v>
      </c>
      <c r="B812" t="s">
        <v>3963</v>
      </c>
      <c r="C812" s="16" t="s">
        <v>894</v>
      </c>
      <c r="D812" t="s">
        <v>2233</v>
      </c>
      <c r="E812" s="14">
        <v>1</v>
      </c>
      <c r="F812" s="16" t="s">
        <v>5928</v>
      </c>
      <c r="G812" s="19">
        <v>45204</v>
      </c>
    </row>
    <row r="813" spans="1:7">
      <c r="A813" t="s">
        <v>6741</v>
      </c>
      <c r="B813" t="s">
        <v>4735</v>
      </c>
      <c r="C813" s="16" t="s">
        <v>1748</v>
      </c>
      <c r="D813" t="s">
        <v>2225</v>
      </c>
      <c r="E813" s="14">
        <v>3</v>
      </c>
      <c r="F813" s="16" t="s">
        <v>5946</v>
      </c>
      <c r="G813" s="19">
        <v>45501</v>
      </c>
    </row>
    <row r="814" spans="1:7">
      <c r="A814" t="s">
        <v>6742</v>
      </c>
      <c r="B814" t="s">
        <v>4639</v>
      </c>
      <c r="C814" s="16" t="s">
        <v>922</v>
      </c>
      <c r="D814" t="s">
        <v>2216</v>
      </c>
      <c r="E814" s="14">
        <v>3</v>
      </c>
      <c r="F814" s="16" t="s">
        <v>5973</v>
      </c>
      <c r="G814" s="19">
        <v>45805</v>
      </c>
    </row>
    <row r="815" spans="1:7">
      <c r="A815" t="s">
        <v>6743</v>
      </c>
      <c r="B815" t="s">
        <v>5380</v>
      </c>
      <c r="C815" s="16" t="s">
        <v>1187</v>
      </c>
      <c r="D815" t="s">
        <v>2193</v>
      </c>
      <c r="E815" s="14">
        <v>5</v>
      </c>
      <c r="F815" s="16" t="s">
        <v>5946</v>
      </c>
      <c r="G815" s="19">
        <v>46162</v>
      </c>
    </row>
    <row r="816" spans="1:7">
      <c r="A816" t="s">
        <v>6744</v>
      </c>
      <c r="B816" t="s">
        <v>2907</v>
      </c>
      <c r="C816" s="16" t="s">
        <v>570</v>
      </c>
      <c r="D816" t="s">
        <v>2247</v>
      </c>
      <c r="E816" s="14">
        <v>3</v>
      </c>
      <c r="F816" s="16" t="s">
        <v>5924</v>
      </c>
      <c r="G816" s="19">
        <v>45911</v>
      </c>
    </row>
    <row r="817" spans="1:7">
      <c r="A817" t="s">
        <v>6745</v>
      </c>
      <c r="B817" t="s">
        <v>4395</v>
      </c>
      <c r="C817" s="16" t="s">
        <v>1967</v>
      </c>
      <c r="D817" t="s">
        <v>2205</v>
      </c>
      <c r="E817" s="14" t="s">
        <v>39</v>
      </c>
      <c r="F817" s="16" t="s">
        <v>5922</v>
      </c>
      <c r="G817" s="19">
        <v>45330</v>
      </c>
    </row>
    <row r="818" spans="1:7">
      <c r="A818" t="s">
        <v>6746</v>
      </c>
      <c r="B818" t="s">
        <v>3833</v>
      </c>
      <c r="C818" s="16" t="s">
        <v>1087</v>
      </c>
      <c r="D818" t="s">
        <v>2228</v>
      </c>
      <c r="E818" s="14">
        <v>3</v>
      </c>
      <c r="F818" s="16" t="s">
        <v>23</v>
      </c>
      <c r="G818" s="19">
        <v>45404</v>
      </c>
    </row>
    <row r="819" spans="1:7">
      <c r="A819" t="s">
        <v>6747</v>
      </c>
      <c r="B819" t="s">
        <v>4439</v>
      </c>
      <c r="C819" s="16" t="s">
        <v>1091</v>
      </c>
      <c r="D819" t="s">
        <v>2244</v>
      </c>
      <c r="E819" s="14">
        <v>5</v>
      </c>
      <c r="F819" s="16" t="s">
        <v>5938</v>
      </c>
      <c r="G819" s="19">
        <v>45814</v>
      </c>
    </row>
    <row r="820" spans="1:7">
      <c r="A820" t="s">
        <v>6748</v>
      </c>
      <c r="B820" t="s">
        <v>5859</v>
      </c>
      <c r="C820" s="16" t="s">
        <v>1548</v>
      </c>
      <c r="D820" t="s">
        <v>2222</v>
      </c>
      <c r="E820" s="14" t="s">
        <v>39</v>
      </c>
      <c r="F820" s="16" t="s">
        <v>5979</v>
      </c>
      <c r="G820" s="19">
        <v>45424</v>
      </c>
    </row>
    <row r="821" spans="1:7">
      <c r="A821" t="s">
        <v>6749</v>
      </c>
      <c r="B821" t="s">
        <v>3941</v>
      </c>
      <c r="C821" s="16" t="s">
        <v>701</v>
      </c>
      <c r="D821" t="s">
        <v>2205</v>
      </c>
      <c r="E821" s="14">
        <v>4</v>
      </c>
      <c r="F821" s="16" t="s">
        <v>5922</v>
      </c>
      <c r="G821" s="19">
        <v>45136</v>
      </c>
    </row>
    <row r="822" spans="1:7">
      <c r="A822" t="s">
        <v>6750</v>
      </c>
      <c r="B822" t="s">
        <v>3902</v>
      </c>
      <c r="C822" s="16" t="s">
        <v>1468</v>
      </c>
      <c r="D822" t="s">
        <v>2228</v>
      </c>
      <c r="E822" s="14">
        <v>1</v>
      </c>
      <c r="F822" s="16" t="s">
        <v>5973</v>
      </c>
      <c r="G822" s="19">
        <v>45229</v>
      </c>
    </row>
    <row r="823" spans="1:7">
      <c r="A823" t="s">
        <v>6751</v>
      </c>
      <c r="B823" t="s">
        <v>3915</v>
      </c>
      <c r="C823" s="16" t="s">
        <v>2147</v>
      </c>
      <c r="D823" t="s">
        <v>2225</v>
      </c>
      <c r="E823" s="14">
        <v>3</v>
      </c>
      <c r="F823" s="16" t="s">
        <v>5938</v>
      </c>
      <c r="G823" s="19">
        <v>45253</v>
      </c>
    </row>
    <row r="824" spans="1:7">
      <c r="A824" t="s">
        <v>6752</v>
      </c>
      <c r="B824" t="s">
        <v>4950</v>
      </c>
      <c r="C824" s="16" t="s">
        <v>570</v>
      </c>
      <c r="D824" t="s">
        <v>2228</v>
      </c>
      <c r="E824" s="14">
        <v>3</v>
      </c>
      <c r="F824" s="16" t="s">
        <v>5926</v>
      </c>
      <c r="G824" s="19">
        <v>45598</v>
      </c>
    </row>
    <row r="825" spans="1:7">
      <c r="A825" t="s">
        <v>6753</v>
      </c>
      <c r="B825" t="s">
        <v>4499</v>
      </c>
      <c r="C825" s="16" t="s">
        <v>926</v>
      </c>
      <c r="D825" t="s">
        <v>2213</v>
      </c>
      <c r="E825" s="14">
        <v>4</v>
      </c>
      <c r="F825" s="16" t="s">
        <v>5961</v>
      </c>
      <c r="G825" s="19">
        <v>46119</v>
      </c>
    </row>
    <row r="826" spans="1:7">
      <c r="A826" t="s">
        <v>6754</v>
      </c>
      <c r="B826" t="s">
        <v>4452</v>
      </c>
      <c r="C826" s="16" t="s">
        <v>597</v>
      </c>
      <c r="D826" t="s">
        <v>2231</v>
      </c>
      <c r="E826" s="14">
        <v>2</v>
      </c>
      <c r="F826" s="16" t="s">
        <v>5926</v>
      </c>
      <c r="G826" s="19">
        <v>46059</v>
      </c>
    </row>
    <row r="827" spans="1:7">
      <c r="A827" t="s">
        <v>6755</v>
      </c>
      <c r="B827" t="s">
        <v>3346</v>
      </c>
      <c r="C827" s="16" t="s">
        <v>481</v>
      </c>
      <c r="D827" t="s">
        <v>2218</v>
      </c>
      <c r="E827" s="14">
        <v>5</v>
      </c>
      <c r="F827" s="16" t="s">
        <v>5938</v>
      </c>
      <c r="G827" s="19">
        <v>46100</v>
      </c>
    </row>
    <row r="828" spans="1:7">
      <c r="A828" t="s">
        <v>6756</v>
      </c>
      <c r="B828" t="s">
        <v>3044</v>
      </c>
      <c r="C828" s="16" t="s">
        <v>1817</v>
      </c>
      <c r="D828" t="s">
        <v>2225</v>
      </c>
      <c r="E828" s="14">
        <v>2</v>
      </c>
      <c r="F828" s="16" t="s">
        <v>5933</v>
      </c>
      <c r="G828" s="19">
        <v>45229</v>
      </c>
    </row>
    <row r="829" spans="1:7">
      <c r="A829" t="s">
        <v>6757</v>
      </c>
      <c r="B829" t="s">
        <v>5818</v>
      </c>
      <c r="C829" s="16" t="s">
        <v>1614</v>
      </c>
      <c r="D829" t="s">
        <v>2241</v>
      </c>
      <c r="E829" s="14">
        <v>4</v>
      </c>
      <c r="F829" s="16" t="s">
        <v>5938</v>
      </c>
      <c r="G829" s="19">
        <v>45795</v>
      </c>
    </row>
    <row r="830" spans="1:7">
      <c r="A830" t="s">
        <v>6758</v>
      </c>
      <c r="B830" t="s">
        <v>4664</v>
      </c>
      <c r="C830" s="16" t="s">
        <v>1079</v>
      </c>
      <c r="D830" t="s">
        <v>2225</v>
      </c>
      <c r="E830" s="14" t="s">
        <v>39</v>
      </c>
      <c r="F830" s="16" t="s">
        <v>5979</v>
      </c>
      <c r="G830" s="19">
        <v>46141</v>
      </c>
    </row>
    <row r="831" spans="1:7">
      <c r="A831" t="s">
        <v>6759</v>
      </c>
      <c r="B831" t="s">
        <v>5511</v>
      </c>
      <c r="C831" s="16" t="s">
        <v>347</v>
      </c>
      <c r="D831" t="s">
        <v>2209</v>
      </c>
      <c r="E831" s="14">
        <v>4</v>
      </c>
      <c r="F831" s="16" t="s">
        <v>5938</v>
      </c>
      <c r="G831" s="19">
        <v>45788</v>
      </c>
    </row>
    <row r="832" spans="1:7">
      <c r="A832" t="s">
        <v>6760</v>
      </c>
      <c r="B832" t="s">
        <v>5446</v>
      </c>
      <c r="C832" s="16" t="s">
        <v>649</v>
      </c>
      <c r="D832" t="s">
        <v>2225</v>
      </c>
      <c r="E832" s="14">
        <v>2</v>
      </c>
      <c r="F832" s="16" t="s">
        <v>5938</v>
      </c>
      <c r="G832" s="19">
        <v>46267</v>
      </c>
    </row>
    <row r="833" spans="1:7">
      <c r="A833" t="s">
        <v>6761</v>
      </c>
      <c r="B833" t="s">
        <v>4559</v>
      </c>
      <c r="C833" s="16" t="s">
        <v>2113</v>
      </c>
      <c r="D833" t="s">
        <v>2218</v>
      </c>
      <c r="E833" s="14" t="s">
        <v>39</v>
      </c>
      <c r="F833" s="16" t="s">
        <v>5928</v>
      </c>
      <c r="G833" s="19">
        <v>46207</v>
      </c>
    </row>
    <row r="834" spans="1:7">
      <c r="A834" t="s">
        <v>6762</v>
      </c>
      <c r="B834" t="s">
        <v>3950</v>
      </c>
      <c r="C834" s="16" t="s">
        <v>707</v>
      </c>
      <c r="D834" t="s">
        <v>2209</v>
      </c>
      <c r="E834" s="14">
        <v>4</v>
      </c>
      <c r="F834" s="16" t="s">
        <v>5938</v>
      </c>
      <c r="G834" s="19">
        <v>45289</v>
      </c>
    </row>
    <row r="835" spans="1:7">
      <c r="A835" t="s">
        <v>6763</v>
      </c>
      <c r="B835" t="s">
        <v>3601</v>
      </c>
      <c r="C835" s="16" t="s">
        <v>2080</v>
      </c>
      <c r="D835" t="s">
        <v>2261</v>
      </c>
      <c r="E835" s="14">
        <v>4</v>
      </c>
      <c r="F835" s="16" t="s">
        <v>5920</v>
      </c>
      <c r="G835" s="19">
        <v>45221</v>
      </c>
    </row>
    <row r="836" spans="1:7">
      <c r="A836" t="s">
        <v>6764</v>
      </c>
      <c r="B836" t="s">
        <v>2828</v>
      </c>
      <c r="C836" s="16" t="s">
        <v>2097</v>
      </c>
      <c r="D836" t="s">
        <v>2218</v>
      </c>
      <c r="E836" s="14" t="s">
        <v>39</v>
      </c>
      <c r="F836" s="16" t="s">
        <v>5933</v>
      </c>
      <c r="G836" s="19">
        <v>45892</v>
      </c>
    </row>
    <row r="837" spans="1:7">
      <c r="A837" t="s">
        <v>6765</v>
      </c>
      <c r="B837" t="s">
        <v>3820</v>
      </c>
      <c r="C837" s="16" t="s">
        <v>1442</v>
      </c>
      <c r="D837" t="s">
        <v>2205</v>
      </c>
      <c r="E837" s="14" t="s">
        <v>39</v>
      </c>
      <c r="F837" s="16" t="s">
        <v>5924</v>
      </c>
      <c r="G837" s="19">
        <v>45596</v>
      </c>
    </row>
    <row r="838" spans="1:7">
      <c r="A838" t="s">
        <v>6766</v>
      </c>
      <c r="B838" t="s">
        <v>3956</v>
      </c>
      <c r="C838" s="16" t="s">
        <v>735</v>
      </c>
      <c r="D838" t="s">
        <v>2264</v>
      </c>
      <c r="E838" s="14" t="s">
        <v>39</v>
      </c>
      <c r="F838" s="16" t="s">
        <v>5922</v>
      </c>
      <c r="G838" s="19">
        <v>46069</v>
      </c>
    </row>
    <row r="839" spans="1:7">
      <c r="A839" t="s">
        <v>6767</v>
      </c>
      <c r="B839" t="s">
        <v>5824</v>
      </c>
      <c r="C839" s="16" t="s">
        <v>1274</v>
      </c>
      <c r="D839" t="s">
        <v>2261</v>
      </c>
      <c r="E839" s="14">
        <v>1</v>
      </c>
      <c r="F839" s="16" t="s">
        <v>5938</v>
      </c>
      <c r="G839" s="19">
        <v>45859</v>
      </c>
    </row>
    <row r="840" spans="1:7">
      <c r="A840" t="s">
        <v>6768</v>
      </c>
      <c r="B840" t="s">
        <v>3490</v>
      </c>
      <c r="C840" s="16" t="s">
        <v>1383</v>
      </c>
      <c r="D840" t="s">
        <v>2193</v>
      </c>
      <c r="E840" s="14">
        <v>5</v>
      </c>
      <c r="F840" s="16" t="s">
        <v>5920</v>
      </c>
      <c r="G840" s="19">
        <v>45397</v>
      </c>
    </row>
    <row r="841" spans="1:7">
      <c r="A841" t="s">
        <v>6769</v>
      </c>
      <c r="B841" t="s">
        <v>4593</v>
      </c>
      <c r="C841" s="16" t="s">
        <v>930</v>
      </c>
      <c r="D841" t="s">
        <v>2257</v>
      </c>
      <c r="E841" s="14">
        <v>3</v>
      </c>
      <c r="F841" s="16" t="s">
        <v>5946</v>
      </c>
      <c r="G841" s="19">
        <v>45122</v>
      </c>
    </row>
    <row r="842" spans="1:7">
      <c r="A842" t="s">
        <v>6770</v>
      </c>
      <c r="B842" t="s">
        <v>3963</v>
      </c>
      <c r="C842" s="16" t="s">
        <v>894</v>
      </c>
      <c r="D842" t="s">
        <v>2233</v>
      </c>
      <c r="E842" s="14">
        <v>2</v>
      </c>
      <c r="F842" s="16" t="s">
        <v>5940</v>
      </c>
      <c r="G842" s="19">
        <v>45715</v>
      </c>
    </row>
    <row r="843" spans="1:7">
      <c r="A843" t="s">
        <v>6771</v>
      </c>
      <c r="B843" t="s">
        <v>4027</v>
      </c>
      <c r="C843" s="16" t="s">
        <v>1576</v>
      </c>
      <c r="D843" t="s">
        <v>2244</v>
      </c>
      <c r="E843" s="14">
        <v>3</v>
      </c>
      <c r="F843" s="16" t="s">
        <v>23</v>
      </c>
      <c r="G843" s="19">
        <v>45167</v>
      </c>
    </row>
    <row r="844" spans="1:7">
      <c r="A844" t="s">
        <v>6772</v>
      </c>
      <c r="B844" t="s">
        <v>5039</v>
      </c>
      <c r="C844" s="16" t="s">
        <v>56</v>
      </c>
      <c r="D844" t="s">
        <v>2249</v>
      </c>
      <c r="E844" s="14">
        <v>4</v>
      </c>
      <c r="F844" s="16" t="s">
        <v>5940</v>
      </c>
      <c r="G844" s="19">
        <v>45856</v>
      </c>
    </row>
    <row r="845" spans="1:7">
      <c r="A845" t="s">
        <v>6773</v>
      </c>
      <c r="B845" t="s">
        <v>4030</v>
      </c>
      <c r="C845" s="16" t="s">
        <v>495</v>
      </c>
      <c r="D845" t="s">
        <v>2249</v>
      </c>
      <c r="E845" s="14" t="s">
        <v>39</v>
      </c>
      <c r="F845" s="16" t="s">
        <v>5979</v>
      </c>
      <c r="G845" s="19">
        <v>45334</v>
      </c>
    </row>
    <row r="846" spans="1:7">
      <c r="A846" t="s">
        <v>6774</v>
      </c>
      <c r="B846" t="s">
        <v>3117</v>
      </c>
      <c r="C846" s="16" t="s">
        <v>394</v>
      </c>
      <c r="D846" t="s">
        <v>2193</v>
      </c>
      <c r="E846" s="14">
        <v>5</v>
      </c>
      <c r="F846" s="16" t="s">
        <v>5938</v>
      </c>
      <c r="G846" s="19">
        <v>45533</v>
      </c>
    </row>
    <row r="847" spans="1:7">
      <c r="A847" t="s">
        <v>6775</v>
      </c>
      <c r="B847" t="s">
        <v>3320</v>
      </c>
      <c r="C847" s="16" t="s">
        <v>729</v>
      </c>
      <c r="D847" t="s">
        <v>2213</v>
      </c>
      <c r="E847" s="14" t="s">
        <v>39</v>
      </c>
      <c r="F847" s="16" t="s">
        <v>5940</v>
      </c>
      <c r="G847" s="19">
        <v>45481</v>
      </c>
    </row>
    <row r="848" spans="1:7">
      <c r="A848" t="s">
        <v>6776</v>
      </c>
      <c r="B848" t="s">
        <v>2882</v>
      </c>
      <c r="C848" s="16" t="s">
        <v>408</v>
      </c>
      <c r="D848" t="s">
        <v>2187</v>
      </c>
      <c r="E848" s="14">
        <v>5</v>
      </c>
      <c r="F848" s="16" t="s">
        <v>5940</v>
      </c>
      <c r="G848" s="19">
        <v>45138</v>
      </c>
    </row>
    <row r="849" spans="1:7">
      <c r="A849" t="s">
        <v>6777</v>
      </c>
      <c r="B849" t="s">
        <v>5592</v>
      </c>
      <c r="C849" s="16" t="s">
        <v>129</v>
      </c>
      <c r="D849" t="s">
        <v>2273</v>
      </c>
      <c r="E849" s="14">
        <v>5</v>
      </c>
      <c r="F849" s="16" t="s">
        <v>5933</v>
      </c>
      <c r="G849" s="19">
        <v>45572</v>
      </c>
    </row>
    <row r="850" spans="1:7">
      <c r="A850" t="s">
        <v>6778</v>
      </c>
      <c r="B850" t="s">
        <v>3004</v>
      </c>
      <c r="C850" s="16" t="s">
        <v>878</v>
      </c>
      <c r="D850" t="s">
        <v>2193</v>
      </c>
      <c r="E850" s="14">
        <v>5</v>
      </c>
      <c r="F850" s="16" t="s">
        <v>5961</v>
      </c>
      <c r="G850" s="19">
        <v>45637</v>
      </c>
    </row>
    <row r="851" spans="1:7">
      <c r="A851" t="s">
        <v>6779</v>
      </c>
      <c r="B851" t="s">
        <v>4216</v>
      </c>
      <c r="C851" s="16" t="s">
        <v>426</v>
      </c>
      <c r="D851" t="s">
        <v>2233</v>
      </c>
      <c r="E851" s="14">
        <v>3</v>
      </c>
      <c r="F851" s="16" t="s">
        <v>5931</v>
      </c>
      <c r="G851" s="19">
        <v>45289</v>
      </c>
    </row>
    <row r="852" spans="1:7">
      <c r="A852" t="s">
        <v>6780</v>
      </c>
      <c r="B852" t="s">
        <v>4911</v>
      </c>
      <c r="C852" s="16" t="s">
        <v>675</v>
      </c>
      <c r="D852" t="s">
        <v>2271</v>
      </c>
      <c r="E852" s="14">
        <v>1</v>
      </c>
      <c r="F852" s="16" t="s">
        <v>5946</v>
      </c>
      <c r="G852" s="19">
        <v>45112</v>
      </c>
    </row>
    <row r="853" spans="1:7">
      <c r="A853" t="s">
        <v>6781</v>
      </c>
      <c r="B853" t="s">
        <v>5506</v>
      </c>
      <c r="C853" s="16" t="s">
        <v>581</v>
      </c>
      <c r="D853" t="s">
        <v>2228</v>
      </c>
      <c r="E853" s="14">
        <v>4</v>
      </c>
      <c r="F853" s="16" t="s">
        <v>5940</v>
      </c>
      <c r="G853" s="19">
        <v>46081</v>
      </c>
    </row>
    <row r="854" spans="1:7">
      <c r="A854" t="s">
        <v>6782</v>
      </c>
      <c r="B854" t="s">
        <v>3111</v>
      </c>
      <c r="C854" s="16" t="s">
        <v>824</v>
      </c>
      <c r="D854" t="s">
        <v>2271</v>
      </c>
      <c r="E854" s="14">
        <v>4</v>
      </c>
      <c r="F854" s="16" t="s">
        <v>5938</v>
      </c>
      <c r="G854" s="19">
        <v>45906</v>
      </c>
    </row>
    <row r="855" spans="1:7">
      <c r="A855" t="s">
        <v>6783</v>
      </c>
      <c r="B855" t="s">
        <v>4919</v>
      </c>
      <c r="C855" s="16" t="s">
        <v>1555</v>
      </c>
      <c r="D855" t="s">
        <v>2267</v>
      </c>
      <c r="E855" s="14">
        <v>5</v>
      </c>
      <c r="F855" s="16" t="s">
        <v>5940</v>
      </c>
      <c r="G855" s="19">
        <v>46149</v>
      </c>
    </row>
    <row r="856" spans="1:7">
      <c r="A856" t="s">
        <v>6784</v>
      </c>
      <c r="B856" t="s">
        <v>2344</v>
      </c>
      <c r="C856" s="16" t="s">
        <v>331</v>
      </c>
      <c r="D856" t="s">
        <v>2198</v>
      </c>
      <c r="E856" s="14">
        <v>4</v>
      </c>
      <c r="F856" s="16" t="s">
        <v>5933</v>
      </c>
      <c r="G856" s="19">
        <v>46058</v>
      </c>
    </row>
    <row r="857" spans="1:7">
      <c r="A857" t="s">
        <v>6785</v>
      </c>
      <c r="B857" t="s">
        <v>4846</v>
      </c>
      <c r="C857" s="16" t="s">
        <v>1918</v>
      </c>
      <c r="D857" t="s">
        <v>2228</v>
      </c>
      <c r="E857" s="14">
        <v>1</v>
      </c>
      <c r="F857" s="16" t="s">
        <v>5928</v>
      </c>
      <c r="G857" s="19">
        <v>45876</v>
      </c>
    </row>
    <row r="858" spans="1:7">
      <c r="A858" t="s">
        <v>6786</v>
      </c>
      <c r="B858" t="s">
        <v>3591</v>
      </c>
      <c r="C858" s="16" t="s">
        <v>1823</v>
      </c>
      <c r="D858" t="s">
        <v>2222</v>
      </c>
      <c r="E858" s="14">
        <v>4</v>
      </c>
      <c r="F858" s="16" t="s">
        <v>5922</v>
      </c>
      <c r="G858" s="19">
        <v>45885</v>
      </c>
    </row>
    <row r="859" spans="1:7">
      <c r="A859" t="s">
        <v>6787</v>
      </c>
      <c r="B859" t="s">
        <v>3657</v>
      </c>
      <c r="C859" s="16" t="s">
        <v>987</v>
      </c>
      <c r="D859" t="s">
        <v>2264</v>
      </c>
      <c r="E859" s="14">
        <v>4</v>
      </c>
      <c r="F859" s="16" t="s">
        <v>5924</v>
      </c>
      <c r="G859" s="19">
        <v>45320</v>
      </c>
    </row>
    <row r="860" spans="1:7">
      <c r="A860" t="s">
        <v>6788</v>
      </c>
      <c r="B860" t="s">
        <v>3557</v>
      </c>
      <c r="C860" s="16" t="s">
        <v>44</v>
      </c>
      <c r="D860" t="s">
        <v>2247</v>
      </c>
      <c r="E860" s="14">
        <v>4</v>
      </c>
      <c r="F860" s="16" t="s">
        <v>5924</v>
      </c>
      <c r="G860" s="19">
        <v>45390</v>
      </c>
    </row>
    <row r="861" spans="1:7">
      <c r="A861" t="s">
        <v>6789</v>
      </c>
      <c r="B861" t="s">
        <v>5069</v>
      </c>
      <c r="C861" s="16" t="s">
        <v>213</v>
      </c>
      <c r="D861" t="s">
        <v>2205</v>
      </c>
      <c r="E861" s="14">
        <v>5</v>
      </c>
      <c r="F861" s="16" t="s">
        <v>5973</v>
      </c>
      <c r="G861" s="19">
        <v>45833</v>
      </c>
    </row>
    <row r="862" spans="1:7">
      <c r="A862" t="s">
        <v>6790</v>
      </c>
      <c r="B862" t="s">
        <v>5077</v>
      </c>
      <c r="C862" s="16" t="s">
        <v>20</v>
      </c>
      <c r="D862" t="s">
        <v>2261</v>
      </c>
      <c r="E862" s="14">
        <v>1</v>
      </c>
      <c r="F862" s="16" t="s">
        <v>5926</v>
      </c>
      <c r="G862" s="19">
        <v>46153</v>
      </c>
    </row>
    <row r="863" spans="1:7">
      <c r="A863" t="s">
        <v>6791</v>
      </c>
      <c r="B863" t="s">
        <v>5680</v>
      </c>
      <c r="C863" s="16" t="s">
        <v>1674</v>
      </c>
      <c r="D863" t="s">
        <v>2244</v>
      </c>
      <c r="E863" s="14">
        <v>4</v>
      </c>
      <c r="F863" s="16" t="s">
        <v>5946</v>
      </c>
      <c r="G863" s="19">
        <v>45304</v>
      </c>
    </row>
    <row r="864" spans="1:7">
      <c r="A864" t="s">
        <v>6792</v>
      </c>
      <c r="B864" t="s">
        <v>5281</v>
      </c>
      <c r="C864" s="16" t="s">
        <v>836</v>
      </c>
      <c r="D864" t="s">
        <v>2267</v>
      </c>
      <c r="E864" s="14">
        <v>3</v>
      </c>
      <c r="F864" s="16" t="s">
        <v>5924</v>
      </c>
      <c r="G864" s="19">
        <v>45853</v>
      </c>
    </row>
    <row r="865" spans="1:7">
      <c r="A865" t="s">
        <v>6793</v>
      </c>
      <c r="B865" t="s">
        <v>5025</v>
      </c>
      <c r="C865" s="16" t="s">
        <v>383</v>
      </c>
      <c r="D865" t="s">
        <v>2225</v>
      </c>
      <c r="E865" s="14">
        <v>2</v>
      </c>
      <c r="F865" s="16" t="s">
        <v>5926</v>
      </c>
      <c r="G865" s="19">
        <v>45986</v>
      </c>
    </row>
    <row r="866" spans="1:7">
      <c r="A866" t="s">
        <v>6794</v>
      </c>
      <c r="B866" t="s">
        <v>4714</v>
      </c>
      <c r="C866" s="16" t="s">
        <v>729</v>
      </c>
      <c r="D866" t="s">
        <v>2249</v>
      </c>
      <c r="E866" s="14">
        <v>4</v>
      </c>
      <c r="F866" s="16" t="s">
        <v>5922</v>
      </c>
      <c r="G866" s="19">
        <v>46189</v>
      </c>
    </row>
    <row r="867" spans="1:7">
      <c r="A867" t="s">
        <v>6795</v>
      </c>
      <c r="B867" t="s">
        <v>3554</v>
      </c>
      <c r="C867" s="16" t="s">
        <v>809</v>
      </c>
      <c r="D867" t="s">
        <v>2269</v>
      </c>
      <c r="E867" s="14">
        <v>3</v>
      </c>
      <c r="F867" s="16" t="s">
        <v>5928</v>
      </c>
      <c r="G867" s="19">
        <v>45146</v>
      </c>
    </row>
    <row r="868" spans="1:7">
      <c r="A868" t="s">
        <v>6796</v>
      </c>
      <c r="B868" t="s">
        <v>4028</v>
      </c>
      <c r="C868" s="16" t="s">
        <v>558</v>
      </c>
      <c r="D868" t="s">
        <v>2264</v>
      </c>
      <c r="E868" s="14">
        <v>5</v>
      </c>
      <c r="F868" s="16" t="s">
        <v>5979</v>
      </c>
      <c r="G868" s="19">
        <v>45715</v>
      </c>
    </row>
    <row r="869" spans="1:7">
      <c r="A869" t="s">
        <v>6797</v>
      </c>
      <c r="B869" t="s">
        <v>4107</v>
      </c>
      <c r="C869" s="16" t="s">
        <v>745</v>
      </c>
      <c r="D869" t="s">
        <v>2241</v>
      </c>
      <c r="E869" s="14">
        <v>2</v>
      </c>
      <c r="F869" s="16" t="s">
        <v>5940</v>
      </c>
      <c r="G869" s="19">
        <v>46037</v>
      </c>
    </row>
    <row r="870" spans="1:7">
      <c r="A870" t="s">
        <v>6798</v>
      </c>
      <c r="B870" t="s">
        <v>3142</v>
      </c>
      <c r="C870" s="16" t="s">
        <v>1504</v>
      </c>
      <c r="D870" t="s">
        <v>2187</v>
      </c>
      <c r="E870" s="14">
        <v>4</v>
      </c>
      <c r="F870" s="16" t="s">
        <v>5926</v>
      </c>
      <c r="G870" s="19">
        <v>45710</v>
      </c>
    </row>
    <row r="871" spans="1:7">
      <c r="A871" t="s">
        <v>6799</v>
      </c>
      <c r="B871" t="s">
        <v>2753</v>
      </c>
      <c r="C871" s="16" t="s">
        <v>181</v>
      </c>
      <c r="D871" t="s">
        <v>2267</v>
      </c>
      <c r="E871" s="14">
        <v>4</v>
      </c>
      <c r="F871" s="16" t="s">
        <v>23</v>
      </c>
      <c r="G871" s="19">
        <v>45868</v>
      </c>
    </row>
    <row r="872" spans="1:7">
      <c r="A872" t="s">
        <v>6800</v>
      </c>
      <c r="B872" t="s">
        <v>2976</v>
      </c>
      <c r="C872" s="16" t="s">
        <v>40</v>
      </c>
      <c r="D872" t="s">
        <v>2225</v>
      </c>
      <c r="E872" s="14">
        <v>5</v>
      </c>
      <c r="F872" s="16" t="s">
        <v>5926</v>
      </c>
      <c r="G872" s="19">
        <v>45965</v>
      </c>
    </row>
    <row r="873" spans="1:7">
      <c r="A873" t="s">
        <v>6801</v>
      </c>
      <c r="B873" t="s">
        <v>2536</v>
      </c>
      <c r="C873" s="16" t="s">
        <v>1864</v>
      </c>
      <c r="D873" t="s">
        <v>2233</v>
      </c>
      <c r="E873" s="14">
        <v>5</v>
      </c>
      <c r="F873" s="16" t="s">
        <v>23</v>
      </c>
      <c r="G873" s="19">
        <v>45882</v>
      </c>
    </row>
    <row r="874" spans="1:7">
      <c r="A874" t="s">
        <v>6802</v>
      </c>
      <c r="B874" t="s">
        <v>3413</v>
      </c>
      <c r="C874" s="16" t="s">
        <v>376</v>
      </c>
      <c r="D874" t="s">
        <v>2218</v>
      </c>
      <c r="E874" s="14">
        <v>4</v>
      </c>
      <c r="F874" s="16" t="s">
        <v>5961</v>
      </c>
      <c r="G874" s="19">
        <v>45911</v>
      </c>
    </row>
    <row r="875" spans="1:7">
      <c r="A875" t="s">
        <v>6803</v>
      </c>
      <c r="B875" t="s">
        <v>5475</v>
      </c>
      <c r="C875" s="16" t="s">
        <v>445</v>
      </c>
      <c r="D875" t="s">
        <v>2253</v>
      </c>
      <c r="E875" s="14">
        <v>5</v>
      </c>
      <c r="F875" s="16" t="s">
        <v>23</v>
      </c>
      <c r="G875" s="19">
        <v>45412</v>
      </c>
    </row>
    <row r="876" spans="1:7">
      <c r="A876" t="s">
        <v>6804</v>
      </c>
      <c r="B876" t="s">
        <v>4388</v>
      </c>
      <c r="C876" s="16" t="s">
        <v>1693</v>
      </c>
      <c r="D876" t="s">
        <v>2209</v>
      </c>
      <c r="E876" s="14">
        <v>4</v>
      </c>
      <c r="F876" s="16" t="s">
        <v>5924</v>
      </c>
      <c r="G876" s="19">
        <v>45194</v>
      </c>
    </row>
    <row r="877" spans="1:7">
      <c r="A877" t="s">
        <v>6805</v>
      </c>
      <c r="B877" t="s">
        <v>5611</v>
      </c>
      <c r="C877" s="16" t="s">
        <v>141</v>
      </c>
      <c r="D877" t="s">
        <v>2187</v>
      </c>
      <c r="E877" s="14">
        <v>2</v>
      </c>
      <c r="F877" s="16" t="s">
        <v>5931</v>
      </c>
      <c r="G877" s="19">
        <v>45500</v>
      </c>
    </row>
    <row r="878" spans="1:7">
      <c r="A878" t="s">
        <v>6806</v>
      </c>
      <c r="B878" t="s">
        <v>3695</v>
      </c>
      <c r="C878" s="16" t="s">
        <v>656</v>
      </c>
      <c r="D878" t="s">
        <v>2205</v>
      </c>
      <c r="E878" s="14">
        <v>5</v>
      </c>
      <c r="F878" s="16" t="s">
        <v>5931</v>
      </c>
      <c r="G878" s="19">
        <v>45997</v>
      </c>
    </row>
    <row r="879" spans="1:7">
      <c r="A879" t="s">
        <v>6807</v>
      </c>
      <c r="B879" t="s">
        <v>4302</v>
      </c>
      <c r="C879" s="16" t="s">
        <v>1755</v>
      </c>
      <c r="D879" t="s">
        <v>2225</v>
      </c>
      <c r="E879" s="14">
        <v>1</v>
      </c>
      <c r="F879" s="16" t="s">
        <v>23</v>
      </c>
      <c r="G879" s="19">
        <v>45694</v>
      </c>
    </row>
    <row r="880" spans="1:7">
      <c r="A880" t="s">
        <v>6808</v>
      </c>
      <c r="B880" t="s">
        <v>2841</v>
      </c>
      <c r="C880" s="16" t="s">
        <v>936</v>
      </c>
      <c r="D880" t="s">
        <v>2218</v>
      </c>
      <c r="E880" s="14">
        <v>4</v>
      </c>
      <c r="F880" s="16" t="s">
        <v>5940</v>
      </c>
      <c r="G880" s="19">
        <v>45507</v>
      </c>
    </row>
    <row r="881" spans="1:7">
      <c r="A881" t="s">
        <v>6809</v>
      </c>
      <c r="B881" t="s">
        <v>4688</v>
      </c>
      <c r="C881" s="16" t="s">
        <v>566</v>
      </c>
      <c r="D881" t="s">
        <v>2259</v>
      </c>
      <c r="E881" s="14">
        <v>2</v>
      </c>
      <c r="F881" s="16" t="s">
        <v>5933</v>
      </c>
      <c r="G881" s="19">
        <v>46086</v>
      </c>
    </row>
    <row r="882" spans="1:7">
      <c r="A882" t="s">
        <v>6810</v>
      </c>
      <c r="B882" t="s">
        <v>2459</v>
      </c>
      <c r="C882" s="16" t="s">
        <v>1578</v>
      </c>
      <c r="D882" t="s">
        <v>2218</v>
      </c>
      <c r="E882" s="14" t="s">
        <v>39</v>
      </c>
      <c r="F882" s="16" t="s">
        <v>5933</v>
      </c>
      <c r="G882" s="19">
        <v>45893</v>
      </c>
    </row>
    <row r="883" spans="1:7">
      <c r="A883" t="s">
        <v>6811</v>
      </c>
      <c r="B883" t="s">
        <v>5288</v>
      </c>
      <c r="C883" s="16" t="s">
        <v>133</v>
      </c>
      <c r="D883" t="s">
        <v>2261</v>
      </c>
      <c r="E883" s="14">
        <v>3</v>
      </c>
      <c r="F883" s="16" t="s">
        <v>5961</v>
      </c>
      <c r="G883" s="19">
        <v>45690</v>
      </c>
    </row>
    <row r="884" spans="1:7">
      <c r="A884" t="s">
        <v>6812</v>
      </c>
      <c r="B884" t="s">
        <v>3548</v>
      </c>
      <c r="C884" s="16" t="s">
        <v>531</v>
      </c>
      <c r="D884" t="s">
        <v>2264</v>
      </c>
      <c r="E884" s="14">
        <v>4</v>
      </c>
      <c r="F884" s="16" t="s">
        <v>5922</v>
      </c>
      <c r="G884" s="19">
        <v>45449</v>
      </c>
    </row>
    <row r="885" spans="1:7">
      <c r="A885" t="s">
        <v>6813</v>
      </c>
      <c r="B885" t="s">
        <v>5309</v>
      </c>
      <c r="C885" s="16" t="s">
        <v>1218</v>
      </c>
      <c r="D885" t="s">
        <v>2261</v>
      </c>
      <c r="E885" s="14">
        <v>4</v>
      </c>
      <c r="F885" s="16" t="s">
        <v>5946</v>
      </c>
      <c r="G885" s="19">
        <v>45798</v>
      </c>
    </row>
    <row r="886" spans="1:7">
      <c r="A886" t="s">
        <v>6814</v>
      </c>
      <c r="B886" t="s">
        <v>3020</v>
      </c>
      <c r="C886" s="16" t="s">
        <v>861</v>
      </c>
      <c r="D886" t="s">
        <v>2205</v>
      </c>
      <c r="E886" s="14">
        <v>5</v>
      </c>
      <c r="F886" s="16" t="s">
        <v>5946</v>
      </c>
      <c r="G886" s="19">
        <v>45544</v>
      </c>
    </row>
    <row r="887" spans="1:7">
      <c r="A887" t="s">
        <v>6815</v>
      </c>
      <c r="B887" t="s">
        <v>3111</v>
      </c>
      <c r="C887" s="16" t="s">
        <v>824</v>
      </c>
      <c r="D887" t="s">
        <v>2271</v>
      </c>
      <c r="E887" s="14">
        <v>5</v>
      </c>
      <c r="F887" s="16" t="s">
        <v>5917</v>
      </c>
      <c r="G887" s="19">
        <v>45733</v>
      </c>
    </row>
    <row r="888" spans="1:7">
      <c r="A888" t="s">
        <v>6816</v>
      </c>
      <c r="B888" t="s">
        <v>3844</v>
      </c>
      <c r="C888" s="16" t="s">
        <v>1614</v>
      </c>
      <c r="D888" t="s">
        <v>2271</v>
      </c>
      <c r="E888" s="14">
        <v>4</v>
      </c>
      <c r="F888" s="16" t="s">
        <v>5940</v>
      </c>
      <c r="G888" s="19">
        <v>45299</v>
      </c>
    </row>
    <row r="889" spans="1:7">
      <c r="A889" t="s">
        <v>6817</v>
      </c>
      <c r="B889" t="s">
        <v>4846</v>
      </c>
      <c r="C889" s="16" t="s">
        <v>1918</v>
      </c>
      <c r="D889" t="s">
        <v>2228</v>
      </c>
      <c r="E889" s="14">
        <v>3</v>
      </c>
      <c r="F889" s="16" t="s">
        <v>5940</v>
      </c>
      <c r="G889" s="19">
        <v>46175</v>
      </c>
    </row>
    <row r="890" spans="1:7">
      <c r="A890" t="s">
        <v>6818</v>
      </c>
      <c r="B890" t="s">
        <v>3061</v>
      </c>
      <c r="C890" s="16" t="s">
        <v>637</v>
      </c>
      <c r="D890" t="s">
        <v>2231</v>
      </c>
      <c r="E890" s="14">
        <v>4</v>
      </c>
      <c r="F890" s="16" t="s">
        <v>5931</v>
      </c>
      <c r="G890" s="19">
        <v>45879</v>
      </c>
    </row>
    <row r="891" spans="1:7">
      <c r="A891" t="s">
        <v>6819</v>
      </c>
      <c r="B891" t="s">
        <v>3324</v>
      </c>
      <c r="C891" s="16" t="s">
        <v>1666</v>
      </c>
      <c r="D891" t="s">
        <v>2205</v>
      </c>
      <c r="E891" s="14" t="s">
        <v>39</v>
      </c>
      <c r="F891" s="16" t="s">
        <v>5928</v>
      </c>
      <c r="G891" s="19">
        <v>45259</v>
      </c>
    </row>
    <row r="892" spans="1:7">
      <c r="A892" t="s">
        <v>6820</v>
      </c>
      <c r="B892" t="s">
        <v>3726</v>
      </c>
      <c r="C892" s="16" t="s">
        <v>28</v>
      </c>
      <c r="D892" t="s">
        <v>2269</v>
      </c>
      <c r="E892" s="14">
        <v>4</v>
      </c>
      <c r="F892" s="16" t="s">
        <v>5938</v>
      </c>
      <c r="G892" s="19">
        <v>45835</v>
      </c>
    </row>
    <row r="893" spans="1:7">
      <c r="A893" t="s">
        <v>6821</v>
      </c>
      <c r="B893" t="s">
        <v>2783</v>
      </c>
      <c r="C893" s="16" t="s">
        <v>589</v>
      </c>
      <c r="D893" t="s">
        <v>2187</v>
      </c>
      <c r="E893" s="14">
        <v>4</v>
      </c>
      <c r="F893" s="16" t="s">
        <v>5940</v>
      </c>
      <c r="G893" s="19">
        <v>46072</v>
      </c>
    </row>
    <row r="894" spans="1:7">
      <c r="A894" t="s">
        <v>6822</v>
      </c>
      <c r="B894" t="s">
        <v>3992</v>
      </c>
      <c r="C894" s="16" t="s">
        <v>2045</v>
      </c>
      <c r="D894" t="s">
        <v>2222</v>
      </c>
      <c r="E894" s="14">
        <v>2</v>
      </c>
      <c r="F894" s="16" t="s">
        <v>23</v>
      </c>
      <c r="G894" s="19">
        <v>45838</v>
      </c>
    </row>
    <row r="895" spans="1:7">
      <c r="A895" t="s">
        <v>6823</v>
      </c>
      <c r="B895" t="s">
        <v>2341</v>
      </c>
      <c r="C895" s="16" t="s">
        <v>953</v>
      </c>
      <c r="D895" t="s">
        <v>2253</v>
      </c>
      <c r="E895" s="14">
        <v>1</v>
      </c>
      <c r="F895" s="16" t="s">
        <v>5940</v>
      </c>
      <c r="G895" s="19">
        <v>45544</v>
      </c>
    </row>
    <row r="896" spans="1:7">
      <c r="A896" t="s">
        <v>6824</v>
      </c>
      <c r="B896" t="s">
        <v>4457</v>
      </c>
      <c r="C896" s="16" t="s">
        <v>2003</v>
      </c>
      <c r="D896" t="s">
        <v>2267</v>
      </c>
      <c r="E896" s="14">
        <v>4</v>
      </c>
      <c r="F896" s="16" t="s">
        <v>5946</v>
      </c>
      <c r="G896" s="19">
        <v>46270</v>
      </c>
    </row>
    <row r="897" spans="1:7">
      <c r="A897" t="s">
        <v>6825</v>
      </c>
      <c r="B897" t="s">
        <v>3911</v>
      </c>
      <c r="C897" s="16" t="s">
        <v>498</v>
      </c>
      <c r="D897" t="s">
        <v>2193</v>
      </c>
      <c r="E897" s="14">
        <v>4</v>
      </c>
      <c r="F897" s="16" t="s">
        <v>5922</v>
      </c>
      <c r="G897" s="19">
        <v>45192</v>
      </c>
    </row>
    <row r="898" spans="1:7">
      <c r="A898" t="s">
        <v>6826</v>
      </c>
      <c r="B898" t="s">
        <v>2458</v>
      </c>
      <c r="C898" s="16" t="s">
        <v>267</v>
      </c>
      <c r="D898" t="s">
        <v>2273</v>
      </c>
      <c r="E898" s="14" t="s">
        <v>39</v>
      </c>
      <c r="F898" s="16" t="s">
        <v>5924</v>
      </c>
      <c r="G898" s="19">
        <v>45375</v>
      </c>
    </row>
    <row r="899" spans="1:7">
      <c r="A899" t="s">
        <v>6827</v>
      </c>
      <c r="B899" t="s">
        <v>5029</v>
      </c>
      <c r="C899" s="16" t="s">
        <v>1242</v>
      </c>
      <c r="D899" t="s">
        <v>2251</v>
      </c>
      <c r="E899" s="14">
        <v>5</v>
      </c>
      <c r="F899" s="16" t="s">
        <v>5940</v>
      </c>
      <c r="G899" s="19">
        <v>45248</v>
      </c>
    </row>
    <row r="900" spans="1:7">
      <c r="A900" t="s">
        <v>6828</v>
      </c>
      <c r="B900" t="s">
        <v>5300</v>
      </c>
      <c r="C900" s="16" t="s">
        <v>516</v>
      </c>
      <c r="D900" t="s">
        <v>2213</v>
      </c>
      <c r="E900" s="14">
        <v>5</v>
      </c>
      <c r="F900" s="16" t="s">
        <v>5931</v>
      </c>
      <c r="G900" s="19">
        <v>46111</v>
      </c>
    </row>
    <row r="901" spans="1:7">
      <c r="A901" t="s">
        <v>6829</v>
      </c>
      <c r="B901" t="s">
        <v>5642</v>
      </c>
      <c r="C901" s="16" t="s">
        <v>299</v>
      </c>
      <c r="D901" t="s">
        <v>2244</v>
      </c>
      <c r="E901" s="14">
        <v>2</v>
      </c>
      <c r="F901" s="16" t="s">
        <v>5946</v>
      </c>
      <c r="G901" s="19">
        <v>45805</v>
      </c>
    </row>
  </sheetData>
  <autoFilter ref="A1:G90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2026-06-21T21:42:54Z</dcterms:created>
  <dcterms:modified xsi:type="dcterms:W3CDTF">2026-06-22T23:56:00Z</dcterms:modified>
  <cp:category/>
  <cp:contentStatus/>
</cp:coreProperties>
</file>